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ministrator\Desktop\wt\UniversalRotation\"/>
    </mc:Choice>
  </mc:AlternateContent>
  <bookViews>
    <workbookView xWindow="-105" yWindow="-105" windowWidth="23235" windowHeight="13995" tabRatio="733"/>
  </bookViews>
  <sheets>
    <sheet name="可转债实时数据" sheetId="15" r:id="rId1"/>
    <sheet name="低溢价可转债轮动" sheetId="6" r:id="rId2"/>
    <sheet name="双低可转债轮动" sheetId="9" r:id="rId3"/>
    <sheet name="20天净值增长率和溢价率轮动LOF、ETF和封基" sheetId="4" r:id="rId4"/>
    <sheet name="20天净值增长率和溢价率轮动债券和境外基金" sheetId="3" r:id="rId5"/>
    <sheet name="temp" sheetId="14" r:id="rId6"/>
    <sheet name="_xlwings.conf" sheetId="2" r:id="rId7"/>
  </sheets>
  <functionGroups builtInGroupCount="18">
    <functionGroup name="Commands"/>
    <functionGroup name="xlwings"/>
  </functionGroups>
  <definedNames>
    <definedName name="_xlnm._FilterDatabase" localSheetId="3" hidden="1">'20天净值增长率和溢价率轮动LOF、ETF和封基'!$A$1:$P$704</definedName>
    <definedName name="_xlnm._FilterDatabase" localSheetId="4" hidden="1">'20天净值增长率和溢价率轮动债券和境外基金'!$A$1:$P$115</definedName>
    <definedName name="_xlnm._FilterDatabase" localSheetId="1" hidden="1">低溢价可转债轮动!$A$2:$U$402</definedName>
    <definedName name="_xlnm._FilterDatabase" localSheetId="0" hidden="1">可转债实时数据!$A$1:$Q$411</definedName>
    <definedName name="_xlnm._FilterDatabase" localSheetId="2" hidden="1">双低可转债轮动!$A$2:$V$750</definedName>
  </definedNames>
  <calcPr calcId="162913"/>
  <extLst>
    <ext xmlns:x14="http://schemas.microsoft.com/office/spreadsheetml/2009/9/main" uri="{8193D73E-4604-4355-AFF4-8A2333D13BE4}">
      <x14:definedNames>
        <x14:definedName name="get_fund_k_histor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fund_LJJZ_PRE20">
          <x14:argumentDescriptions count="1">
            <x14:argumentDescription index="0">Positional argument 1</x14:argumentDescription>
          </x14:argumentDescriptions>
        </x14:definedName>
        <x14:definedName name="get_fund_net_asset_value_histor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fund_premium_rate">
          <x14:argumentDescriptions count="1">
            <x14:argumentDescription index="0">Positional argument 1</x14:argumentDescription>
          </x14:argumentDescriptions>
        </x14:definedName>
        <x14:definedName name="get_rank_valu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fund20LJJZ">
          <x14:argumentDescriptions count="1">
            <x14:argumentDescription index="0">Positional argument 1</x14:argumentDescription>
          </x14:argumentDescriptions>
        </x14:definedName>
        <x14:definedName name="rotate_fund_by_premium_rate_and_20net_asset_valu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287" i="9" l="1"/>
  <c r="O288" i="9"/>
  <c r="O289" i="9"/>
  <c r="O290" i="9"/>
  <c r="O291" i="9"/>
  <c r="O292" i="9"/>
  <c r="O293" i="9"/>
  <c r="O294" i="9"/>
  <c r="O295" i="9"/>
  <c r="O296" i="9"/>
  <c r="O297" i="9"/>
  <c r="O298" i="9"/>
  <c r="O299" i="9"/>
  <c r="O300" i="9"/>
  <c r="O301" i="9"/>
  <c r="O302" i="9"/>
  <c r="O303" i="9"/>
  <c r="O304" i="9"/>
  <c r="O305" i="9"/>
  <c r="O306" i="9"/>
  <c r="O307" i="9"/>
  <c r="O308" i="9"/>
  <c r="O309" i="9"/>
  <c r="O310" i="9"/>
  <c r="O311" i="9"/>
  <c r="O312" i="9"/>
  <c r="O313" i="9"/>
  <c r="O314" i="9"/>
  <c r="O315" i="9"/>
  <c r="O316" i="9"/>
  <c r="O317" i="9"/>
  <c r="O318" i="9"/>
  <c r="O319" i="9"/>
  <c r="O320" i="9"/>
  <c r="O321" i="9"/>
  <c r="O322" i="9"/>
  <c r="O323" i="9"/>
  <c r="O324" i="9"/>
  <c r="O325" i="9"/>
  <c r="O326" i="9"/>
  <c r="O327" i="9"/>
  <c r="O328" i="9"/>
  <c r="O329" i="9"/>
  <c r="O330" i="9"/>
  <c r="O331" i="9"/>
  <c r="O332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N293" i="6" l="1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389" i="6"/>
  <c r="N390" i="6"/>
  <c r="N391" i="6"/>
  <c r="N392" i="6"/>
  <c r="N393" i="6"/>
  <c r="N394" i="6"/>
  <c r="N395" i="6"/>
  <c r="N396" i="6"/>
  <c r="N397" i="6"/>
  <c r="N398" i="6"/>
  <c r="N399" i="6"/>
  <c r="N400" i="6"/>
  <c r="N401" i="6"/>
  <c r="N402" i="6"/>
  <c r="N403" i="6"/>
  <c r="N404" i="6"/>
  <c r="N405" i="6"/>
  <c r="N406" i="6"/>
  <c r="N407" i="6"/>
  <c r="N408" i="6"/>
  <c r="N409" i="6"/>
  <c r="N410" i="6"/>
  <c r="N411" i="6"/>
  <c r="N412" i="6"/>
  <c r="D3" i="4" l="1"/>
  <c r="D4" i="4"/>
  <c r="D5" i="4"/>
  <c r="D6" i="4"/>
  <c r="D7" i="4"/>
  <c r="D8" i="4"/>
  <c r="D9" i="4"/>
  <c r="D10" i="4"/>
  <c r="D11" i="4"/>
  <c r="D2" i="4"/>
  <c r="D3" i="3" l="1"/>
  <c r="D4" i="3"/>
  <c r="D5" i="3"/>
  <c r="D6" i="3"/>
  <c r="D7" i="3"/>
  <c r="D8" i="3"/>
  <c r="D2" i="3"/>
  <c r="V4" i="9" l="1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57" i="9"/>
  <c r="O258" i="9"/>
  <c r="O259" i="9"/>
  <c r="O260" i="9"/>
  <c r="O261" i="9"/>
  <c r="O262" i="9"/>
  <c r="O263" i="9"/>
  <c r="O264" i="9"/>
  <c r="O265" i="9"/>
  <c r="O266" i="9"/>
  <c r="O267" i="9"/>
  <c r="O268" i="9"/>
  <c r="O269" i="9"/>
  <c r="O270" i="9"/>
  <c r="O271" i="9"/>
  <c r="O272" i="9"/>
  <c r="O273" i="9"/>
  <c r="O274" i="9"/>
  <c r="O275" i="9"/>
  <c r="O276" i="9"/>
  <c r="O277" i="9"/>
  <c r="O278" i="9"/>
  <c r="O279" i="9"/>
  <c r="O280" i="9"/>
  <c r="O281" i="9"/>
  <c r="O282" i="9"/>
  <c r="O283" i="9"/>
  <c r="O284" i="9"/>
  <c r="O285" i="9"/>
  <c r="O286" i="9"/>
  <c r="O3" i="9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3" i="6"/>
  <c r="D4" i="9" l="1"/>
  <c r="D5" i="9"/>
  <c r="D6" i="9"/>
  <c r="D7" i="9"/>
  <c r="D8" i="9"/>
  <c r="D9" i="9"/>
  <c r="D10" i="9"/>
  <c r="D11" i="9"/>
  <c r="D12" i="9"/>
  <c r="D13" i="9"/>
  <c r="D14" i="9"/>
  <c r="D15" i="9"/>
  <c r="D16" i="9"/>
  <c r="C4" i="9" l="1"/>
  <c r="C5" i="9"/>
  <c r="C6" i="9"/>
  <c r="C7" i="9"/>
  <c r="C8" i="9"/>
  <c r="C9" i="9"/>
  <c r="C10" i="9"/>
  <c r="C11" i="9"/>
  <c r="C12" i="9"/>
  <c r="C13" i="9"/>
  <c r="C14" i="9"/>
  <c r="C15" i="9"/>
  <c r="C16" i="9"/>
  <c r="C3" i="9"/>
  <c r="C4" i="6" l="1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3" i="6"/>
  <c r="U4" i="9" l="1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D3" i="9"/>
  <c r="T4" i="6" l="1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" i="6"/>
  <c r="D4" i="6" l="1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3" i="6"/>
  <c r="E4" i="9" l="1"/>
  <c r="E5" i="9"/>
  <c r="E6" i="9"/>
  <c r="E7" i="9"/>
  <c r="E8" i="9"/>
  <c r="E9" i="9"/>
  <c r="E10" i="9"/>
  <c r="E11" i="9"/>
  <c r="E12" i="9"/>
  <c r="E13" i="9"/>
  <c r="E14" i="9"/>
  <c r="E15" i="9"/>
  <c r="E16" i="9"/>
  <c r="E3" i="9"/>
  <c r="E4" i="6" l="1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3" i="6"/>
  <c r="U4" i="6" l="1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" i="6"/>
  <c r="U3" i="9" l="1"/>
</calcChain>
</file>

<file path=xl/sharedStrings.xml><?xml version="1.0" encoding="utf-8"?>
<sst xmlns="http://schemas.openxmlformats.org/spreadsheetml/2006/main" count="3909" uniqueCount="2007">
  <si>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</si>
  <si>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</si>
  <si>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</si>
  <si>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</si>
  <si>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</si>
  <si>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</si>
  <si>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</si>
  <si>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</si>
  <si>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</si>
  <si>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</si>
  <si>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</si>
  <si>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</si>
  <si>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</si>
  <si>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</si>
  <si>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</si>
  <si>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境外投资</t>
  </si>
  <si>
    <t>嘉实原油</t>
  </si>
  <si>
    <t>博时可转债ETF</t>
  </si>
  <si>
    <t>华宝美国消费A</t>
  </si>
  <si>
    <t>万家强债</t>
  </si>
  <si>
    <t>银华通胀</t>
  </si>
  <si>
    <t>天弘上海金ETF</t>
  </si>
  <si>
    <t>广发上海金ETF</t>
  </si>
  <si>
    <t>中银上海金ETF</t>
  </si>
  <si>
    <t>诺安油气</t>
  </si>
  <si>
    <t>嘉实恒生H股</t>
  </si>
  <si>
    <t>信诚商品</t>
  </si>
  <si>
    <t>华宝油气A</t>
  </si>
  <si>
    <t>国泰商品</t>
  </si>
  <si>
    <t>大成有色金属ETF</t>
  </si>
  <si>
    <t>华夏饲料豆粕ETF</t>
  </si>
  <si>
    <t>交银中国互联</t>
  </si>
  <si>
    <t>华安石油</t>
  </si>
  <si>
    <t>建信能源化工ETF</t>
  </si>
  <si>
    <t>总排名分</t>
  </si>
  <si>
    <t>溢价率</t>
  </si>
  <si>
    <t>20天净值增长率</t>
  </si>
  <si>
    <t>投资种类</t>
  </si>
  <si>
    <t>基金名称</t>
  </si>
  <si>
    <t>基金代码</t>
  </si>
  <si>
    <t>财通福鑫</t>
  </si>
  <si>
    <t>胜达转债</t>
  </si>
  <si>
    <t>百达转债</t>
  </si>
  <si>
    <t>君禾转债</t>
  </si>
  <si>
    <t>荣晟转债</t>
  </si>
  <si>
    <t>嘉泽转债</t>
  </si>
  <si>
    <t>华钰转债</t>
  </si>
  <si>
    <t>宏川转债</t>
  </si>
  <si>
    <t>搜特转债</t>
  </si>
  <si>
    <t>华通转债</t>
  </si>
  <si>
    <t>特一转债</t>
  </si>
  <si>
    <t>兄弟转债</t>
  </si>
  <si>
    <t>洪涛转债</t>
  </si>
  <si>
    <t>海印转债</t>
  </si>
  <si>
    <t>海波转债</t>
  </si>
  <si>
    <t>凯发转债</t>
  </si>
  <si>
    <t>万顺转债</t>
  </si>
  <si>
    <t>现价</t>
  </si>
  <si>
    <t>证券名称</t>
  </si>
  <si>
    <t>证券代码</t>
  </si>
  <si>
    <t>沪工转债</t>
  </si>
  <si>
    <t>尚荣转债</t>
  </si>
  <si>
    <t>英特转债</t>
  </si>
  <si>
    <t>嘉友转债</t>
  </si>
  <si>
    <t>正丹转债</t>
  </si>
  <si>
    <t>塞力转债</t>
  </si>
  <si>
    <t>威派转债</t>
  </si>
  <si>
    <t>精测转债</t>
  </si>
  <si>
    <t>聚飞转债</t>
  </si>
  <si>
    <t>迪龙转债</t>
  </si>
  <si>
    <t>贝斯转债</t>
  </si>
  <si>
    <t>设研转债</t>
  </si>
  <si>
    <t>明电转债</t>
  </si>
  <si>
    <t>岩土转债</t>
  </si>
  <si>
    <t>联得转债</t>
  </si>
  <si>
    <t>北陆转债</t>
  </si>
  <si>
    <t>淳中转债</t>
  </si>
  <si>
    <t>溢利转债</t>
  </si>
  <si>
    <t>永鼎转债</t>
  </si>
  <si>
    <t>今飞转债</t>
  </si>
  <si>
    <t>泉峰转债</t>
  </si>
  <si>
    <t>国祯转债</t>
  </si>
  <si>
    <t>思特转债</t>
  </si>
  <si>
    <t>永安转债</t>
  </si>
  <si>
    <t>起帆转债</t>
  </si>
  <si>
    <t>金能转债</t>
  </si>
  <si>
    <t>正裕转债</t>
  </si>
  <si>
    <t>迪贝转债</t>
  </si>
  <si>
    <t>合兴转债</t>
  </si>
  <si>
    <t>凌钢转债</t>
  </si>
  <si>
    <t>利群转债</t>
  </si>
  <si>
    <t>大禹转债</t>
  </si>
  <si>
    <t>海亮转债</t>
  </si>
  <si>
    <t>嘉美转债</t>
  </si>
  <si>
    <t>英联转债</t>
  </si>
  <si>
    <t>航新转债</t>
  </si>
  <si>
    <t>东风转债</t>
  </si>
  <si>
    <t>湖盐转债</t>
  </si>
  <si>
    <t>哈尔转债</t>
  </si>
  <si>
    <t>亚泰转债</t>
  </si>
  <si>
    <t>白电转债</t>
  </si>
  <si>
    <t>法兰转债</t>
  </si>
  <si>
    <t>济川转债</t>
  </si>
  <si>
    <t>三超转债</t>
  </si>
  <si>
    <t>朗科转债</t>
  </si>
  <si>
    <t>日丰转债</t>
  </si>
  <si>
    <t>景兴转债</t>
  </si>
  <si>
    <t>九典转债</t>
  </si>
  <si>
    <t>健友转债</t>
  </si>
  <si>
    <t>雷迪转债</t>
  </si>
  <si>
    <t>吉视转债</t>
  </si>
  <si>
    <t>奥佳转债</t>
  </si>
  <si>
    <t>灵康转债</t>
  </si>
  <si>
    <t>高澜转债</t>
  </si>
  <si>
    <t>朗新转债</t>
  </si>
  <si>
    <t>耐普转债</t>
  </si>
  <si>
    <t>春秋转债</t>
  </si>
  <si>
    <t>联诚转债</t>
  </si>
  <si>
    <t>锋龙转债</t>
  </si>
  <si>
    <t>维格转债</t>
  </si>
  <si>
    <t>三力转债</t>
  </si>
  <si>
    <t>孚日转债</t>
  </si>
  <si>
    <t>汽模转2</t>
  </si>
  <si>
    <t>宏辉转债</t>
  </si>
  <si>
    <t>利德转债</t>
  </si>
  <si>
    <t>远东转债</t>
  </si>
  <si>
    <t>美力转债</t>
  </si>
  <si>
    <t>万讯转债</t>
  </si>
  <si>
    <t>艾华转债</t>
  </si>
  <si>
    <t>小康转债</t>
  </si>
  <si>
    <t>金轮转债</t>
  </si>
  <si>
    <t>岭南转债</t>
  </si>
  <si>
    <t>新春转债</t>
  </si>
  <si>
    <t>嘉澳转债</t>
  </si>
  <si>
    <t>台华转债</t>
  </si>
  <si>
    <t>盛路转债</t>
  </si>
  <si>
    <t>广电转债</t>
  </si>
  <si>
    <t>宝莱转债</t>
  </si>
  <si>
    <t>模塑转债</t>
  </si>
  <si>
    <t>起步转债</t>
  </si>
  <si>
    <t>科达转债</t>
  </si>
  <si>
    <t>花王转债</t>
  </si>
  <si>
    <t>万孚转债</t>
  </si>
  <si>
    <t>金陵转债</t>
  </si>
  <si>
    <t>联泰转债</t>
  </si>
  <si>
    <t>纵横转债</t>
  </si>
  <si>
    <t>天创转债</t>
  </si>
  <si>
    <t>健帆转债</t>
  </si>
  <si>
    <t>侨银转债</t>
  </si>
  <si>
    <t>太平转债</t>
  </si>
  <si>
    <t>华阳转债</t>
  </si>
  <si>
    <t>江山转债</t>
  </si>
  <si>
    <t>东时转债</t>
  </si>
  <si>
    <t>拓斯转债</t>
  </si>
  <si>
    <t>瀛通转债</t>
  </si>
  <si>
    <t>道恩转债</t>
  </si>
  <si>
    <t>翔鹭转债</t>
  </si>
  <si>
    <t>佳力转债</t>
  </si>
  <si>
    <t>雪榕转债</t>
  </si>
  <si>
    <t>众信转债</t>
  </si>
  <si>
    <t>交建转债</t>
  </si>
  <si>
    <t>强力转债</t>
  </si>
  <si>
    <t>多伦转债</t>
  </si>
  <si>
    <t>久其转债</t>
  </si>
  <si>
    <t>祥鑫转债</t>
  </si>
  <si>
    <t>国光转债</t>
  </si>
  <si>
    <t>智能转债</t>
  </si>
  <si>
    <t>柳药转债</t>
  </si>
  <si>
    <t>开润转债</t>
  </si>
  <si>
    <t>希望转债</t>
  </si>
  <si>
    <t>红相转债</t>
  </si>
  <si>
    <t>科华转债</t>
  </si>
  <si>
    <t>德尔转债</t>
  </si>
  <si>
    <t>华森转债</t>
  </si>
  <si>
    <t>长久转债</t>
  </si>
  <si>
    <t>全筑转债</t>
  </si>
  <si>
    <t>国城转债</t>
  </si>
  <si>
    <t>富瀚转债</t>
  </si>
  <si>
    <t>好客转债</t>
  </si>
  <si>
    <t>卫宁转债</t>
  </si>
  <si>
    <t>正川转债</t>
  </si>
  <si>
    <t>铁汉转债</t>
  </si>
  <si>
    <t>金农转债</t>
  </si>
  <si>
    <t>三诺转债</t>
  </si>
  <si>
    <t>瑞丰转债</t>
  </si>
  <si>
    <t>瑞达转债</t>
  </si>
  <si>
    <t>长集转债</t>
  </si>
  <si>
    <t>洋丰转债</t>
  </si>
  <si>
    <t>赛伍转债</t>
  </si>
  <si>
    <t>永东转债</t>
  </si>
  <si>
    <t>新北转债</t>
  </si>
  <si>
    <t>大丰转债</t>
  </si>
  <si>
    <t>众兴转债</t>
  </si>
  <si>
    <t>创维转债</t>
  </si>
  <si>
    <t>维尔转债</t>
  </si>
  <si>
    <t>翔港转债</t>
  </si>
  <si>
    <t>江丰转债</t>
  </si>
  <si>
    <t>万青转债</t>
  </si>
  <si>
    <t>博世转债</t>
  </si>
  <si>
    <t>晶瑞转2</t>
  </si>
  <si>
    <t>弘亚转债</t>
  </si>
  <si>
    <t>新乳转债</t>
  </si>
  <si>
    <t>海环转债</t>
  </si>
  <si>
    <t>兴森转债</t>
  </si>
  <si>
    <t>绿茵转债</t>
  </si>
  <si>
    <t>华源转债</t>
  </si>
  <si>
    <t>未来转债</t>
  </si>
  <si>
    <t>凯中转债</t>
  </si>
  <si>
    <t>游族转债</t>
  </si>
  <si>
    <t>迪森转债</t>
  </si>
  <si>
    <t>思创转债</t>
  </si>
  <si>
    <t>银信转债</t>
  </si>
  <si>
    <t>荣泰转债</t>
  </si>
  <si>
    <t>万兴转债</t>
  </si>
  <si>
    <t>亚太转债</t>
  </si>
  <si>
    <t>天路转债</t>
  </si>
  <si>
    <t>汉得转债</t>
  </si>
  <si>
    <t>大业转债</t>
  </si>
  <si>
    <t>文科转债</t>
  </si>
  <si>
    <t>润达转债</t>
  </si>
  <si>
    <t>特发转2</t>
  </si>
  <si>
    <t>中大转债</t>
  </si>
  <si>
    <t>奇精转债</t>
  </si>
  <si>
    <t>山玻转债</t>
  </si>
  <si>
    <t>皖天转债</t>
  </si>
  <si>
    <t>元力转债</t>
  </si>
  <si>
    <t>奇正转债</t>
  </si>
  <si>
    <t>利民转债</t>
  </si>
  <si>
    <t>濮耐转债</t>
  </si>
  <si>
    <t>晨丰转债</t>
  </si>
  <si>
    <t>世运转债</t>
  </si>
  <si>
    <t>北方转债</t>
  </si>
  <si>
    <t>东湖转债</t>
  </si>
  <si>
    <t>银轮转债</t>
  </si>
  <si>
    <t>拓尔转债</t>
  </si>
  <si>
    <t>超声转债</t>
  </si>
  <si>
    <t>应急转债</t>
  </si>
  <si>
    <t>帝尔转债</t>
  </si>
  <si>
    <t>威唐转债</t>
  </si>
  <si>
    <t>隆华转债</t>
  </si>
  <si>
    <t>靖远转债</t>
  </si>
  <si>
    <t>惠城转债</t>
  </si>
  <si>
    <t>杭电转债</t>
  </si>
  <si>
    <t>金博转债</t>
  </si>
  <si>
    <t>长海转债</t>
  </si>
  <si>
    <t>普利转债</t>
  </si>
  <si>
    <t>龙大转债</t>
  </si>
  <si>
    <t>锦鸡转债</t>
  </si>
  <si>
    <t>彤程转债</t>
  </si>
  <si>
    <t>特纸转债</t>
  </si>
  <si>
    <t>奥飞转债</t>
  </si>
  <si>
    <t>甬金转债</t>
  </si>
  <si>
    <t>珀莱转债</t>
  </si>
  <si>
    <t>华兴转债</t>
  </si>
  <si>
    <t>回盛转债</t>
  </si>
  <si>
    <t>博杰转债</t>
  </si>
  <si>
    <t>是否已买</t>
  </si>
  <si>
    <t>建信港股通ETF</t>
  </si>
  <si>
    <t>中融煤炭</t>
  </si>
  <si>
    <t>银华内需</t>
  </si>
  <si>
    <t>永赢沪深300ETF</t>
  </si>
  <si>
    <t>工银上证50ETF</t>
  </si>
  <si>
    <t>景顺鼎益</t>
  </si>
  <si>
    <t>万家优选</t>
  </si>
  <si>
    <t>兴全绿色</t>
  </si>
  <si>
    <t>泰康沪深300ETF</t>
  </si>
  <si>
    <t>泰康中证500ETF</t>
  </si>
  <si>
    <t>工银中证500ETF</t>
  </si>
  <si>
    <t>兴全模式</t>
  </si>
  <si>
    <t>兴全趋势</t>
  </si>
  <si>
    <t>博时主题</t>
  </si>
  <si>
    <t>兴全合润</t>
  </si>
  <si>
    <t>最新低溢价排名</t>
    <phoneticPr fontId="2" type="noConversion"/>
  </si>
  <si>
    <t>华翔转债</t>
  </si>
  <si>
    <t>城市转债</t>
  </si>
  <si>
    <t>新星转债</t>
  </si>
  <si>
    <t>贵燃转债</t>
  </si>
  <si>
    <t>台21转债</t>
  </si>
  <si>
    <t>佩蒂转债</t>
  </si>
  <si>
    <t>博瑞转债</t>
  </si>
  <si>
    <t>卡倍转债</t>
  </si>
  <si>
    <t>我的低溢价可转债持仓</t>
  </si>
  <si>
    <t>我的双低可转债持仓</t>
    <phoneticPr fontId="2" type="noConversion"/>
  </si>
  <si>
    <t>我的持仓</t>
    <phoneticPr fontId="2" type="noConversion"/>
  </si>
  <si>
    <t>SH501095</t>
  </si>
  <si>
    <t>SZ165513</t>
  </si>
  <si>
    <t>SZ161815</t>
  </si>
  <si>
    <t>SZ163208</t>
  </si>
  <si>
    <t>SZ162411</t>
  </si>
  <si>
    <t>SH506002</t>
  </si>
  <si>
    <t>SH501081</t>
  </si>
  <si>
    <t>SH506003</t>
  </si>
  <si>
    <t>SZ168204</t>
  </si>
  <si>
    <t>SH506005</t>
  </si>
  <si>
    <t>SZ162720</t>
  </si>
  <si>
    <t>SH501078</t>
  </si>
  <si>
    <t>SH506001</t>
  </si>
  <si>
    <t>SZ161724</t>
  </si>
  <si>
    <t>SZ159981</t>
  </si>
  <si>
    <t>SH501073</t>
  </si>
  <si>
    <t>SZ161032</t>
  </si>
  <si>
    <t>SH501075</t>
  </si>
  <si>
    <t>SZ159980</t>
  </si>
  <si>
    <t>SH501080</t>
  </si>
  <si>
    <t>SH501011</t>
  </si>
  <si>
    <t>SH506000</t>
  </si>
  <si>
    <t>SZ161726</t>
  </si>
  <si>
    <t>SZ159891</t>
  </si>
  <si>
    <t>SH516090</t>
  </si>
  <si>
    <t>SZ161914</t>
  </si>
  <si>
    <t>SH501012</t>
  </si>
  <si>
    <t>SH516080</t>
  </si>
  <si>
    <t>SH501076</t>
  </si>
  <si>
    <t>SZ159972</t>
  </si>
  <si>
    <t>SH501082</t>
  </si>
  <si>
    <t>SZ159816</t>
  </si>
  <si>
    <t>SH515950</t>
  </si>
  <si>
    <t>SZ160529</t>
  </si>
  <si>
    <t>SH501009</t>
  </si>
  <si>
    <t>SZ161911</t>
  </si>
  <si>
    <t>SH501079</t>
  </si>
  <si>
    <t>SH511020</t>
  </si>
  <si>
    <t>SH516650</t>
  </si>
  <si>
    <t>SZ163210</t>
  </si>
  <si>
    <t>SH511270</t>
  </si>
  <si>
    <t>SZ160926</t>
  </si>
  <si>
    <t>SH515220</t>
  </si>
  <si>
    <t>SZ159992</t>
  </si>
  <si>
    <t>SZ163418</t>
  </si>
  <si>
    <t>SZ159812</t>
  </si>
  <si>
    <t>SH511060</t>
  </si>
  <si>
    <t>SZ159849</t>
  </si>
  <si>
    <t>SZ159858</t>
  </si>
  <si>
    <t>SZ161912</t>
  </si>
  <si>
    <t>SH588300</t>
  </si>
  <si>
    <t>SH511260</t>
  </si>
  <si>
    <t>SZ160630</t>
  </si>
  <si>
    <t>SH516180</t>
  </si>
  <si>
    <t>SH588380</t>
  </si>
  <si>
    <t>SH516610</t>
  </si>
  <si>
    <t>SZ161903</t>
  </si>
  <si>
    <t>SH516070</t>
  </si>
  <si>
    <t>SZ159863</t>
  </si>
  <si>
    <t>SZ160325</t>
  </si>
  <si>
    <t>SH515120</t>
  </si>
  <si>
    <t>SZ159839</t>
  </si>
  <si>
    <t>SH517120</t>
  </si>
  <si>
    <t>SH501202</t>
  </si>
  <si>
    <t>SH516820</t>
  </si>
  <si>
    <t>SZ159938</t>
  </si>
  <si>
    <t>SH501046</t>
  </si>
  <si>
    <t>SH501085</t>
  </si>
  <si>
    <t>SH501083</t>
  </si>
  <si>
    <t>SZ161024</t>
  </si>
  <si>
    <t>SZ159830</t>
  </si>
  <si>
    <t>SH506006</t>
  </si>
  <si>
    <t>SH588360</t>
  </si>
  <si>
    <t>SZ160225</t>
  </si>
  <si>
    <t>SZ159930</t>
  </si>
  <si>
    <t>SZ160416</t>
  </si>
  <si>
    <t>SH588400</t>
  </si>
  <si>
    <t>SH516060</t>
  </si>
  <si>
    <t>SH518680</t>
  </si>
  <si>
    <t>SZ159782</t>
  </si>
  <si>
    <t>SH501057</t>
  </si>
  <si>
    <t>SZ161028</t>
  </si>
  <si>
    <t>SZ159881</t>
  </si>
  <si>
    <t>SH518890</t>
  </si>
  <si>
    <t>SZ159847</t>
  </si>
  <si>
    <t>SH516910</t>
  </si>
  <si>
    <t>SZ159703</t>
  </si>
  <si>
    <t>SH515590</t>
  </si>
  <si>
    <t>SH515790</t>
  </si>
  <si>
    <t>SZ159885</t>
  </si>
  <si>
    <t>SH518800</t>
  </si>
  <si>
    <t>SZ159861</t>
  </si>
  <si>
    <t>SZ160632</t>
  </si>
  <si>
    <t>SZ159783</t>
  </si>
  <si>
    <t>SZ159838</t>
  </si>
  <si>
    <t>SZ161022</t>
  </si>
  <si>
    <t>SH510170</t>
  </si>
  <si>
    <t>SH511010</t>
  </si>
  <si>
    <t>SH515610</t>
  </si>
  <si>
    <t>SZ159837</t>
  </si>
  <si>
    <t>SH562880</t>
  </si>
  <si>
    <t>SZ161040</t>
  </si>
  <si>
    <t>SH518880</t>
  </si>
  <si>
    <t>SH501205</t>
  </si>
  <si>
    <t>SZ159876</t>
  </si>
  <si>
    <t>SH501029</t>
  </si>
  <si>
    <t>SZ159943</t>
  </si>
  <si>
    <t>SH501208</t>
  </si>
  <si>
    <t>SH512400</t>
  </si>
  <si>
    <t>SZ163406</t>
  </si>
  <si>
    <t>SH515090</t>
  </si>
  <si>
    <t>SH516390</t>
  </si>
  <si>
    <t>SZ159929</t>
  </si>
  <si>
    <t>SH512120</t>
  </si>
  <si>
    <t>SH588330</t>
  </si>
  <si>
    <t>SZ159945</t>
  </si>
  <si>
    <t>SH518660</t>
  </si>
  <si>
    <t>SH510150</t>
  </si>
  <si>
    <t>SH516480</t>
  </si>
  <si>
    <t>SH515960</t>
  </si>
  <si>
    <t>SH588390</t>
  </si>
  <si>
    <t>SZ159937</t>
  </si>
  <si>
    <t>SZ159985</t>
  </si>
  <si>
    <t>SZ159806</t>
  </si>
  <si>
    <t>SZ160505</t>
  </si>
  <si>
    <t>SZ159755</t>
  </si>
  <si>
    <t>SZ159934</t>
  </si>
  <si>
    <t>SZ159808</t>
  </si>
  <si>
    <t>SH518850</t>
  </si>
  <si>
    <t>SH510760</t>
  </si>
  <si>
    <t>SH518600</t>
  </si>
  <si>
    <t>SZ161725</t>
  </si>
  <si>
    <t>SZ159955</t>
  </si>
  <si>
    <t>SH510880</t>
  </si>
  <si>
    <t>SH516660</t>
  </si>
  <si>
    <t>SH516300</t>
  </si>
  <si>
    <t>SZ159824</t>
  </si>
  <si>
    <t>SH501207</t>
  </si>
  <si>
    <t>SH515100</t>
  </si>
  <si>
    <t>SH511880</t>
  </si>
  <si>
    <t>SH516880</t>
  </si>
  <si>
    <t>SH515150</t>
  </si>
  <si>
    <t>SZ159003</t>
  </si>
  <si>
    <t>SH511360</t>
  </si>
  <si>
    <t>SZ159871</t>
  </si>
  <si>
    <t>SZ159005</t>
  </si>
  <si>
    <t>SZ159898</t>
  </si>
  <si>
    <t>SH510530</t>
  </si>
  <si>
    <t>SH511690</t>
  </si>
  <si>
    <t>SH511850</t>
  </si>
  <si>
    <t>SH501077</t>
  </si>
  <si>
    <t>SH510410</t>
  </si>
  <si>
    <t>SZ159903</t>
  </si>
  <si>
    <t>SZ159001</t>
  </si>
  <si>
    <t>SH511660</t>
  </si>
  <si>
    <t>SZ163415</t>
  </si>
  <si>
    <t>SH501054</t>
  </si>
  <si>
    <t>SH512010</t>
  </si>
  <si>
    <t>SH512660</t>
  </si>
  <si>
    <t>SH511990</t>
  </si>
  <si>
    <t>SH516150</t>
  </si>
  <si>
    <t>SH516000</t>
  </si>
  <si>
    <t>SZ159702</t>
  </si>
  <si>
    <t>SH511700</t>
  </si>
  <si>
    <t>SZ167508</t>
  </si>
  <si>
    <t>SZ159957</t>
  </si>
  <si>
    <t>SH512100</t>
  </si>
  <si>
    <t>SZ159886</t>
  </si>
  <si>
    <t>SZ166027</t>
  </si>
  <si>
    <t>SH511810</t>
  </si>
  <si>
    <t>SH512480</t>
  </si>
  <si>
    <t>SZ159813</t>
  </si>
  <si>
    <t>SZ159958</t>
  </si>
  <si>
    <t>SZ159820</t>
  </si>
  <si>
    <t>SH515750</t>
  </si>
  <si>
    <t>SZ162605</t>
  </si>
  <si>
    <t>SH515910</t>
  </si>
  <si>
    <t>SH515030</t>
  </si>
  <si>
    <t>SH512330</t>
  </si>
  <si>
    <t>SH516850</t>
  </si>
  <si>
    <t>SH510660</t>
  </si>
  <si>
    <t>SH516270</t>
  </si>
  <si>
    <t>SZ159801</t>
  </si>
  <si>
    <t>SH510630</t>
  </si>
  <si>
    <t>SZ159949</t>
  </si>
  <si>
    <t>SH516590</t>
  </si>
  <si>
    <t>SZ159827</t>
  </si>
  <si>
    <t>SZ159810</t>
  </si>
  <si>
    <t>SH511030</t>
  </si>
  <si>
    <t>SH512680</t>
  </si>
  <si>
    <t>SH516500</t>
  </si>
  <si>
    <t>SZ159997</t>
  </si>
  <si>
    <t>SH512950</t>
  </si>
  <si>
    <t>SH512890</t>
  </si>
  <si>
    <t>SH516780</t>
  </si>
  <si>
    <t>SH512290</t>
  </si>
  <si>
    <t>SH512170</t>
  </si>
  <si>
    <t>SH512670</t>
  </si>
  <si>
    <t>SZ159948</t>
  </si>
  <si>
    <t>SH516830</t>
  </si>
  <si>
    <t>SZ159872</t>
  </si>
  <si>
    <t>SH516320</t>
  </si>
  <si>
    <t>SH512580</t>
  </si>
  <si>
    <t>SZ161834</t>
  </si>
  <si>
    <t>SZ159974</t>
  </si>
  <si>
    <t>SH515820</t>
  </si>
  <si>
    <t>SZ159995</t>
  </si>
  <si>
    <t>SH516160</t>
  </si>
  <si>
    <t>SH512760</t>
  </si>
  <si>
    <t>SH512280</t>
  </si>
  <si>
    <t>SZ159857</t>
  </si>
  <si>
    <t>SH515210</t>
  </si>
  <si>
    <t>SH512650</t>
  </si>
  <si>
    <t>SZ159781</t>
  </si>
  <si>
    <t>SH516800</t>
  </si>
  <si>
    <t>SH511220</t>
  </si>
  <si>
    <t>SZ159780</t>
  </si>
  <si>
    <t>SH515890</t>
  </si>
  <si>
    <t>SZ162415</t>
  </si>
  <si>
    <t>SH516630</t>
  </si>
  <si>
    <t>SH515500</t>
  </si>
  <si>
    <t>SH512510</t>
  </si>
  <si>
    <t>SZ159873</t>
  </si>
  <si>
    <t>SZ160216</t>
  </si>
  <si>
    <t>SZ159952</t>
  </si>
  <si>
    <t>SZ159828</t>
  </si>
  <si>
    <t>SH512560</t>
  </si>
  <si>
    <t>SH511180</t>
  </si>
  <si>
    <t>SZ163417</t>
  </si>
  <si>
    <t>SZ159928</t>
  </si>
  <si>
    <t>SH515080</t>
  </si>
  <si>
    <t>SH515700</t>
  </si>
  <si>
    <t>SZ159890</t>
  </si>
  <si>
    <t>SH512960</t>
  </si>
  <si>
    <t>SZ159987</t>
  </si>
  <si>
    <t>SH515260</t>
  </si>
  <si>
    <t>SH515180</t>
  </si>
  <si>
    <t>SH516380</t>
  </si>
  <si>
    <t>SH516960</t>
  </si>
  <si>
    <t>SH516510</t>
  </si>
  <si>
    <t>SH502000</t>
  </si>
  <si>
    <t>SZ159883</t>
  </si>
  <si>
    <t>SZ159725</t>
  </si>
  <si>
    <t>SH588180</t>
  </si>
  <si>
    <t>SH512810</t>
  </si>
  <si>
    <t>SH561500</t>
  </si>
  <si>
    <t>SH516950</t>
  </si>
  <si>
    <t>SH512260</t>
  </si>
  <si>
    <t>SH517300</t>
  </si>
  <si>
    <t>SZ159966</t>
  </si>
  <si>
    <t>SZ159819</t>
  </si>
  <si>
    <t>SZ159825</t>
  </si>
  <si>
    <t>SH513900</t>
  </si>
  <si>
    <t>SZ159968</t>
  </si>
  <si>
    <t>SZ159845</t>
  </si>
  <si>
    <t>SZ159843</t>
  </si>
  <si>
    <t>SH512770</t>
  </si>
  <si>
    <t>SH511380</t>
  </si>
  <si>
    <t>SZ159977</t>
  </si>
  <si>
    <t>SH588080</t>
  </si>
  <si>
    <t>SZ159906</t>
  </si>
  <si>
    <t>SZ159750</t>
  </si>
  <si>
    <t>SH515020</t>
  </si>
  <si>
    <t>SZ159835</t>
  </si>
  <si>
    <t>SZ159915</t>
  </si>
  <si>
    <t>SZ159967</t>
  </si>
  <si>
    <t>SH515060</t>
  </si>
  <si>
    <t>SZ159975</t>
  </si>
  <si>
    <t>SH515200</t>
  </si>
  <si>
    <t>SH516020</t>
  </si>
  <si>
    <t>SZ162703</t>
  </si>
  <si>
    <t>SZ159708</t>
  </si>
  <si>
    <t>SH588000</t>
  </si>
  <si>
    <t>SH515280</t>
  </si>
  <si>
    <t>SH515800</t>
  </si>
  <si>
    <t>SH515170</t>
  </si>
  <si>
    <t>SH512690</t>
  </si>
  <si>
    <t>SH515110</t>
  </si>
  <si>
    <t>SH516970</t>
  </si>
  <si>
    <t>SH512590</t>
  </si>
  <si>
    <t>SH515920</t>
  </si>
  <si>
    <t>SH513990</t>
  </si>
  <si>
    <t>SH513980</t>
  </si>
  <si>
    <t>SH516550</t>
  </si>
  <si>
    <t>SH501022</t>
  </si>
  <si>
    <t>SH516760</t>
  </si>
  <si>
    <t>SZ159867</t>
  </si>
  <si>
    <t>SH517080</t>
  </si>
  <si>
    <t>SH515530</t>
  </si>
  <si>
    <t>SZ159969</t>
  </si>
  <si>
    <t>SH588050</t>
  </si>
  <si>
    <t>SH513060</t>
  </si>
  <si>
    <t>SH516680</t>
  </si>
  <si>
    <t>SH516520</t>
  </si>
  <si>
    <t>SH512710</t>
  </si>
  <si>
    <t>SH517050</t>
  </si>
  <si>
    <t>SZ159814</t>
  </si>
  <si>
    <t>SZ159982</t>
  </si>
  <si>
    <t>SH510230</t>
  </si>
  <si>
    <t>SZ159991</t>
  </si>
  <si>
    <t>SZ159601</t>
  </si>
  <si>
    <t>SH501058</t>
  </si>
  <si>
    <t>SH512090</t>
  </si>
  <si>
    <t>SH512600</t>
  </si>
  <si>
    <t>SZ160706</t>
  </si>
  <si>
    <t>SH510180</t>
  </si>
  <si>
    <t>SH588090</t>
  </si>
  <si>
    <t>SH516570</t>
  </si>
  <si>
    <t>SH515320</t>
  </si>
  <si>
    <t>SH510600</t>
  </si>
  <si>
    <t>SH516560</t>
  </si>
  <si>
    <t>SH516700</t>
  </si>
  <si>
    <t>SZ163409</t>
  </si>
  <si>
    <t>SZ161017</t>
  </si>
  <si>
    <t>SH515710</t>
  </si>
  <si>
    <t>SZ159740</t>
  </si>
  <si>
    <t>SZ159807</t>
  </si>
  <si>
    <t>SZ159899</t>
  </si>
  <si>
    <t>SH515070</t>
  </si>
  <si>
    <t>SZ159970</t>
  </si>
  <si>
    <t>SZ159745</t>
  </si>
  <si>
    <t>SH510590</t>
  </si>
  <si>
    <t>SZ159939</t>
  </si>
  <si>
    <t>SZ159922</t>
  </si>
  <si>
    <t>SH515580</t>
  </si>
  <si>
    <t>SZ159908</t>
  </si>
  <si>
    <t>SH510030</t>
  </si>
  <si>
    <t>SH513890</t>
  </si>
  <si>
    <t>SH515000</t>
  </si>
  <si>
    <t>SH512910</t>
  </si>
  <si>
    <t>SH516050</t>
  </si>
  <si>
    <t>SZ159602</t>
  </si>
  <si>
    <t>SH515810</t>
  </si>
  <si>
    <t>SZ159990</t>
  </si>
  <si>
    <t>SH515310</t>
  </si>
  <si>
    <t>SZ159931</t>
  </si>
  <si>
    <t>SZ159741</t>
  </si>
  <si>
    <t>SH515860</t>
  </si>
  <si>
    <t>SH513000</t>
  </si>
  <si>
    <t>SZ159901</t>
  </si>
  <si>
    <t>SZ159852</t>
  </si>
  <si>
    <t>SH512380</t>
  </si>
  <si>
    <t>SH517200</t>
  </si>
  <si>
    <t>SH512730</t>
  </si>
  <si>
    <t>SH516900</t>
  </si>
  <si>
    <t>SH516670</t>
  </si>
  <si>
    <t>SZ159941</t>
  </si>
  <si>
    <t>SH516310</t>
  </si>
  <si>
    <t>SH510810</t>
  </si>
  <si>
    <t>SH510210</t>
  </si>
  <si>
    <t>SZ159902</t>
  </si>
  <si>
    <t>SZ159742</t>
  </si>
  <si>
    <t>SH516110</t>
  </si>
  <si>
    <t>SH515880</t>
  </si>
  <si>
    <t>SH516770</t>
  </si>
  <si>
    <t>SH515930</t>
  </si>
  <si>
    <t>SH513860</t>
  </si>
  <si>
    <t>SH515250</t>
  </si>
  <si>
    <t>SH515770</t>
  </si>
  <si>
    <t>SH510710</t>
  </si>
  <si>
    <t>SH513550</t>
  </si>
  <si>
    <t>SH510500</t>
  </si>
  <si>
    <t>SZ159811</t>
  </si>
  <si>
    <t>SZ163402</t>
  </si>
  <si>
    <t>SZ159919</t>
  </si>
  <si>
    <t>SH512500</t>
  </si>
  <si>
    <t>SZ159940</t>
  </si>
  <si>
    <t>SZ159887</t>
  </si>
  <si>
    <t>SH512520</t>
  </si>
  <si>
    <t>SH515330</t>
  </si>
  <si>
    <t>SH515650</t>
  </si>
  <si>
    <t>SH515290</t>
  </si>
  <si>
    <t>SZ160119</t>
  </si>
  <si>
    <t>SZ159865</t>
  </si>
  <si>
    <t>SH510510</t>
  </si>
  <si>
    <t>SZ161810</t>
  </si>
  <si>
    <t>SH510310</t>
  </si>
  <si>
    <t>SH501090</t>
  </si>
  <si>
    <t>SH512900</t>
  </si>
  <si>
    <t>SH510580</t>
  </si>
  <si>
    <t>SH515900</t>
  </si>
  <si>
    <t>SZ159766</t>
  </si>
  <si>
    <t>SH560050</t>
  </si>
  <si>
    <t>SZ161720</t>
  </si>
  <si>
    <t>SH563000</t>
  </si>
  <si>
    <t>SH513500</t>
  </si>
  <si>
    <t>SH516330</t>
  </si>
  <si>
    <t>SZ159747</t>
  </si>
  <si>
    <t>SH512980</t>
  </si>
  <si>
    <t>SH515350</t>
  </si>
  <si>
    <t>SH515050</t>
  </si>
  <si>
    <t>SH510680</t>
  </si>
  <si>
    <t>SH512160</t>
  </si>
  <si>
    <t>SH515230</t>
  </si>
  <si>
    <t>SZ159996</t>
  </si>
  <si>
    <t>SH510360</t>
  </si>
  <si>
    <t>SH510050</t>
  </si>
  <si>
    <t>SZ159994</t>
  </si>
  <si>
    <t>SZ159870</t>
  </si>
  <si>
    <t>SH513130</t>
  </si>
  <si>
    <t>SH501050</t>
  </si>
  <si>
    <t>SH510800</t>
  </si>
  <si>
    <t>SH513690</t>
  </si>
  <si>
    <t>SH515010</t>
  </si>
  <si>
    <t>SH512990</t>
  </si>
  <si>
    <t>SH512040</t>
  </si>
  <si>
    <t>SH510850</t>
  </si>
  <si>
    <t>SZ159925</t>
  </si>
  <si>
    <t>SH512800</t>
  </si>
  <si>
    <t>SH515400</t>
  </si>
  <si>
    <t>SH515390</t>
  </si>
  <si>
    <t>SZ159905</t>
  </si>
  <si>
    <t>SZ159855</t>
  </si>
  <si>
    <t>SH515560</t>
  </si>
  <si>
    <t>SH512570</t>
  </si>
  <si>
    <t>SH512700</t>
  </si>
  <si>
    <t>SH510300</t>
  </si>
  <si>
    <t>SZ159823</t>
  </si>
  <si>
    <t>SZ159998</t>
  </si>
  <si>
    <t>SH512220</t>
  </si>
  <si>
    <t>SH512070</t>
  </si>
  <si>
    <t>SZ165525</t>
  </si>
  <si>
    <t>SH510390</t>
  </si>
  <si>
    <t>SZ159888</t>
  </si>
  <si>
    <t>SH510100</t>
  </si>
  <si>
    <t>SH515380</t>
  </si>
  <si>
    <t>SH517390</t>
  </si>
  <si>
    <t>SH515130</t>
  </si>
  <si>
    <t>SH510650</t>
  </si>
  <si>
    <t>SH510330</t>
  </si>
  <si>
    <t>SH561300</t>
  </si>
  <si>
    <t>SH513100</t>
  </si>
  <si>
    <t>SZ159848</t>
  </si>
  <si>
    <t>SH510350</t>
  </si>
  <si>
    <t>SH513580</t>
  </si>
  <si>
    <t>SZ164906</t>
  </si>
  <si>
    <t>SH512200</t>
  </si>
  <si>
    <t>SZ159707</t>
  </si>
  <si>
    <t>SH512720</t>
  </si>
  <si>
    <t>SZ159993</t>
  </si>
  <si>
    <t>SH501021</t>
  </si>
  <si>
    <t>SH516010</t>
  </si>
  <si>
    <t>SH513660</t>
  </si>
  <si>
    <t>SH512150</t>
  </si>
  <si>
    <t>SZ159892</t>
  </si>
  <si>
    <t>SZ161005</t>
  </si>
  <si>
    <t>SH515870</t>
  </si>
  <si>
    <t>SH512820</t>
  </si>
  <si>
    <t>SZ159851</t>
  </si>
  <si>
    <t>SH512880</t>
  </si>
  <si>
    <t>SH513010</t>
  </si>
  <si>
    <t>SZ159805</t>
  </si>
  <si>
    <t>SH513880</t>
  </si>
  <si>
    <t>SZ159869</t>
  </si>
  <si>
    <t>SH512000</t>
  </si>
  <si>
    <t>SZ159735</t>
  </si>
  <si>
    <t>SZ159965</t>
  </si>
  <si>
    <t>SZ167301</t>
  </si>
  <si>
    <t>SZ159920</t>
  </si>
  <si>
    <t>SH512750</t>
  </si>
  <si>
    <t>SH516200</t>
  </si>
  <si>
    <t>SH517360</t>
  </si>
  <si>
    <t>SZ159850</t>
  </si>
  <si>
    <t>SH515850</t>
  </si>
  <si>
    <t>SZ159841</t>
  </si>
  <si>
    <t>SH515630</t>
  </si>
  <si>
    <t>SH513600</t>
  </si>
  <si>
    <t>SH513520</t>
  </si>
  <si>
    <t>SZ159842</t>
  </si>
  <si>
    <t>SZ159936</t>
  </si>
  <si>
    <t>SZ161831</t>
  </si>
  <si>
    <t>SH510200</t>
  </si>
  <si>
    <t>SH517350</t>
  </si>
  <si>
    <t>SZ160717</t>
  </si>
  <si>
    <t>SH510900</t>
  </si>
  <si>
    <t>SH513030</t>
  </si>
  <si>
    <t>SZ159856</t>
  </si>
  <si>
    <t>SH513090</t>
  </si>
  <si>
    <t>SH513180</t>
  </si>
  <si>
    <t>SH513330</t>
  </si>
  <si>
    <t>SH513050</t>
  </si>
  <si>
    <t>SZ159605</t>
  </si>
  <si>
    <t>SZ159607</t>
  </si>
  <si>
    <t>SH513360</t>
  </si>
  <si>
    <t>SH513300</t>
  </si>
  <si>
    <t>SZ159822</t>
  </si>
  <si>
    <t>SH513080</t>
  </si>
  <si>
    <t>SZ164824</t>
  </si>
  <si>
    <t>SZ161130</t>
  </si>
  <si>
    <t>SZ160723</t>
  </si>
  <si>
    <t>SZ162719</t>
  </si>
  <si>
    <t>SZ161129</t>
  </si>
  <si>
    <t>SZ161128</t>
  </si>
  <si>
    <t>SZ161127</t>
  </si>
  <si>
    <t>SH501018</t>
  </si>
  <si>
    <t>最新排名</t>
    <phoneticPr fontId="2" type="noConversion"/>
  </si>
  <si>
    <t>盘龙转债</t>
  </si>
  <si>
    <t>精装转债</t>
  </si>
  <si>
    <t>申昊转债</t>
  </si>
  <si>
    <t>盛虹转债</t>
  </si>
  <si>
    <t>苏利转债</t>
  </si>
  <si>
    <t>双箭转债</t>
  </si>
  <si>
    <t>锦浪转债</t>
  </si>
  <si>
    <t>天奈转债</t>
  </si>
  <si>
    <t>铂科转债</t>
  </si>
  <si>
    <t>丝路转债</t>
  </si>
  <si>
    <t>宏丰转债</t>
  </si>
  <si>
    <t>天地转债</t>
  </si>
  <si>
    <t>华正转债</t>
  </si>
  <si>
    <t>豪美转债</t>
  </si>
  <si>
    <t>飞鹿转债</t>
  </si>
  <si>
    <t>美联转债</t>
  </si>
  <si>
    <t>斯莱转债</t>
  </si>
  <si>
    <t>同和转债</t>
  </si>
  <si>
    <t>九洲转2</t>
  </si>
  <si>
    <t>太阳转债</t>
  </si>
  <si>
    <t>利尔转债</t>
  </si>
  <si>
    <t>鸿达转债</t>
  </si>
  <si>
    <t>新天转债</t>
  </si>
  <si>
    <t>华统转债</t>
  </si>
  <si>
    <t>最新VIP排名</t>
    <phoneticPr fontId="2" type="noConversion"/>
  </si>
  <si>
    <t>南方上海金ETF</t>
  </si>
  <si>
    <t>SZ159834</t>
  </si>
  <si>
    <t>最新双低排名</t>
    <phoneticPr fontId="2" type="noConversion"/>
  </si>
  <si>
    <t>湖广转债</t>
  </si>
  <si>
    <t>寿仙转债</t>
  </si>
  <si>
    <t>阿拉转债</t>
  </si>
  <si>
    <t>日经ETF</t>
  </si>
  <si>
    <t>有色ETF</t>
  </si>
  <si>
    <t>能源化工</t>
  </si>
  <si>
    <t>恒生科技</t>
  </si>
  <si>
    <t>最新VIP可转债排名</t>
    <phoneticPr fontId="2" type="noConversion"/>
  </si>
  <si>
    <t>明新转债</t>
  </si>
  <si>
    <t>风语转债</t>
  </si>
  <si>
    <t>震安转债</t>
  </si>
  <si>
    <t>山石转债</t>
  </si>
  <si>
    <t>胜蓝转债</t>
  </si>
  <si>
    <t>聚合转债</t>
  </si>
  <si>
    <t>文灿转债</t>
  </si>
  <si>
    <t>石英转债</t>
  </si>
  <si>
    <t>天铁转债</t>
  </si>
  <si>
    <t>中矿转债</t>
  </si>
  <si>
    <t>金禾转债</t>
  </si>
  <si>
    <t>苏试转债</t>
  </si>
  <si>
    <t>鼎胜转债</t>
  </si>
  <si>
    <t>齐翔转2</t>
  </si>
  <si>
    <t>伊力转债</t>
  </si>
  <si>
    <t>大成上海金ETF</t>
  </si>
  <si>
    <t>SZ159833</t>
  </si>
  <si>
    <t>封闭股基</t>
  </si>
  <si>
    <t>科创华泰</t>
  </si>
  <si>
    <t>科创中金</t>
  </si>
  <si>
    <t>SH506008</t>
  </si>
  <si>
    <t>科创长城</t>
  </si>
  <si>
    <t>SZ184801</t>
  </si>
  <si>
    <t>鹏华前海</t>
  </si>
  <si>
    <t>中欧创业</t>
  </si>
  <si>
    <t>科创基金</t>
  </si>
  <si>
    <t>安信价值</t>
  </si>
  <si>
    <t>创业大成</t>
  </si>
  <si>
    <t>BOCI科创</t>
  </si>
  <si>
    <t>科创中欧</t>
  </si>
  <si>
    <t>兴全合兴</t>
  </si>
  <si>
    <t>科创混合</t>
  </si>
  <si>
    <t>科创主题</t>
  </si>
  <si>
    <t>富国科创</t>
  </si>
  <si>
    <t>创业博时</t>
  </si>
  <si>
    <t>科创板基</t>
  </si>
  <si>
    <t>创业富国</t>
  </si>
  <si>
    <t>科创投资</t>
  </si>
  <si>
    <t>万家创业</t>
  </si>
  <si>
    <t>添富科创</t>
  </si>
  <si>
    <t>科创大成</t>
  </si>
  <si>
    <t>万家科创</t>
  </si>
  <si>
    <t>科创银华</t>
  </si>
  <si>
    <t>科创富国</t>
  </si>
  <si>
    <t>社会责任</t>
  </si>
  <si>
    <t>创业广发</t>
  </si>
  <si>
    <t>东证睿泽</t>
  </si>
  <si>
    <t>科创板BS</t>
  </si>
  <si>
    <t>易基科创</t>
  </si>
  <si>
    <t>科创配置</t>
  </si>
  <si>
    <t>华夏创业</t>
  </si>
  <si>
    <t>科创财通</t>
  </si>
  <si>
    <t>封闭债基</t>
  </si>
  <si>
    <t>诺安纯债</t>
  </si>
  <si>
    <t>指数ETF</t>
  </si>
  <si>
    <t>AIETF</t>
  </si>
  <si>
    <t>A800ETF</t>
  </si>
  <si>
    <t>中银中证800ETF</t>
  </si>
  <si>
    <t>中证500低波ETF</t>
  </si>
  <si>
    <t>可选消费</t>
  </si>
  <si>
    <t>金融ETF</t>
  </si>
  <si>
    <t>申万上证50ETF</t>
  </si>
  <si>
    <t>央视50</t>
  </si>
  <si>
    <t>500等权ETF</t>
  </si>
  <si>
    <t>MSCIETF</t>
  </si>
  <si>
    <t>生物ETF</t>
  </si>
  <si>
    <t>创业板E</t>
  </si>
  <si>
    <t>深成ETF</t>
  </si>
  <si>
    <t>有色ETF基金</t>
  </si>
  <si>
    <t>上证50ETF基金</t>
  </si>
  <si>
    <t>线上消费</t>
  </si>
  <si>
    <t>沪深300添富ETF</t>
  </si>
  <si>
    <t>战略新兴ETF</t>
  </si>
  <si>
    <t>大数据50ETF</t>
  </si>
  <si>
    <t>医疗</t>
  </si>
  <si>
    <t>深证ETF</t>
  </si>
  <si>
    <t>大数据产业ETF</t>
  </si>
  <si>
    <t>深100ET</t>
  </si>
  <si>
    <t>央调ETF</t>
  </si>
  <si>
    <t>价值ETF</t>
  </si>
  <si>
    <t>中证长三角领先</t>
  </si>
  <si>
    <t>长三角ETF</t>
  </si>
  <si>
    <t>一带一路ETF</t>
  </si>
  <si>
    <t>南方300</t>
  </si>
  <si>
    <t>漂亮50ETF</t>
  </si>
  <si>
    <t>车联网</t>
  </si>
  <si>
    <t>创新药业</t>
  </si>
  <si>
    <t>创新100ETF</t>
  </si>
  <si>
    <t>生物科技ETF</t>
  </si>
  <si>
    <t>沪港深300ETF</t>
  </si>
  <si>
    <t>医药50</t>
  </si>
  <si>
    <t>科技ETF基金</t>
  </si>
  <si>
    <t>医药卫生ETF</t>
  </si>
  <si>
    <t>云计算50ETF</t>
  </si>
  <si>
    <t>金融</t>
  </si>
  <si>
    <t>上海国企ETF</t>
  </si>
  <si>
    <t>创业板HX</t>
  </si>
  <si>
    <t>A50ETF</t>
  </si>
  <si>
    <t>沪港深科技ETF</t>
  </si>
  <si>
    <t>有色50ETF</t>
  </si>
  <si>
    <t>有色</t>
  </si>
  <si>
    <t>新材料</t>
  </si>
  <si>
    <t>创新药产业ETF</t>
  </si>
  <si>
    <t>能源</t>
  </si>
  <si>
    <t>平安中证500ETF</t>
  </si>
  <si>
    <t>小盘价值</t>
  </si>
  <si>
    <t>智能消费ETF</t>
  </si>
  <si>
    <t>新能源80ETF</t>
  </si>
  <si>
    <t>300ESGETF</t>
  </si>
  <si>
    <t>智能车</t>
  </si>
  <si>
    <t>信息科技ETF</t>
  </si>
  <si>
    <t>上证券商ETF</t>
  </si>
  <si>
    <t>深成长</t>
  </si>
  <si>
    <t>中概科技ETF</t>
  </si>
  <si>
    <t>智能电动车ETF</t>
  </si>
  <si>
    <t>深100P</t>
  </si>
  <si>
    <t>可持续发展ETF</t>
  </si>
  <si>
    <t>景顺MSCIA股ETF</t>
  </si>
  <si>
    <t>智能制造ETF</t>
  </si>
  <si>
    <t>养老ETF</t>
  </si>
  <si>
    <t>先进制造ETF</t>
  </si>
  <si>
    <t>央企改革ETF</t>
  </si>
  <si>
    <t>农业50</t>
  </si>
  <si>
    <t>浦银创业</t>
  </si>
  <si>
    <t>有色金属</t>
  </si>
  <si>
    <t>创业板ET</t>
  </si>
  <si>
    <t>互联网ETF</t>
  </si>
  <si>
    <t>银行ETF华夏</t>
  </si>
  <si>
    <t>高端装备ETF</t>
  </si>
  <si>
    <t>新材料ETF基金</t>
  </si>
  <si>
    <t>中证800ETF</t>
  </si>
  <si>
    <t>证券行业ETF</t>
  </si>
  <si>
    <t>医疗服务ETF</t>
  </si>
  <si>
    <t>医药健康ETF</t>
  </si>
  <si>
    <t>500ETF基</t>
  </si>
  <si>
    <t>器械ETF</t>
  </si>
  <si>
    <t>创业板RT</t>
  </si>
  <si>
    <t>医疗设备</t>
  </si>
  <si>
    <t>沪港深500ETF基金</t>
  </si>
  <si>
    <t>创蓝筹</t>
  </si>
  <si>
    <t>一带一路国企ETF</t>
  </si>
  <si>
    <t>MSCIA股ETF</t>
  </si>
  <si>
    <t>新能源50ETF</t>
  </si>
  <si>
    <t>创新药ETF易方达</t>
  </si>
  <si>
    <t>软件基金</t>
  </si>
  <si>
    <t>300ETF天弘</t>
  </si>
  <si>
    <t>1000ETF基金</t>
  </si>
  <si>
    <t>创业板BS</t>
  </si>
  <si>
    <t>智能驾驶ETF</t>
  </si>
  <si>
    <t>质量ETF</t>
  </si>
  <si>
    <t>沪港深创新药ETF</t>
  </si>
  <si>
    <t>创新ETF</t>
  </si>
  <si>
    <t>云ETF</t>
  </si>
  <si>
    <t>中小100</t>
  </si>
  <si>
    <t>化工ETF</t>
  </si>
  <si>
    <t>证券ETF易方达</t>
  </si>
  <si>
    <t>基本面50ETF</t>
  </si>
  <si>
    <t>证保ETF</t>
  </si>
  <si>
    <t>央企创新</t>
  </si>
  <si>
    <t>大宗商品ETF</t>
  </si>
  <si>
    <t>央创ETF</t>
  </si>
  <si>
    <t>MSCI中国ETF</t>
  </si>
  <si>
    <t>深100SZ</t>
  </si>
  <si>
    <t>医药50ETF</t>
  </si>
  <si>
    <t>电子ETF</t>
  </si>
  <si>
    <t>沪深300ETF博时</t>
  </si>
  <si>
    <t>高股息ETF</t>
  </si>
  <si>
    <t>平安沪深300ETF</t>
  </si>
  <si>
    <t>科技ETF150</t>
  </si>
  <si>
    <t>红利ETF</t>
  </si>
  <si>
    <t>影视ETF</t>
  </si>
  <si>
    <t>沪深300ETF基金</t>
  </si>
  <si>
    <t>消费ETF基金</t>
  </si>
  <si>
    <t>云计算沪港深ETF</t>
  </si>
  <si>
    <t>食品50ETF</t>
  </si>
  <si>
    <t>MSCIA股ETF易方达</t>
  </si>
  <si>
    <t>化工行业ETF</t>
  </si>
  <si>
    <t>物联网ETF</t>
  </si>
  <si>
    <t>中证500</t>
  </si>
  <si>
    <t>金融地产ETF</t>
  </si>
  <si>
    <t>养殖ETF</t>
  </si>
  <si>
    <t>光伏ETF平安</t>
  </si>
  <si>
    <t>中证医疗</t>
  </si>
  <si>
    <t>智能汽车50ETF</t>
  </si>
  <si>
    <t>5G50ETF</t>
  </si>
  <si>
    <t>创新药指</t>
  </si>
  <si>
    <t>光伏产业</t>
  </si>
  <si>
    <t>人工智能AIETF</t>
  </si>
  <si>
    <t>科技100ETF</t>
  </si>
  <si>
    <t>工银沪深300ETF</t>
  </si>
  <si>
    <t>资源ETF</t>
  </si>
  <si>
    <t>港股通ETF</t>
  </si>
  <si>
    <t>上投摩根MSCIAETF</t>
  </si>
  <si>
    <t>科技龙头ETF</t>
  </si>
  <si>
    <t>金科ETF</t>
  </si>
  <si>
    <t>农业ETF</t>
  </si>
  <si>
    <t>软件ETF</t>
  </si>
  <si>
    <t>中证500指数ETF</t>
  </si>
  <si>
    <t>计算机</t>
  </si>
  <si>
    <t>创大盘</t>
  </si>
  <si>
    <t>券商ETF基金</t>
  </si>
  <si>
    <t>医药龙头ETF</t>
  </si>
  <si>
    <t>机械ETF</t>
  </si>
  <si>
    <t>红利100ETF</t>
  </si>
  <si>
    <t>中证100ETF</t>
  </si>
  <si>
    <t>证券龙头ETF</t>
  </si>
  <si>
    <t>食品饮料</t>
  </si>
  <si>
    <t>低碳ETF</t>
  </si>
  <si>
    <t>医疗创新ETF</t>
  </si>
  <si>
    <t>红利低波ETF</t>
  </si>
  <si>
    <t>中证银行ETF</t>
  </si>
  <si>
    <t>银行龙头ETF</t>
  </si>
  <si>
    <t>银行ETF易方达</t>
  </si>
  <si>
    <t>互联网50ETF</t>
  </si>
  <si>
    <t>证券公司</t>
  </si>
  <si>
    <t>新能源汽车ETF</t>
  </si>
  <si>
    <t>银行业ETF</t>
  </si>
  <si>
    <t>电池ETF基金</t>
  </si>
  <si>
    <t>电子50ETF</t>
  </si>
  <si>
    <t>传媒ETF</t>
  </si>
  <si>
    <t>游戏动漫ETF</t>
  </si>
  <si>
    <t>双创50</t>
  </si>
  <si>
    <t>环保ETF</t>
  </si>
  <si>
    <t>价值100ETF</t>
  </si>
  <si>
    <t>创业大盘</t>
  </si>
  <si>
    <t>上证50ETF博时</t>
  </si>
  <si>
    <t>创业板EF</t>
  </si>
  <si>
    <t>科技50ETF</t>
  </si>
  <si>
    <t>红利ETF博时</t>
  </si>
  <si>
    <t>港股通科技ETF</t>
  </si>
  <si>
    <t>大数据ETF</t>
  </si>
  <si>
    <t>畜牧养殖ETF</t>
  </si>
  <si>
    <t>MSCI中国A股ETF</t>
  </si>
  <si>
    <t>科创创业50ETF</t>
  </si>
  <si>
    <t>民生加银300ETF</t>
  </si>
  <si>
    <t>医疗器械</t>
  </si>
  <si>
    <t>证券ETF建信</t>
  </si>
  <si>
    <t>云计算ETF</t>
  </si>
  <si>
    <t>能源ETF</t>
  </si>
  <si>
    <t>港股消费</t>
  </si>
  <si>
    <t>800ETF</t>
  </si>
  <si>
    <t>生物药</t>
  </si>
  <si>
    <t>科创50ETF基金</t>
  </si>
  <si>
    <t>必选消费ETF</t>
  </si>
  <si>
    <t>房地产ETF基金</t>
  </si>
  <si>
    <t>汽车ETF</t>
  </si>
  <si>
    <t>消费ETF</t>
  </si>
  <si>
    <t>光伏50ETF</t>
  </si>
  <si>
    <t>科创创业ETF</t>
  </si>
  <si>
    <t>有色60</t>
  </si>
  <si>
    <t>互联网50</t>
  </si>
  <si>
    <t>医药ETF</t>
  </si>
  <si>
    <t>ZZ500ETF</t>
  </si>
  <si>
    <t>科技50</t>
  </si>
  <si>
    <t>物流ETF</t>
  </si>
  <si>
    <t>50ETF基金</t>
  </si>
  <si>
    <t>计算机ETF</t>
  </si>
  <si>
    <t>创业板TH</t>
  </si>
  <si>
    <t>红利ETF易方达</t>
  </si>
  <si>
    <t>芯片基金</t>
  </si>
  <si>
    <t>券商ETF</t>
  </si>
  <si>
    <t>港股通100ETF</t>
  </si>
  <si>
    <t>上证50ETF易方达</t>
  </si>
  <si>
    <t>通信ETF</t>
  </si>
  <si>
    <t>中证500ETF易方达</t>
  </si>
  <si>
    <t>新能源ETF易方达</t>
  </si>
  <si>
    <t>食品ETF</t>
  </si>
  <si>
    <t>碳中和龙头ETF</t>
  </si>
  <si>
    <t>5GETF</t>
  </si>
  <si>
    <t>新能汽车</t>
  </si>
  <si>
    <t>上证综指ETF</t>
  </si>
  <si>
    <t>碳中和50ETF</t>
  </si>
  <si>
    <t>双创龙头ETF</t>
  </si>
  <si>
    <t>创新药ETF</t>
  </si>
  <si>
    <t>中证500ETF基金</t>
  </si>
  <si>
    <t>新能车</t>
  </si>
  <si>
    <t>军工ETF基金</t>
  </si>
  <si>
    <t>AI智能</t>
  </si>
  <si>
    <t>地产ETF</t>
  </si>
  <si>
    <t>中证1000</t>
  </si>
  <si>
    <t>医药</t>
  </si>
  <si>
    <t>华安沪深300ETF</t>
  </si>
  <si>
    <t>信息技术</t>
  </si>
  <si>
    <t>生物科技</t>
  </si>
  <si>
    <t>国防军工ETF</t>
  </si>
  <si>
    <t>医疗ETF</t>
  </si>
  <si>
    <t>豆粕ETF</t>
  </si>
  <si>
    <t>银行ETF</t>
  </si>
  <si>
    <t>游戏ETF</t>
  </si>
  <si>
    <t>中证红利ETF</t>
  </si>
  <si>
    <t>智能汽车ETF</t>
  </si>
  <si>
    <t>科技ETF</t>
  </si>
  <si>
    <t>消费50ETF</t>
  </si>
  <si>
    <t>生物医药ETF</t>
  </si>
  <si>
    <t>芯片</t>
  </si>
  <si>
    <t>畜牧ETF</t>
  </si>
  <si>
    <t>龙头券商</t>
  </si>
  <si>
    <t>建材ETF</t>
  </si>
  <si>
    <t>双创ETF</t>
  </si>
  <si>
    <t>上证180ETF</t>
  </si>
  <si>
    <t>港股科技50ETF</t>
  </si>
  <si>
    <t>深红利</t>
  </si>
  <si>
    <t>稀土ETF</t>
  </si>
  <si>
    <t>恒生高股息ETF</t>
  </si>
  <si>
    <t>稀土ETF基金</t>
  </si>
  <si>
    <t>新能汽车ETF</t>
  </si>
  <si>
    <t>证券ETF基金</t>
  </si>
  <si>
    <t>科创板ETF</t>
  </si>
  <si>
    <t>军工ETF易方达</t>
  </si>
  <si>
    <t>创业ETF</t>
  </si>
  <si>
    <t>创50ETF</t>
  </si>
  <si>
    <t>双创50ETF</t>
  </si>
  <si>
    <t>光伏ETF</t>
  </si>
  <si>
    <t>食品饮料ETF</t>
  </si>
  <si>
    <t>深100ETF</t>
  </si>
  <si>
    <t>创新药</t>
  </si>
  <si>
    <t>国防ETF</t>
  </si>
  <si>
    <t>电池ETF</t>
  </si>
  <si>
    <t>上证指数ETF</t>
  </si>
  <si>
    <t>有色金属ETF</t>
  </si>
  <si>
    <t>钢铁ETF</t>
  </si>
  <si>
    <t>国债ETF</t>
  </si>
  <si>
    <t>军工龙头ETF</t>
  </si>
  <si>
    <t>家电ETF</t>
  </si>
  <si>
    <t>证券ETF</t>
  </si>
  <si>
    <t>银行ETF天弘</t>
  </si>
  <si>
    <t>中国A50</t>
  </si>
  <si>
    <t>港股通50ETF</t>
  </si>
  <si>
    <t>银行ETF基金</t>
  </si>
  <si>
    <t>创成长</t>
  </si>
  <si>
    <t>十年国债ETF</t>
  </si>
  <si>
    <t>500ETF</t>
  </si>
  <si>
    <t>新能源ETF</t>
  </si>
  <si>
    <t>基建ETF</t>
  </si>
  <si>
    <t>科创ETF</t>
  </si>
  <si>
    <t>旅游ETF</t>
  </si>
  <si>
    <t>沪深300ETF易方达</t>
  </si>
  <si>
    <t>中证1000ETF</t>
  </si>
  <si>
    <t>证券保险ETF</t>
  </si>
  <si>
    <t>双创基金</t>
  </si>
  <si>
    <t>新能车ETF</t>
  </si>
  <si>
    <t>煤炭ETF</t>
  </si>
  <si>
    <t>芯片ETF</t>
  </si>
  <si>
    <t>500ETF基金</t>
  </si>
  <si>
    <t>科创板50ETF</t>
  </si>
  <si>
    <t>科创创业</t>
  </si>
  <si>
    <t>房地产ETF</t>
  </si>
  <si>
    <t>军工ETF</t>
  </si>
  <si>
    <t>半导体ETF</t>
  </si>
  <si>
    <t>300ETF</t>
  </si>
  <si>
    <t>香港证券ETF</t>
  </si>
  <si>
    <t>酒ETF</t>
  </si>
  <si>
    <t>基建50ETF</t>
  </si>
  <si>
    <t>300ETF基金</t>
  </si>
  <si>
    <t>300增强ETF</t>
  </si>
  <si>
    <t>新能源车ETF</t>
  </si>
  <si>
    <t>MSCI中国A50ETF</t>
  </si>
  <si>
    <t>H股ETF</t>
  </si>
  <si>
    <t>A50</t>
  </si>
  <si>
    <t>科创50ETF</t>
  </si>
  <si>
    <t>中国A50ETF</t>
  </si>
  <si>
    <t>创业板50</t>
  </si>
  <si>
    <t>创业板</t>
  </si>
  <si>
    <t>中证500ETF</t>
  </si>
  <si>
    <t>上证50ETF</t>
  </si>
  <si>
    <t>沪深300ETF</t>
  </si>
  <si>
    <t>黄金ETF</t>
  </si>
  <si>
    <t>黄金9999</t>
  </si>
  <si>
    <t>金ETF</t>
  </si>
  <si>
    <t>黄金基金ETF</t>
  </si>
  <si>
    <t>黄金ETF9999</t>
  </si>
  <si>
    <t>添富快钱</t>
  </si>
  <si>
    <t>场内货币</t>
  </si>
  <si>
    <t>交易货币</t>
  </si>
  <si>
    <t>招商快线</t>
  </si>
  <si>
    <t>理财金H</t>
  </si>
  <si>
    <t>保证金</t>
  </si>
  <si>
    <t>建信添益</t>
  </si>
  <si>
    <t>财富宝E</t>
  </si>
  <si>
    <t>银华日利</t>
  </si>
  <si>
    <t>华宝添益</t>
  </si>
  <si>
    <t>中概互联</t>
  </si>
  <si>
    <t>欧美指数</t>
  </si>
  <si>
    <t>互联中概</t>
  </si>
  <si>
    <t>中国互联</t>
  </si>
  <si>
    <t>标普生物</t>
  </si>
  <si>
    <t>新经济</t>
  </si>
  <si>
    <t>印度基金</t>
  </si>
  <si>
    <t>法国ETF</t>
  </si>
  <si>
    <t>标普500</t>
  </si>
  <si>
    <t>美国消费</t>
  </si>
  <si>
    <t>纳斯达克</t>
  </si>
  <si>
    <t>纳指ETF</t>
  </si>
  <si>
    <t>纳指LOF</t>
  </si>
  <si>
    <t>标普科技</t>
  </si>
  <si>
    <t>教育ETF</t>
  </si>
  <si>
    <t>南方原油</t>
  </si>
  <si>
    <t>商品</t>
  </si>
  <si>
    <t>广发石油</t>
  </si>
  <si>
    <t>华宝油气</t>
  </si>
  <si>
    <t>原油基金</t>
  </si>
  <si>
    <t>石油基金</t>
  </si>
  <si>
    <t>SH508099</t>
  </si>
  <si>
    <t>中关村</t>
  </si>
  <si>
    <t>REITs</t>
  </si>
  <si>
    <t>SH508056</t>
  </si>
  <si>
    <t>普洛斯</t>
  </si>
  <si>
    <t>SH508027</t>
  </si>
  <si>
    <t>东吴苏园</t>
  </si>
  <si>
    <t>SH508018</t>
  </si>
  <si>
    <t>中交REIT</t>
  </si>
  <si>
    <t>SH508006</t>
  </si>
  <si>
    <t>首创水务</t>
  </si>
  <si>
    <t>SH508001</t>
  </si>
  <si>
    <t>浙江杭徽</t>
  </si>
  <si>
    <t>SH508000</t>
  </si>
  <si>
    <t>张江REIT</t>
  </si>
  <si>
    <t>首钢绿能</t>
  </si>
  <si>
    <t>SZ180301</t>
  </si>
  <si>
    <t>盐港REIT</t>
  </si>
  <si>
    <t>SZ180202</t>
  </si>
  <si>
    <t>华夏越秀高速REIT</t>
  </si>
  <si>
    <t>SZ180201</t>
  </si>
  <si>
    <t>广州广河</t>
  </si>
  <si>
    <t>SZ180101</t>
  </si>
  <si>
    <t>蛇口产园</t>
  </si>
  <si>
    <t>股票LOF</t>
  </si>
  <si>
    <t>华夏创新</t>
  </si>
  <si>
    <t>鹏华创新</t>
  </si>
  <si>
    <t>中欧创新</t>
  </si>
  <si>
    <t>银华鑫锐</t>
  </si>
  <si>
    <t>银华鑫盛</t>
  </si>
  <si>
    <t>广发小盘</t>
  </si>
  <si>
    <t>富国天惠</t>
  </si>
  <si>
    <t>兴全合宜</t>
  </si>
  <si>
    <t>指数LOF</t>
  </si>
  <si>
    <t>消费基金</t>
  </si>
  <si>
    <t>煤炭等权</t>
  </si>
  <si>
    <t>50AH</t>
  </si>
  <si>
    <t>南方500</t>
  </si>
  <si>
    <t>新汽车</t>
  </si>
  <si>
    <t>500增强</t>
  </si>
  <si>
    <t>国防LOF</t>
  </si>
  <si>
    <t>新能车C</t>
  </si>
  <si>
    <t>证券基金</t>
  </si>
  <si>
    <t>富国500</t>
  </si>
  <si>
    <t>生物医药</t>
  </si>
  <si>
    <t>酒LOF</t>
  </si>
  <si>
    <t>嘉实300A</t>
  </si>
  <si>
    <t>红利基金</t>
  </si>
  <si>
    <t>中药C</t>
  </si>
  <si>
    <t>煤炭</t>
  </si>
  <si>
    <t>军工</t>
  </si>
  <si>
    <t>新能源车</t>
  </si>
  <si>
    <t>创业</t>
  </si>
  <si>
    <t>保险主题</t>
  </si>
  <si>
    <t>基建工程</t>
  </si>
  <si>
    <t>中药基金</t>
  </si>
  <si>
    <t>白酒基金</t>
  </si>
  <si>
    <t>SZ159779</t>
  </si>
  <si>
    <t>消电50</t>
  </si>
  <si>
    <t>SH517100</t>
  </si>
  <si>
    <t>AH500ETF</t>
  </si>
  <si>
    <t>SH517000</t>
  </si>
  <si>
    <t>沪港深500ETF</t>
  </si>
  <si>
    <t>SH513700</t>
  </si>
  <si>
    <t>香港医药ETF</t>
  </si>
  <si>
    <t>SZ159776</t>
  </si>
  <si>
    <t>医药港股</t>
  </si>
  <si>
    <t>德国ETF</t>
  </si>
  <si>
    <t>SH513680</t>
  </si>
  <si>
    <t>建信H股</t>
  </si>
  <si>
    <t>亚洲指数</t>
  </si>
  <si>
    <t>SH501311</t>
  </si>
  <si>
    <t>新经济HK</t>
  </si>
  <si>
    <t>SZ159960</t>
  </si>
  <si>
    <t>恒生国企</t>
  </si>
  <si>
    <t>香港中小</t>
  </si>
  <si>
    <t>SH501025</t>
  </si>
  <si>
    <t>香港银行</t>
  </si>
  <si>
    <t>恒生中企</t>
  </si>
  <si>
    <t>H股50ETF</t>
  </si>
  <si>
    <t>225ETF</t>
  </si>
  <si>
    <t>港股通综</t>
  </si>
  <si>
    <t>日经225</t>
  </si>
  <si>
    <t>恒生生物</t>
  </si>
  <si>
    <t>H股50</t>
  </si>
  <si>
    <t>港股100</t>
  </si>
  <si>
    <t>港股科技</t>
  </si>
  <si>
    <t>SZ159954</t>
  </si>
  <si>
    <t>恒生通</t>
  </si>
  <si>
    <t>恒指ETF</t>
  </si>
  <si>
    <t>HS科技</t>
  </si>
  <si>
    <t>恒指科技</t>
  </si>
  <si>
    <t>港股通50</t>
  </si>
  <si>
    <t>香港证券</t>
  </si>
  <si>
    <t>恒生ETF</t>
  </si>
  <si>
    <t>恒生医疗</t>
  </si>
  <si>
    <t>恒生互联</t>
  </si>
  <si>
    <t>SZ169106</t>
  </si>
  <si>
    <t>东证创优</t>
  </si>
  <si>
    <t>SH515300</t>
  </si>
  <si>
    <t>红利低波ETF基金</t>
  </si>
  <si>
    <t>货币</t>
  </si>
  <si>
    <t>恒生H股</t>
  </si>
  <si>
    <t>SH588260</t>
  </si>
  <si>
    <t>华安上证科创板新一代信息技术ETF</t>
  </si>
  <si>
    <t>SH588100</t>
  </si>
  <si>
    <t>嘉实上证科创板新一代信息技术ETF</t>
  </si>
  <si>
    <t>SH588060</t>
  </si>
  <si>
    <t>广发上证科创板50成份ETF</t>
  </si>
  <si>
    <t>SH516620</t>
  </si>
  <si>
    <t>国泰中证影视主题ETF</t>
  </si>
  <si>
    <t>SZ159768</t>
  </si>
  <si>
    <t>银华中证内地地产主题ETF</t>
  </si>
  <si>
    <t>SZ159956</t>
  </si>
  <si>
    <t>建信创业板ETF</t>
  </si>
  <si>
    <t>SZ159618</t>
  </si>
  <si>
    <t>华安中证光伏产业ETF</t>
  </si>
  <si>
    <t>SH517330</t>
  </si>
  <si>
    <t>易方达中证长江保护主题ETF</t>
  </si>
  <si>
    <t>SH588280</t>
  </si>
  <si>
    <t>华安上证科创板50ETF</t>
  </si>
  <si>
    <t>SH516640</t>
  </si>
  <si>
    <t>富国中证芯片产业ETF</t>
  </si>
  <si>
    <t>SZ159889</t>
  </si>
  <si>
    <t>国泰中证智能汽车主题ETF</t>
  </si>
  <si>
    <t>SZ159713</t>
  </si>
  <si>
    <t>富国中证稀土产业ETF</t>
  </si>
  <si>
    <t>SZ159864</t>
  </si>
  <si>
    <t>国泰中证光伏产业ETF</t>
  </si>
  <si>
    <t>SZ159795</t>
  </si>
  <si>
    <t>汇添富中证智能汽车主题ETF</t>
  </si>
  <si>
    <t>鹏华0-4年地方政府债ETF</t>
  </si>
  <si>
    <t>SH588150</t>
  </si>
  <si>
    <t>南方上证科创板50ETF</t>
  </si>
  <si>
    <t>SZ159877</t>
  </si>
  <si>
    <t>南方中证全指医疗保健设备与服务ETF</t>
  </si>
  <si>
    <t>SH516350</t>
  </si>
  <si>
    <t>易方达中证芯片产业ETF</t>
  </si>
  <si>
    <t>SH516790</t>
  </si>
  <si>
    <t>华泰柏瑞中证医疗保健ETF</t>
  </si>
  <si>
    <t>SZ159787</t>
  </si>
  <si>
    <t>易方达中证全指建筑材料ETF</t>
  </si>
  <si>
    <t>SZ159728</t>
  </si>
  <si>
    <t>南方国证在线消费ETF</t>
  </si>
  <si>
    <t>SH516860</t>
  </si>
  <si>
    <t>博时金融科技ETF</t>
  </si>
  <si>
    <t>SZ159797</t>
  </si>
  <si>
    <t>汇添富中证全指医疗器械ETF</t>
  </si>
  <si>
    <t>SZ159733</t>
  </si>
  <si>
    <t>景顺中证消费电子ETF</t>
  </si>
  <si>
    <t>SH516100</t>
  </si>
  <si>
    <t>华夏中证金融科技主题ETF</t>
  </si>
  <si>
    <t>海富通上证10年期ETF</t>
  </si>
  <si>
    <t>海富通上证5年期ETF</t>
  </si>
  <si>
    <t>SZ159608</t>
  </si>
  <si>
    <t>广发中证稀有金属主题ETF</t>
  </si>
  <si>
    <t>SH515980</t>
  </si>
  <si>
    <t>华富中证人工智能产业ETF</t>
  </si>
  <si>
    <t>SZ159880</t>
  </si>
  <si>
    <t>鹏华国证有色金属行业ETF</t>
  </si>
  <si>
    <t>SH516190</t>
  </si>
  <si>
    <t>华夏中证文娱传媒ETF</t>
  </si>
  <si>
    <t>SH517800</t>
  </si>
  <si>
    <t>方正富邦沪港深人工智能50ETF</t>
  </si>
  <si>
    <t>鹏华中证5年地债ETF</t>
  </si>
  <si>
    <t>SH516290</t>
  </si>
  <si>
    <t>汇添富中证光伏产业ETF</t>
  </si>
  <si>
    <t>SH516730</t>
  </si>
  <si>
    <t>浦银安盛中证证券公司30ETF</t>
  </si>
  <si>
    <t>SZ159611</t>
  </si>
  <si>
    <t>广发中证全指电力公用事业ETF</t>
  </si>
  <si>
    <t>SZ159769</t>
  </si>
  <si>
    <t>银华中证消费电子主题ETF</t>
  </si>
  <si>
    <t>SH517160</t>
  </si>
  <si>
    <t>南方中证长江保护主题ETF</t>
  </si>
  <si>
    <t>SZ159786</t>
  </si>
  <si>
    <t>银华中证虚拟现实主题ETF</t>
  </si>
  <si>
    <t>SH516920</t>
  </si>
  <si>
    <t>汇添富中证芯片产业ETF</t>
  </si>
  <si>
    <t>SZ159875</t>
  </si>
  <si>
    <t>嘉实中证新能源ETF</t>
  </si>
  <si>
    <t>SH516580</t>
  </si>
  <si>
    <t>博时中证新能源ETF</t>
  </si>
  <si>
    <t>SZ159896</t>
  </si>
  <si>
    <t>南方中证物联网主题ETF</t>
  </si>
  <si>
    <t>SZ159739</t>
  </si>
  <si>
    <t>鹏华中证云计算与大数据主题ETF</t>
  </si>
  <si>
    <t>SZ159743</t>
  </si>
  <si>
    <t>博时湖北新旧动能转换ETF</t>
  </si>
  <si>
    <t>SZ159763</t>
  </si>
  <si>
    <t>建信中证新材料主题ETF</t>
  </si>
  <si>
    <t>SZ159715</t>
  </si>
  <si>
    <t>易方达中证稀土产业ETF</t>
  </si>
  <si>
    <t>SH516750</t>
  </si>
  <si>
    <t>富国中证全指建筑材料ETF</t>
  </si>
  <si>
    <t>SZ159752</t>
  </si>
  <si>
    <t>申万菱信中证内地新能源主题ETF</t>
  </si>
  <si>
    <t>SZ159613</t>
  </si>
  <si>
    <t>嘉实中证信息安全主题ETF</t>
  </si>
  <si>
    <t>SH516720</t>
  </si>
  <si>
    <t>浦银安盛中证ESG120策略ETF</t>
  </si>
  <si>
    <t>SZ159610</t>
  </si>
  <si>
    <t>景顺中证500增强策略ETF</t>
  </si>
  <si>
    <t>SZ159709</t>
  </si>
  <si>
    <t>工银瑞信深证物联网50ETF</t>
  </si>
  <si>
    <t>SZ159790</t>
  </si>
  <si>
    <t>华夏中证内地低碳经济主题ETF</t>
  </si>
  <si>
    <t>SZ159836</t>
  </si>
  <si>
    <t>天弘创业板300ETF</t>
  </si>
  <si>
    <t>SZ159706</t>
  </si>
  <si>
    <t>华安深证100ETF</t>
  </si>
  <si>
    <t>SZ159625</t>
  </si>
  <si>
    <t>嘉实国证绿色电力ETF</t>
  </si>
  <si>
    <t>SZ159716</t>
  </si>
  <si>
    <t>华宝深创100ETF</t>
  </si>
  <si>
    <t>SZ159778</t>
  </si>
  <si>
    <t>鹏华中证工业互联网主题ETF</t>
  </si>
  <si>
    <t>SH516810</t>
  </si>
  <si>
    <t>华夏中证农业主题ETF</t>
  </si>
  <si>
    <t>SH517850</t>
  </si>
  <si>
    <t>汇添富中证沪港深张江自主创新50ETF</t>
  </si>
  <si>
    <t>平安中证5-10年国债活跃券ETF</t>
  </si>
  <si>
    <t>SZ159761</t>
  </si>
  <si>
    <t>国泰中证新材料主题ETF</t>
  </si>
  <si>
    <t>SZ159730</t>
  </si>
  <si>
    <t>博时国证龙头家电ETF</t>
  </si>
  <si>
    <t>SH516890</t>
  </si>
  <si>
    <t>平安中证新材料主题ETF</t>
  </si>
  <si>
    <t>SZ159721</t>
  </si>
  <si>
    <t>永赢深证创新100ETF</t>
  </si>
  <si>
    <t>SZ159798</t>
  </si>
  <si>
    <t>易方达中证消费50ETF</t>
  </si>
  <si>
    <t>海富通上证城投债ETF</t>
  </si>
  <si>
    <t>SZ159736</t>
  </si>
  <si>
    <t>天弘中证食品饮料ETF</t>
  </si>
  <si>
    <t>SZ159770</t>
  </si>
  <si>
    <t>天弘中证机器人ETF</t>
  </si>
  <si>
    <t>海富通上证投资级可转债ETF</t>
  </si>
  <si>
    <t>SH516360</t>
  </si>
  <si>
    <t>华宝新材料ETF</t>
  </si>
  <si>
    <t>SH517030</t>
  </si>
  <si>
    <t>易方达中证沪港深300ETF</t>
  </si>
  <si>
    <t>SH515450</t>
  </si>
  <si>
    <t>南方中国A股大盘红利低波50ETF</t>
  </si>
  <si>
    <t>海富通中证短融ETF</t>
  </si>
  <si>
    <t>SZ159773</t>
  </si>
  <si>
    <t>华泰柏瑞创业板科技ETF</t>
  </si>
  <si>
    <t>SZ159606</t>
  </si>
  <si>
    <t>易方达中证500质量成长ETF</t>
  </si>
  <si>
    <t>SZ159791</t>
  </si>
  <si>
    <t>华夏沪深300ESG基准ETF</t>
  </si>
  <si>
    <t>SH516130</t>
  </si>
  <si>
    <t>华宝中证消费龙头ETF</t>
  </si>
  <si>
    <t>平安中债债利差因子ETF</t>
  </si>
  <si>
    <t>SH515780</t>
  </si>
  <si>
    <t>浦银安盛MSCI中国A股ETF</t>
  </si>
  <si>
    <t>SZ159732</t>
  </si>
  <si>
    <t>华夏国证消费电子主题ETF</t>
  </si>
  <si>
    <t>SH516690</t>
  </si>
  <si>
    <t>银华中证细分化工产业主题ETF</t>
  </si>
  <si>
    <t>SZ159895</t>
  </si>
  <si>
    <t>易方达中证物联网主题ETF</t>
  </si>
  <si>
    <t>SZ159853</t>
  </si>
  <si>
    <t>南方中证科技100ETF</t>
  </si>
  <si>
    <t>SH510440</t>
  </si>
  <si>
    <t>大成中证500沪市ETF</t>
  </si>
  <si>
    <t>SH516120</t>
  </si>
  <si>
    <t>富国中证细分化工产业主题ETF</t>
  </si>
  <si>
    <t>SZ159757</t>
  </si>
  <si>
    <t>景顺长城国证新能源车电池ETF</t>
  </si>
  <si>
    <t>SZ159720</t>
  </si>
  <si>
    <t>泰康中证智能电动汽车ETF</t>
  </si>
  <si>
    <t>SZ159701</t>
  </si>
  <si>
    <t>招商中证物联网主题ETF</t>
  </si>
  <si>
    <t>SZ159796</t>
  </si>
  <si>
    <t>汇添富中证电池主题ETF</t>
  </si>
  <si>
    <t>SZ159710</t>
  </si>
  <si>
    <t>建信中证智能电动汽车ETF</t>
  </si>
  <si>
    <t>SZ159789</t>
  </si>
  <si>
    <t>建信中证饮料主题ETF</t>
  </si>
  <si>
    <t>SH517760</t>
  </si>
  <si>
    <t>浦银安盛中证沪港深消费龙头ETF</t>
  </si>
  <si>
    <t>SZ159862</t>
  </si>
  <si>
    <t>银华中证细分食品饮料产业主题ETF</t>
  </si>
  <si>
    <t>SH516710</t>
  </si>
  <si>
    <t>华夏中证新材料主题ETF</t>
  </si>
  <si>
    <t>前海开源黄金ETF</t>
  </si>
  <si>
    <t>SH516220</t>
  </si>
  <si>
    <t>国泰中证细分化工产业主题ETF</t>
  </si>
  <si>
    <t>SZ159831</t>
  </si>
  <si>
    <t>嘉实上海金ETF</t>
  </si>
  <si>
    <t>SZ159983</t>
  </si>
  <si>
    <t>华夏粤港澳大湾区创新100ETF</t>
  </si>
  <si>
    <t>工银瑞信黄金ETF</t>
  </si>
  <si>
    <t>SH516600</t>
  </si>
  <si>
    <t>工银瑞信中证消费服务领先ETF</t>
  </si>
  <si>
    <t>SZ159767</t>
  </si>
  <si>
    <t>兴银国证新能源车电池ETF</t>
  </si>
  <si>
    <t>SH517770</t>
  </si>
  <si>
    <t>浦银安盛中证沪港深游戏及文化传媒ETF</t>
  </si>
  <si>
    <t>SH510990</t>
  </si>
  <si>
    <t>工银瑞信中证180ESGETF</t>
  </si>
  <si>
    <t>SH516210</t>
  </si>
  <si>
    <t>华安中证银行ETF</t>
  </si>
  <si>
    <t>SZ159840</t>
  </si>
  <si>
    <t>工银瑞信国证新能源车电池ETF</t>
  </si>
  <si>
    <t>SZ159775</t>
  </si>
  <si>
    <t>建信国证新能源车电池ETF</t>
  </si>
  <si>
    <t>SZ159760</t>
  </si>
  <si>
    <t>泰康国证公共卫生与健康ETF</t>
  </si>
  <si>
    <t>SZ159923</t>
  </si>
  <si>
    <t>大成中证100ETF</t>
  </si>
  <si>
    <t>SH517180</t>
  </si>
  <si>
    <t>南方富时中国国企开放共赢ETF</t>
  </si>
  <si>
    <t>SZ159731</t>
  </si>
  <si>
    <t>华夏中证石化产业ETF</t>
  </si>
  <si>
    <t>SH515600</t>
  </si>
  <si>
    <t>广发央企创新ETF</t>
  </si>
  <si>
    <t>SZ159723</t>
  </si>
  <si>
    <t>汇添富中证沪港深科技龙头ETF</t>
  </si>
  <si>
    <t>SZ159976</t>
  </si>
  <si>
    <t>工银粤港澳大湾区创新100ETF</t>
  </si>
  <si>
    <t>SH517960</t>
  </si>
  <si>
    <t>上投摩根中证沪港深科技100ETF</t>
  </si>
  <si>
    <t>SZ159859</t>
  </si>
  <si>
    <t>天弘国证生物医药ETF</t>
  </si>
  <si>
    <t>SZ159738</t>
  </si>
  <si>
    <t>华泰柏瑞中证沪港深云计算产业ETF</t>
  </si>
  <si>
    <t>SH512550</t>
  </si>
  <si>
    <t>嘉实富时中国A50ETF</t>
  </si>
  <si>
    <t>SH517660</t>
  </si>
  <si>
    <t>天弘中证沪港深物联网主题ETF</t>
  </si>
  <si>
    <t>SH516930</t>
  </si>
  <si>
    <t>民生加银中证生物科技主题ETF</t>
  </si>
  <si>
    <t>SZ159619</t>
  </si>
  <si>
    <t>国泰中证基建ETF</t>
  </si>
  <si>
    <t>SH517170</t>
  </si>
  <si>
    <t>华夏中证沪港深500ETF</t>
  </si>
  <si>
    <t>SZ159726</t>
  </si>
  <si>
    <t>华夏恒生中国内地企业高股息率ETF</t>
  </si>
  <si>
    <t>SZ159758</t>
  </si>
  <si>
    <t>华夏中证红利质量ETF</t>
  </si>
  <si>
    <t>SZ159793</t>
  </si>
  <si>
    <t>平安中证沪港深线上消费主题ETF</t>
  </si>
  <si>
    <t>SH517090</t>
  </si>
  <si>
    <t>国泰富时中国国企开放共赢ETF</t>
  </si>
  <si>
    <t>SH516530</t>
  </si>
  <si>
    <t>银华中证现代物流ETF</t>
  </si>
  <si>
    <t>SH517880</t>
  </si>
  <si>
    <t>华泰柏瑞中证品牌消费50ETF</t>
  </si>
  <si>
    <t>SH513530</t>
  </si>
  <si>
    <t>华泰柏瑞中证港股通高股息投资ETF(QDII)</t>
  </si>
  <si>
    <t>SH517280</t>
  </si>
  <si>
    <t>天弘中证沪港深线上消费主题ETF</t>
  </si>
  <si>
    <t>SH517550</t>
  </si>
  <si>
    <t>招商中证沪港深消费龙头ETF</t>
  </si>
  <si>
    <t>SH517270</t>
  </si>
  <si>
    <t>浦银安盛中证沪港深科技龙头ETF</t>
  </si>
  <si>
    <t>SZ159821</t>
  </si>
  <si>
    <t>中银证券创业板ETF</t>
  </si>
  <si>
    <t>SH517110</t>
  </si>
  <si>
    <t>国泰中证沪港深创新药产业ETF</t>
  </si>
  <si>
    <t>SZ159729</t>
  </si>
  <si>
    <t>汇添富中证沪港深互联网ETF</t>
  </si>
  <si>
    <t>SH517990</t>
  </si>
  <si>
    <t>招商中证沪港深500医药卫生ETF</t>
  </si>
  <si>
    <t>SZ159788</t>
  </si>
  <si>
    <t>易方达中证港股通中国100ETF</t>
  </si>
  <si>
    <t>SH513590</t>
  </si>
  <si>
    <t>鹏华中证港股通消费主题ETF</t>
  </si>
  <si>
    <t>SZ159748</t>
  </si>
  <si>
    <t>富国沪港深创新药产业ETF</t>
  </si>
  <si>
    <t>SH513320</t>
  </si>
  <si>
    <t>易方达恒生港股通新经济ETF</t>
  </si>
  <si>
    <t>SZ159718</t>
  </si>
  <si>
    <t>平安中证港股通医药卫生综合ETF</t>
  </si>
  <si>
    <t>SH513160</t>
  </si>
  <si>
    <t>银华恒生港股通中国科技ETF</t>
  </si>
  <si>
    <t>SZ159792</t>
  </si>
  <si>
    <t>富国中证港股通互联网ETF</t>
  </si>
  <si>
    <t>SH513020</t>
  </si>
  <si>
    <t>国泰中证港股通科技ETF</t>
  </si>
  <si>
    <t>SZ159712</t>
  </si>
  <si>
    <t>国泰中证港股通50ETF</t>
  </si>
  <si>
    <t>SZ159751</t>
  </si>
  <si>
    <t>鹏华中证港股通科技ETF</t>
  </si>
  <si>
    <t>SH513960</t>
  </si>
  <si>
    <t>博时中证港股通消费主题ETF</t>
  </si>
  <si>
    <t>SZ159711</t>
  </si>
  <si>
    <t>华夏中证港股通50ETF</t>
  </si>
  <si>
    <t>SH517380</t>
  </si>
  <si>
    <t>天弘恒生沪深港创新药精选50ETF</t>
  </si>
  <si>
    <t>SH513230</t>
  </si>
  <si>
    <t>华夏中证港股通消费主题ETF</t>
  </si>
  <si>
    <t>SH513070</t>
  </si>
  <si>
    <t>易方达中证港股通消费主题ETF</t>
  </si>
  <si>
    <t>SH513770</t>
  </si>
  <si>
    <t>华宝中证港股通互联网ETF</t>
  </si>
  <si>
    <t>SH513200</t>
  </si>
  <si>
    <t>易方达中证港股通医药卫生综合ETF</t>
  </si>
  <si>
    <t>SH513150</t>
  </si>
  <si>
    <t>华泰柏瑞港股通科技ETF</t>
  </si>
  <si>
    <t>SH513380</t>
  </si>
  <si>
    <t>广发恒生科技(QDII-ETF)</t>
  </si>
  <si>
    <t>上投摩根恒生科技ETF(QDII)</t>
  </si>
  <si>
    <t>招商中证香港科技ETF(QDII)</t>
  </si>
  <si>
    <t>南方中证香港科技ETF(QDII)</t>
  </si>
  <si>
    <t>SZ159719</t>
  </si>
  <si>
    <t>平安富时中国国企开放共赢ETF</t>
  </si>
  <si>
    <t>SH561910</t>
  </si>
  <si>
    <t>招商中证电池主题ETF</t>
  </si>
  <si>
    <t>SH560660</t>
  </si>
  <si>
    <t>新华中证云计算50ETF</t>
  </si>
  <si>
    <t>SH561900</t>
  </si>
  <si>
    <t>招商沪深300ESG基准ETF</t>
  </si>
  <si>
    <t>SH560500</t>
  </si>
  <si>
    <t>鹏扬中证500质量成长ETF</t>
  </si>
  <si>
    <t>SH561800</t>
  </si>
  <si>
    <t>华富中证稀有金属主题ETF</t>
  </si>
  <si>
    <t>SH560560</t>
  </si>
  <si>
    <t>泰康中证内地低碳经济ETF</t>
  </si>
  <si>
    <t>SH560000</t>
  </si>
  <si>
    <t>浦银安盛中证智能电动汽车ETF</t>
  </si>
  <si>
    <t>SH562800</t>
  </si>
  <si>
    <t>嘉实中证稀有金属主题ETF</t>
  </si>
  <si>
    <t>SH562360</t>
  </si>
  <si>
    <t>银华中证机器人ETF</t>
  </si>
  <si>
    <t>SH561130</t>
  </si>
  <si>
    <t>富国中证新华社民族品牌工程ETF</t>
  </si>
  <si>
    <t>SH561350</t>
  </si>
  <si>
    <t>国泰中证500ETF</t>
  </si>
  <si>
    <t>SH561600</t>
  </si>
  <si>
    <t>平安中证消费电子主题ETF</t>
  </si>
  <si>
    <t>SH562910</t>
  </si>
  <si>
    <t>易方达中证装备产业ETF</t>
  </si>
  <si>
    <t>SH561120</t>
  </si>
  <si>
    <t>富国中证全指家用电器ETF</t>
  </si>
  <si>
    <t>SH561550</t>
  </si>
  <si>
    <t>华泰柏瑞中证500增强策略ETF</t>
  </si>
  <si>
    <t>SH562950</t>
  </si>
  <si>
    <t>易方达中证消费电子主题ETF</t>
  </si>
  <si>
    <t>SH562500</t>
  </si>
  <si>
    <t>华夏中证机器人ETF</t>
  </si>
  <si>
    <t>SH561310</t>
  </si>
  <si>
    <t>国泰中证消费电子主题ETF</t>
  </si>
  <si>
    <t>SH562900</t>
  </si>
  <si>
    <t>易方达中证现代农业主题ETF</t>
  </si>
  <si>
    <t>SH561990</t>
  </si>
  <si>
    <t>招商沪深300增强策略ETF</t>
  </si>
  <si>
    <t>SH562510</t>
  </si>
  <si>
    <t>华夏中证旅游主题ETF</t>
  </si>
  <si>
    <t>SH560800</t>
  </si>
  <si>
    <t>鹏扬中证数字经济主题ETF</t>
  </si>
  <si>
    <t>SH561100</t>
  </si>
  <si>
    <t>富国中证消费电子主题ETF</t>
  </si>
  <si>
    <t>SH562300</t>
  </si>
  <si>
    <t>银华中证内地低碳经济主题ETF</t>
  </si>
  <si>
    <t>SH560100</t>
  </si>
  <si>
    <t>南方中证500增强策略ETF</t>
  </si>
  <si>
    <t>SH562520</t>
  </si>
  <si>
    <t>华夏中证智选1000成长创新策略ETF</t>
  </si>
  <si>
    <t>SH560880</t>
  </si>
  <si>
    <t>广发中证全指家用电器ETF</t>
  </si>
  <si>
    <t>SZ159612</t>
  </si>
  <si>
    <t>国泰标普500(QDII-ETF)</t>
  </si>
  <si>
    <t>SH561560</t>
  </si>
  <si>
    <t>华泰柏瑞中证全指电力公用事业ETF</t>
  </si>
  <si>
    <t>20天净值增长率排名分</t>
  </si>
  <si>
    <t>溢价率排名分</t>
  </si>
  <si>
    <t>成交额(万元)</t>
  </si>
  <si>
    <t>股票ETF</t>
  </si>
  <si>
    <t>最新排名</t>
    <phoneticPr fontId="2" type="noConversion"/>
  </si>
  <si>
    <t>持仓排名</t>
    <phoneticPr fontId="2" type="noConversion"/>
  </si>
  <si>
    <t>持仓排名</t>
    <phoneticPr fontId="2" type="noConversion"/>
  </si>
  <si>
    <t>上投恒生科技ETF</t>
  </si>
  <si>
    <t>广发互联网30ETF</t>
  </si>
  <si>
    <t>招商科技ETF</t>
  </si>
  <si>
    <t>南方科技ETF</t>
  </si>
  <si>
    <t>大成恒生科技ETF</t>
  </si>
  <si>
    <t>华夏恒生中国ETF</t>
  </si>
  <si>
    <t>嘉实恒生ETF</t>
  </si>
  <si>
    <t>博时医疗ETF</t>
  </si>
  <si>
    <t>SZ164206</t>
  </si>
  <si>
    <t>天弘添利债C</t>
  </si>
  <si>
    <t>债券型</t>
  </si>
  <si>
    <t>其他型</t>
  </si>
  <si>
    <t>SH501300</t>
  </si>
  <si>
    <t>海富通美元债</t>
  </si>
  <si>
    <t>大成添益E</t>
  </si>
  <si>
    <t>货币型</t>
  </si>
  <si>
    <t>海富通10年地债ETF</t>
  </si>
  <si>
    <t>华夏恒生香港ETF</t>
  </si>
  <si>
    <t>海富通5年地债ETF</t>
  </si>
  <si>
    <t>SZ161010</t>
  </si>
  <si>
    <t>富国天丰</t>
  </si>
  <si>
    <t>博时恒生科技ETF</t>
  </si>
  <si>
    <t>华安225ETF</t>
  </si>
  <si>
    <t>鹏华5年地债ETF</t>
  </si>
  <si>
    <t>国泰10年国债ETF</t>
  </si>
  <si>
    <t>平安5-10年国债ETF</t>
  </si>
  <si>
    <t>鹏华0-4年地债ETF</t>
  </si>
  <si>
    <t>海富通可转债ETF</t>
  </si>
  <si>
    <t>华夏恒生ETF</t>
  </si>
  <si>
    <t>华泰恒生科技ETF</t>
  </si>
  <si>
    <t>易方达恒生科技ETF</t>
  </si>
  <si>
    <t>汇添富快钱A</t>
  </si>
  <si>
    <t>华安恒生科技ETF</t>
  </si>
  <si>
    <t>诺安纯债A</t>
  </si>
  <si>
    <t>华夏225ETF</t>
  </si>
  <si>
    <t>国泰国债ETF</t>
  </si>
  <si>
    <t>易方达黄金ETF</t>
  </si>
  <si>
    <t>黄金</t>
  </si>
  <si>
    <t>华安黄金易ETF</t>
  </si>
  <si>
    <t>华夏恒生科技ETF</t>
  </si>
  <si>
    <t>博时黄金ETF</t>
  </si>
  <si>
    <t>国泰黄金ETF</t>
  </si>
  <si>
    <t>华安石油A</t>
  </si>
  <si>
    <t>SH511600</t>
  </si>
  <si>
    <t>华安日日鑫H</t>
  </si>
  <si>
    <t>广发美国石油A</t>
  </si>
  <si>
    <t>华夏互联网ETF</t>
  </si>
  <si>
    <t>易方达恒生ETF</t>
  </si>
  <si>
    <t>前海黄金ETF</t>
  </si>
  <si>
    <t>海富通城投ETF</t>
  </si>
  <si>
    <t>易方达225ETF</t>
  </si>
  <si>
    <t>华夏沪港通ETF</t>
  </si>
  <si>
    <t>南方恒生ETF</t>
  </si>
  <si>
    <t>富国上海金ETF</t>
  </si>
  <si>
    <t>易方达原油A</t>
  </si>
  <si>
    <t>华宝香港A</t>
  </si>
  <si>
    <t>南方原油A</t>
  </si>
  <si>
    <t>华夏黄金ETF</t>
  </si>
  <si>
    <t>SZ161119</t>
  </si>
  <si>
    <t>易方达综债A</t>
  </si>
  <si>
    <t>SZ161115</t>
  </si>
  <si>
    <t>易方达岁丰</t>
  </si>
  <si>
    <t>博时中国教育ETF</t>
  </si>
  <si>
    <t>银华恒生</t>
  </si>
  <si>
    <t>SZ160618</t>
  </si>
  <si>
    <t>鹏华丰泽</t>
  </si>
  <si>
    <t>SZ160513</t>
  </si>
  <si>
    <t>博时稳健A</t>
  </si>
  <si>
    <t>平安中债ETF</t>
  </si>
  <si>
    <t>易方达互联50ETF</t>
  </si>
  <si>
    <t>SH511670</t>
  </si>
  <si>
    <t>华泰资管货币A</t>
  </si>
  <si>
    <t>SH511900</t>
  </si>
  <si>
    <t>富国收益宝H</t>
  </si>
  <si>
    <t>工银黄金ETF</t>
  </si>
  <si>
    <t>SZ161716</t>
  </si>
  <si>
    <t>招商双债C</t>
  </si>
  <si>
    <t>SH511650</t>
  </si>
  <si>
    <t>华夏快线ETF</t>
  </si>
  <si>
    <t>海富通中证ETF</t>
  </si>
  <si>
    <t>华安法国ETF</t>
  </si>
  <si>
    <t>招商财富宝E</t>
  </si>
  <si>
    <t>华安德国30ETF</t>
  </si>
  <si>
    <t>银华日利A</t>
  </si>
  <si>
    <t>SZ164705</t>
  </si>
  <si>
    <t>汇添富恒生A</t>
  </si>
  <si>
    <t>南方理财金H</t>
  </si>
  <si>
    <t>平安交易货币E</t>
  </si>
  <si>
    <t>银华新经济ETF</t>
  </si>
  <si>
    <t>招商快线A</t>
  </si>
  <si>
    <t>建信添益H</t>
  </si>
  <si>
    <t>华宝添益A</t>
  </si>
  <si>
    <t>易方达保证金A</t>
  </si>
  <si>
    <t>SH511620</t>
  </si>
  <si>
    <t>国泰瞬利A</t>
  </si>
  <si>
    <t>SH511920</t>
  </si>
  <si>
    <t>广发货币E</t>
  </si>
  <si>
    <t>SH511800</t>
  </si>
  <si>
    <t>易方达货币E</t>
  </si>
  <si>
    <t>SH511860</t>
  </si>
  <si>
    <t>博时保证金ETF</t>
  </si>
  <si>
    <t>华夏纳指100ETF</t>
  </si>
  <si>
    <t>博时标普500ETF</t>
  </si>
  <si>
    <t>SH511830</t>
  </si>
  <si>
    <t>华泰交易货币A</t>
  </si>
  <si>
    <t>SZ161226</t>
  </si>
  <si>
    <t>国投白银</t>
  </si>
  <si>
    <t>SZ161125</t>
  </si>
  <si>
    <t>易方达标普500A</t>
  </si>
  <si>
    <t>SZ160140</t>
  </si>
  <si>
    <t>南方美国REITA</t>
  </si>
  <si>
    <t>广发纳指100ETF</t>
  </si>
  <si>
    <t>国泰纳指100ETF</t>
  </si>
  <si>
    <t>工银印度</t>
  </si>
  <si>
    <t>易方达标普信息A</t>
  </si>
  <si>
    <t>SZ161116</t>
  </si>
  <si>
    <t>易方达黄金A</t>
  </si>
  <si>
    <t>易方达标普生物A</t>
  </si>
  <si>
    <t>易方达纳指A</t>
  </si>
  <si>
    <t>嘉实恒生科技ETF</t>
  </si>
  <si>
    <t>嘉实互联网30ETF</t>
  </si>
  <si>
    <t>当前价</t>
  </si>
  <si>
    <t>涨跌幅</t>
  </si>
  <si>
    <t>振幅</t>
  </si>
  <si>
    <t>最高价</t>
  </si>
  <si>
    <t>最低价</t>
  </si>
  <si>
    <t>成交金额</t>
  </si>
  <si>
    <t>无锡转债</t>
  </si>
  <si>
    <t>靖远转债 !</t>
  </si>
  <si>
    <t>海兰转债 !</t>
  </si>
  <si>
    <t>天壕转债 !</t>
  </si>
  <si>
    <t>石英转债 !</t>
  </si>
  <si>
    <t>中矿转债 !</t>
  </si>
  <si>
    <t>金诚转债</t>
  </si>
  <si>
    <t>鹏辉转债 !</t>
  </si>
  <si>
    <t>川恒转债 !</t>
  </si>
  <si>
    <t>荣晟转债 !</t>
  </si>
  <si>
    <t>明泰转债 !</t>
  </si>
  <si>
    <t>国泰转债</t>
  </si>
  <si>
    <t>旺能转债</t>
  </si>
  <si>
    <t>万顺转2 !</t>
  </si>
  <si>
    <t>华统转债 !</t>
  </si>
  <si>
    <t>寿仙转债 !</t>
  </si>
  <si>
    <t>齐翔转2 !</t>
  </si>
  <si>
    <t>川投转债 !</t>
  </si>
  <si>
    <t>文灿转债 !</t>
  </si>
  <si>
    <t>同和转债 !</t>
  </si>
  <si>
    <t>湖广转债 !</t>
  </si>
  <si>
    <t>洪城转债</t>
  </si>
  <si>
    <t>伯特转债 !</t>
  </si>
  <si>
    <t>苏银转债</t>
  </si>
  <si>
    <t>君禾转债 !</t>
  </si>
  <si>
    <t>龙净转债</t>
  </si>
  <si>
    <t>南银转债</t>
  </si>
  <si>
    <t>恩捷转债 !</t>
  </si>
  <si>
    <t>万顺转债 !</t>
  </si>
  <si>
    <t>正邦转债</t>
  </si>
  <si>
    <t>太阳转债 !</t>
  </si>
  <si>
    <t>飞凯转债 !</t>
  </si>
  <si>
    <t>金禾转债 !</t>
  </si>
  <si>
    <t>张行转债</t>
  </si>
  <si>
    <t>建工转债</t>
  </si>
  <si>
    <t>苏试转债 !</t>
  </si>
  <si>
    <t>华通转债 !</t>
  </si>
  <si>
    <t>中钢转债</t>
  </si>
  <si>
    <t>通22转债</t>
  </si>
  <si>
    <t>成银转债</t>
  </si>
  <si>
    <t>杭银转债</t>
  </si>
  <si>
    <t>美联转债 !</t>
  </si>
  <si>
    <t>大秦转债</t>
  </si>
  <si>
    <t>一品转债 !</t>
  </si>
  <si>
    <t>福能转债</t>
  </si>
  <si>
    <t>科伦转债</t>
  </si>
  <si>
    <t>国微转债 !</t>
  </si>
  <si>
    <t>三角转债 !</t>
  </si>
  <si>
    <t>火炬转债</t>
  </si>
  <si>
    <t>江银转债</t>
  </si>
  <si>
    <t>傲农转债 !</t>
  </si>
  <si>
    <t>华锋转债 !</t>
  </si>
  <si>
    <t>精达转债 !</t>
  </si>
  <si>
    <t>台华转债 !</t>
  </si>
  <si>
    <t>光大转债</t>
  </si>
  <si>
    <t>节能转债 !</t>
  </si>
  <si>
    <t>新天转债 !</t>
  </si>
  <si>
    <t>苏租转债</t>
  </si>
  <si>
    <t>牧原转债</t>
  </si>
  <si>
    <t>北港转债</t>
  </si>
  <si>
    <t>中环转2</t>
  </si>
  <si>
    <t>美诺转债</t>
  </si>
  <si>
    <t>温氏转债</t>
  </si>
  <si>
    <t>润建转债 !</t>
  </si>
  <si>
    <t>希望转2</t>
  </si>
  <si>
    <t>华钰转债 !</t>
  </si>
  <si>
    <t>现代转债</t>
  </si>
  <si>
    <t>伊力转债 !</t>
  </si>
  <si>
    <t>苏农转债</t>
  </si>
  <si>
    <t>鸿达转债 !</t>
  </si>
  <si>
    <t>本钢转债</t>
  </si>
  <si>
    <t>天能转债 !</t>
  </si>
  <si>
    <t>南航转债</t>
  </si>
  <si>
    <t>中金转债</t>
  </si>
  <si>
    <t>飞鹿转债 !</t>
  </si>
  <si>
    <t>贵广转债</t>
  </si>
  <si>
    <t>小康转债 !</t>
  </si>
  <si>
    <t>招路转债</t>
  </si>
  <si>
    <t>鹰19转债</t>
  </si>
  <si>
    <t>天铁转债 !</t>
  </si>
  <si>
    <t>中银转债</t>
  </si>
  <si>
    <t>中装转2</t>
  </si>
  <si>
    <t>精工转债</t>
  </si>
  <si>
    <t>晶科转债</t>
  </si>
  <si>
    <t>山鹰转债</t>
  </si>
  <si>
    <t>楚江转债 !</t>
  </si>
  <si>
    <t>苏行转债</t>
  </si>
  <si>
    <t>鸿路转债</t>
  </si>
  <si>
    <t>长汽转债</t>
  </si>
  <si>
    <t>友发转债</t>
  </si>
  <si>
    <t>隆22转债</t>
  </si>
  <si>
    <t>鲁泰转债</t>
  </si>
  <si>
    <t>核建转债</t>
  </si>
  <si>
    <t>洽洽转债</t>
  </si>
  <si>
    <t>嘉元转债 !</t>
  </si>
  <si>
    <t>恒逸转债</t>
  </si>
  <si>
    <t>旗滨转债</t>
  </si>
  <si>
    <t>禾丰转债</t>
  </si>
  <si>
    <t>青农转债</t>
  </si>
  <si>
    <t>国君转债</t>
  </si>
  <si>
    <t>兴业转债</t>
  </si>
  <si>
    <t>长信转债</t>
  </si>
  <si>
    <t>长证转债</t>
  </si>
  <si>
    <t>上22转债</t>
  </si>
  <si>
    <t>药石转债</t>
  </si>
  <si>
    <t>冀东转债</t>
  </si>
  <si>
    <t>绿动转债</t>
  </si>
  <si>
    <t>景20转债</t>
  </si>
  <si>
    <t>华友转债</t>
  </si>
  <si>
    <t>洁美转债 !</t>
  </si>
  <si>
    <t>蓝晓转债 !</t>
  </si>
  <si>
    <t>紫银转债</t>
  </si>
  <si>
    <t>裕兴转债</t>
  </si>
  <si>
    <t>广汇转债</t>
  </si>
  <si>
    <t>重银转债</t>
  </si>
  <si>
    <t>中特转债</t>
  </si>
  <si>
    <t>海澜转债</t>
  </si>
  <si>
    <t>联创转债 !</t>
  </si>
  <si>
    <t>亨通转债</t>
  </si>
  <si>
    <t>帝欧转债</t>
  </si>
  <si>
    <t>晶瑞转债 !</t>
  </si>
  <si>
    <t>太极转债 !</t>
  </si>
  <si>
    <t>敖东转债</t>
  </si>
  <si>
    <t>巨星转债</t>
  </si>
  <si>
    <t>艾迪转债</t>
  </si>
  <si>
    <t>三花转债</t>
  </si>
  <si>
    <t>麒麟转债</t>
  </si>
  <si>
    <t>华安转债</t>
  </si>
  <si>
    <t>中信转债</t>
  </si>
  <si>
    <t>金田转债</t>
  </si>
  <si>
    <t>捷捷转债</t>
  </si>
  <si>
    <t>升21转债</t>
  </si>
  <si>
    <t>凤21转债</t>
  </si>
  <si>
    <t>宏发转债</t>
  </si>
  <si>
    <t>国投转债</t>
  </si>
  <si>
    <t>财通转债</t>
  </si>
  <si>
    <t>天康转债 !</t>
  </si>
  <si>
    <t>上银转债</t>
  </si>
  <si>
    <t>环旭转债</t>
  </si>
  <si>
    <t>垒知转债</t>
  </si>
  <si>
    <t>永东转2</t>
  </si>
  <si>
    <t>闻泰转债</t>
  </si>
  <si>
    <t>烽火转债</t>
  </si>
  <si>
    <t>韦尔转债</t>
  </si>
  <si>
    <t>浦发转债</t>
  </si>
  <si>
    <t>杭叉转债</t>
  </si>
  <si>
    <t>盈峰转债</t>
  </si>
  <si>
    <t>乐普转2</t>
  </si>
  <si>
    <t>首华转债</t>
  </si>
  <si>
    <t>崇达转2</t>
  </si>
  <si>
    <t>通光转债 !</t>
  </si>
  <si>
    <t>大族转债</t>
  </si>
  <si>
    <t>昌红转债 !</t>
  </si>
  <si>
    <t>华海转债</t>
  </si>
  <si>
    <t>康泰转2</t>
  </si>
  <si>
    <t>科沃转债</t>
  </si>
  <si>
    <t>立讯转债</t>
  </si>
  <si>
    <t>蓝帆转债</t>
  </si>
  <si>
    <t>蒙娜转债</t>
  </si>
  <si>
    <t>鹤21转债</t>
  </si>
  <si>
    <t>大参转债</t>
  </si>
  <si>
    <t>西子转债</t>
  </si>
  <si>
    <t>百润转债</t>
  </si>
  <si>
    <t>仙乐转债</t>
  </si>
  <si>
    <t>家悦转债</t>
  </si>
  <si>
    <t>城地转债</t>
  </si>
  <si>
    <t>亚药转债</t>
  </si>
  <si>
    <t>华体转债</t>
  </si>
  <si>
    <t>永吉转债</t>
  </si>
  <si>
    <t>乐歌转债</t>
  </si>
  <si>
    <t>泰林转债</t>
  </si>
  <si>
    <t>横河转债</t>
  </si>
  <si>
    <t>蓝盾转债</t>
  </si>
  <si>
    <t>转债代码</t>
  </si>
  <si>
    <t>转债名称</t>
  </si>
  <si>
    <t>双低值</t>
  </si>
  <si>
    <t>剩余规模</t>
  </si>
  <si>
    <t>税前收益</t>
  </si>
  <si>
    <t>剩余年限</t>
  </si>
  <si>
    <t>到期时间</t>
  </si>
  <si>
    <t>转股价</t>
  </si>
  <si>
    <t>转股价值</t>
  </si>
  <si>
    <t>交科转债 !</t>
  </si>
  <si>
    <t>最新低溢价可转债排名</t>
    <phoneticPr fontId="2" type="noConversion"/>
  </si>
  <si>
    <t>注：点击更新前请先点击更新《可转债实时数据》</t>
    <phoneticPr fontId="2" type="noConversion"/>
  </si>
  <si>
    <t>最新双低可转债排名</t>
    <phoneticPr fontId="2" type="noConversion"/>
  </si>
  <si>
    <t>SZ180801</t>
  </si>
  <si>
    <t>注：点击更新前请先点击更新《可转债实时数据》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</si>
</sst>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_ "/>
    <numFmt numFmtId="177" formatCode="[$-F400]h:mm:ss\ AM/PM"/>
    <numFmt numFmtId="178" formatCode="0.00_);[Red]\(0.00\)"/>
  </numFmts>
  <fonts count="17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rgb="FFFFFF00"/>
      <name val="宋体"/>
      <family val="2"/>
      <scheme val="minor"/>
    </font>
    <font>
      <sz val="12"/>
      <color rgb="FFFFFF00"/>
      <name val="宋体"/>
      <family val="3"/>
      <charset val="134"/>
      <scheme val="minor"/>
    </font>
    <font>
      <b/>
      <sz val="12"/>
      <color rgb="FFFFFF00"/>
      <name val="宋体"/>
      <family val="3"/>
      <charset val="134"/>
      <scheme val="minor"/>
    </font>
    <font>
      <sz val="11"/>
      <color rgb="FFFFFF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u/>
      <sz val="14"/>
      <color rgb="FF993300"/>
      <name val="宋体"/>
      <family val="3"/>
      <charset val="134"/>
    </font>
    <font>
      <sz val="12"/>
      <color theme="1"/>
      <name val="宋体"/>
      <family val="2"/>
      <scheme val="minor"/>
    </font>
    <font>
      <sz val="11"/>
      <color indexed="8"/>
      <name val="宋体"/>
      <family val="3"/>
      <charset val="134"/>
    </font>
    <font>
      <sz val="12"/>
      <color indexed="8"/>
      <name val="宋体"/>
      <family val="3"/>
      <charset val="134"/>
    </font>
    <font>
      <sz val="12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177" fontId="14" fillId="0" borderId="0">
      <alignment vertical="center"/>
    </xf>
  </cellStyleXfs>
  <cellXfs count="6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0" borderId="0" xfId="1"/>
    <xf numFmtId="0" fontId="5" fillId="3" borderId="1" xfId="0" applyFont="1" applyFill="1" applyBorder="1"/>
    <xf numFmtId="0" fontId="4" fillId="4" borderId="1" xfId="0" applyFont="1" applyFill="1" applyBorder="1"/>
    <xf numFmtId="0" fontId="4" fillId="0" borderId="0" xfId="1" applyFont="1"/>
    <xf numFmtId="0" fontId="6" fillId="0" borderId="0" xfId="1" applyFont="1"/>
    <xf numFmtId="0" fontId="6" fillId="2" borderId="0" xfId="1" applyFont="1" applyFill="1"/>
    <xf numFmtId="0" fontId="0" fillId="2" borderId="0" xfId="0" applyFill="1"/>
    <xf numFmtId="49" fontId="0" fillId="0" borderId="0" xfId="0" applyNumberFormat="1"/>
    <xf numFmtId="0" fontId="7" fillId="5" borderId="0" xfId="0" applyFont="1" applyFill="1"/>
    <xf numFmtId="0" fontId="6" fillId="0" borderId="0" xfId="1" applyFont="1" applyFill="1" applyBorder="1"/>
    <xf numFmtId="0" fontId="4" fillId="0" borderId="0" xfId="0" applyFont="1" applyFill="1" applyBorder="1"/>
    <xf numFmtId="0" fontId="5" fillId="3" borderId="0" xfId="0" applyFont="1" applyFill="1" applyBorder="1"/>
    <xf numFmtId="0" fontId="4" fillId="4" borderId="0" xfId="0" applyFont="1" applyFill="1" applyBorder="1"/>
    <xf numFmtId="0" fontId="6" fillId="0" borderId="0" xfId="1" applyFont="1" applyBorder="1"/>
    <xf numFmtId="0" fontId="8" fillId="5" borderId="0" xfId="1" applyFont="1" applyFill="1"/>
    <xf numFmtId="0" fontId="9" fillId="5" borderId="0" xfId="1" applyFont="1" applyFill="1"/>
    <xf numFmtId="0" fontId="10" fillId="5" borderId="0" xfId="1" applyFont="1" applyFill="1"/>
    <xf numFmtId="0" fontId="0" fillId="0" borderId="0" xfId="0" applyNumberFormat="1"/>
    <xf numFmtId="176" fontId="0" fillId="0" borderId="0" xfId="0" applyNumberFormat="1"/>
    <xf numFmtId="0" fontId="4" fillId="0" borderId="0" xfId="0" applyFont="1" applyAlignment="1">
      <alignment vertical="top" wrapText="1"/>
    </xf>
    <xf numFmtId="0" fontId="11" fillId="0" borderId="1" xfId="0" applyFont="1" applyBorder="1" applyAlignment="1">
      <alignment horizontal="center" vertical="top" wrapText="1"/>
    </xf>
    <xf numFmtId="0" fontId="9" fillId="5" borderId="0" xfId="0" applyFont="1" applyFill="1" applyAlignment="1">
      <alignment vertical="top" wrapText="1"/>
    </xf>
    <xf numFmtId="0" fontId="11" fillId="0" borderId="1" xfId="0" applyNumberFormat="1" applyFont="1" applyBorder="1" applyAlignment="1">
      <alignment horizontal="center" vertical="top" wrapText="1"/>
    </xf>
    <xf numFmtId="176" fontId="11" fillId="0" borderId="1" xfId="0" applyNumberFormat="1" applyFont="1" applyBorder="1" applyAlignment="1">
      <alignment horizontal="center" vertical="top" wrapText="1"/>
    </xf>
    <xf numFmtId="0" fontId="11" fillId="0" borderId="0" xfId="0" applyFont="1" applyBorder="1" applyAlignment="1">
      <alignment horizontal="center" vertical="top" wrapText="1"/>
    </xf>
    <xf numFmtId="0" fontId="11" fillId="2" borderId="0" xfId="0" applyFont="1" applyFill="1" applyBorder="1" applyAlignment="1">
      <alignment horizontal="center" vertical="top" wrapText="1"/>
    </xf>
    <xf numFmtId="0" fontId="4" fillId="2" borderId="0" xfId="0" applyFont="1" applyFill="1" applyAlignment="1">
      <alignment vertical="top"/>
    </xf>
    <xf numFmtId="0" fontId="15" fillId="2" borderId="1" xfId="4" applyNumberFormat="1" applyFont="1" applyFill="1" applyBorder="1" applyAlignment="1">
      <alignment horizontal="center" vertical="center" wrapText="1"/>
    </xf>
    <xf numFmtId="0" fontId="15" fillId="2" borderId="1" xfId="4" applyNumberFormat="1" applyFont="1" applyFill="1" applyBorder="1" applyAlignment="1">
      <alignment horizontal="center" vertical="center"/>
    </xf>
    <xf numFmtId="176" fontId="16" fillId="2" borderId="1" xfId="4" applyNumberFormat="1" applyFont="1" applyFill="1" applyBorder="1" applyAlignment="1">
      <alignment horizontal="center" vertical="center" wrapText="1"/>
    </xf>
    <xf numFmtId="0" fontId="15" fillId="2" borderId="1" xfId="3" applyNumberFormat="1" applyFont="1" applyFill="1" applyBorder="1" applyAlignment="1">
      <alignment horizontal="center" vertical="center"/>
    </xf>
    <xf numFmtId="0" fontId="6" fillId="2" borderId="1" xfId="0" applyFont="1" applyFill="1" applyBorder="1"/>
    <xf numFmtId="0" fontId="0" fillId="0" borderId="1" xfId="0" applyBorder="1"/>
    <xf numFmtId="0" fontId="6" fillId="2" borderId="0" xfId="0" applyFont="1" applyFill="1" applyBorder="1"/>
    <xf numFmtId="0" fontId="0" fillId="0" borderId="0" xfId="0" applyBorder="1"/>
    <xf numFmtId="176" fontId="15" fillId="2" borderId="1" xfId="3" applyNumberFormat="1" applyFont="1" applyFill="1" applyBorder="1" applyAlignment="1">
      <alignment horizontal="center" vertical="center"/>
    </xf>
    <xf numFmtId="176" fontId="0" fillId="0" borderId="1" xfId="0" applyNumberFormat="1" applyBorder="1"/>
    <xf numFmtId="176" fontId="6" fillId="2" borderId="1" xfId="0" applyNumberFormat="1" applyFont="1" applyFill="1" applyBorder="1"/>
    <xf numFmtId="14" fontId="0" fillId="0" borderId="1" xfId="0" applyNumberFormat="1" applyBorder="1"/>
    <xf numFmtId="10" fontId="15" fillId="2" borderId="1" xfId="3" applyNumberFormat="1" applyFont="1" applyFill="1" applyBorder="1" applyAlignment="1">
      <alignment horizontal="center" vertical="center"/>
    </xf>
    <xf numFmtId="10" fontId="0" fillId="0" borderId="1" xfId="0" applyNumberFormat="1" applyBorder="1"/>
    <xf numFmtId="0" fontId="0" fillId="0" borderId="2" xfId="0" applyBorder="1"/>
    <xf numFmtId="176" fontId="0" fillId="0" borderId="2" xfId="0" applyNumberFormat="1" applyBorder="1"/>
    <xf numFmtId="10" fontId="0" fillId="0" borderId="2" xfId="0" applyNumberFormat="1" applyBorder="1"/>
    <xf numFmtId="0" fontId="8" fillId="6" borderId="1" xfId="0" applyFont="1" applyFill="1" applyBorder="1"/>
    <xf numFmtId="0" fontId="8" fillId="6" borderId="0" xfId="0" applyFont="1" applyFill="1" applyBorder="1"/>
    <xf numFmtId="178" fontId="16" fillId="2" borderId="1" xfId="4" applyNumberFormat="1" applyFont="1" applyFill="1" applyBorder="1" applyAlignment="1">
      <alignment horizontal="center" vertical="center" wrapText="1"/>
    </xf>
    <xf numFmtId="178" fontId="0" fillId="0" borderId="1" xfId="0" applyNumberFormat="1" applyBorder="1"/>
    <xf numFmtId="178" fontId="0" fillId="0" borderId="2" xfId="0" applyNumberFormat="1" applyBorder="1"/>
    <xf numFmtId="0" fontId="0" fillId="2" borderId="0" xfId="0" applyFill="1" applyBorder="1"/>
    <xf numFmtId="0" fontId="6" fillId="0" borderId="0" xfId="1" applyNumberFormat="1" applyFont="1"/>
    <xf numFmtId="0" fontId="4" fillId="0" borderId="0" xfId="1" applyNumberFormat="1" applyFont="1"/>
    <xf numFmtId="176" fontId="4" fillId="0" borderId="0" xfId="1" applyNumberFormat="1" applyFont="1"/>
    <xf numFmtId="176" fontId="6" fillId="0" borderId="0" xfId="1" applyNumberFormat="1" applyFont="1"/>
    <xf numFmtId="0" fontId="4" fillId="7" borderId="0" xfId="1" applyFont="1" applyFill="1"/>
    <xf numFmtId="0" fontId="4" fillId="7" borderId="0" xfId="1" applyNumberFormat="1" applyFont="1" applyFill="1"/>
    <xf numFmtId="176" fontId="4" fillId="7" borderId="0" xfId="1" applyNumberFormat="1" applyFont="1" applyFill="1"/>
  </cellXfs>
  <cellStyles count="5">
    <cellStyle name="百分比" xfId="3" builtinId="5"/>
    <cellStyle name="百分比 2" xfId="2"/>
    <cellStyle name="常规" xfId="0" builtinId="0"/>
    <cellStyle name="常规 2" xfId="1"/>
    <cellStyle name="常规 4" xfId="4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247650</xdr:colOff>
          <xdr:row>2</xdr:row>
          <xdr:rowOff>57150</xdr:rowOff>
        </xdr:from>
        <xdr:to>
          <xdr:col>19</xdr:col>
          <xdr:colOff>400050</xdr:colOff>
          <xdr:row>4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点击更新</a:t>
              </a:r>
            </a:p>
            <a:p>
              <a:pPr algn="ctr" rtl="0">
                <a:defRPr sz="1000"/>
              </a:pPr>
              <a:endParaRPr lang="zh-CN" altLang="en-US" sz="1400" b="1" i="0" u="sng" strike="noStrike" baseline="0">
                <a:solidFill>
                  <a:srgbClr val="9933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485775</xdr:colOff>
          <xdr:row>2</xdr:row>
          <xdr:rowOff>123825</xdr:rowOff>
        </xdr:from>
        <xdr:to>
          <xdr:col>14</xdr:col>
          <xdr:colOff>390525</xdr:colOff>
          <xdr:row>5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点击更新</a:t>
              </a:r>
            </a:p>
            <a:p>
              <a:pPr algn="ctr" rtl="0">
                <a:defRPr sz="1000"/>
              </a:pPr>
              <a:endParaRPr lang="zh-CN" altLang="en-US" sz="1400" b="1" i="0" u="sng" strike="noStrike" baseline="0">
                <a:solidFill>
                  <a:srgbClr val="9933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590550</xdr:colOff>
          <xdr:row>2</xdr:row>
          <xdr:rowOff>76200</xdr:rowOff>
        </xdr:from>
        <xdr:to>
          <xdr:col>15</xdr:col>
          <xdr:colOff>495300</xdr:colOff>
          <xdr:row>4</xdr:row>
          <xdr:rowOff>171450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点击更新</a:t>
              </a:r>
            </a:p>
            <a:p>
              <a:pPr algn="ctr" rtl="0">
                <a:defRPr sz="1000"/>
              </a:pPr>
              <a:endParaRPr lang="zh-CN" altLang="en-US" sz="1400" b="1" i="0" u="sng" strike="noStrike" baseline="0">
                <a:solidFill>
                  <a:srgbClr val="9933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2</xdr:row>
          <xdr:rowOff>142875</xdr:rowOff>
        </xdr:from>
        <xdr:to>
          <xdr:col>5</xdr:col>
          <xdr:colOff>923925</xdr:colOff>
          <xdr:row>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点击更新</a:t>
              </a:r>
            </a:p>
            <a:p>
              <a:pPr algn="ctr" rtl="0">
                <a:defRPr sz="1000"/>
              </a:pPr>
              <a:endParaRPr lang="zh-CN" altLang="en-US" sz="1400" b="1" i="0" u="sng" strike="noStrike" baseline="0">
                <a:solidFill>
                  <a:srgbClr val="9933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66675</xdr:rowOff>
        </xdr:from>
        <xdr:to>
          <xdr:col>5</xdr:col>
          <xdr:colOff>923925</xdr:colOff>
          <xdr:row>5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点击更新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412"/>
  <sheetViews>
    <sheetView tabSelected="1" workbookViewId="0">
      <pane ySplit="1" topLeftCell="A2" activePane="bottomLeft" state="frozen"/>
      <selection pane="bottomLeft" activeCell="L12" sqref="L12"/>
    </sheetView>
  </sheetViews>
  <sheetFormatPr defaultRowHeight="14.25" x14ac:dyDescent="0.15"/>
  <cols>
    <col min="1" max="1" width="4.75" style="48" customWidth="1"/>
    <col min="2" max="5" width="9" style="35"/>
    <col min="6" max="6" width="9.5" style="50" bestFit="1" customWidth="1"/>
    <col min="7" max="7" width="9" style="35"/>
    <col min="8" max="10" width="9" style="39"/>
    <col min="11" max="11" width="11.125" style="35" customWidth="1"/>
    <col min="12" max="13" width="9" style="35"/>
    <col min="14" max="14" width="11.625" style="39" bestFit="1" customWidth="1"/>
    <col min="15" max="15" width="9" style="43"/>
    <col min="16" max="17" width="9" style="35"/>
    <col min="18" max="16384" width="9" style="37"/>
  </cols>
  <sheetData>
    <row r="1" spans="1:20" s="36" customFormat="1" x14ac:dyDescent="0.15">
      <c r="A1" s="47"/>
      <c r="B1" s="30" t="s">
        <v>1992</v>
      </c>
      <c r="C1" s="31" t="s">
        <v>1993</v>
      </c>
      <c r="D1" s="32" t="s">
        <v>1813</v>
      </c>
      <c r="E1" s="32" t="s">
        <v>35</v>
      </c>
      <c r="F1" s="49" t="s">
        <v>1994</v>
      </c>
      <c r="G1" s="33" t="s">
        <v>1814</v>
      </c>
      <c r="H1" s="38" t="s">
        <v>1995</v>
      </c>
      <c r="I1" s="40" t="s">
        <v>1996</v>
      </c>
      <c r="J1" s="40" t="s">
        <v>1997</v>
      </c>
      <c r="K1" s="34" t="s">
        <v>1998</v>
      </c>
      <c r="L1" s="34" t="s">
        <v>1999</v>
      </c>
      <c r="M1" s="34" t="s">
        <v>2000</v>
      </c>
      <c r="N1" s="32" t="s">
        <v>1818</v>
      </c>
      <c r="O1" s="42" t="s">
        <v>1815</v>
      </c>
      <c r="P1" s="32" t="s">
        <v>1816</v>
      </c>
      <c r="Q1" s="32" t="s">
        <v>1817</v>
      </c>
    </row>
    <row r="2" spans="1:20" x14ac:dyDescent="0.15">
      <c r="A2" s="47">
        <v>1</v>
      </c>
      <c r="B2" s="35">
        <v>128107</v>
      </c>
      <c r="C2" s="35" t="s">
        <v>2001</v>
      </c>
      <c r="D2" s="35">
        <v>130.69999999999999</v>
      </c>
      <c r="E2" s="35">
        <v>-0.89</v>
      </c>
      <c r="F2" s="50">
        <v>129.81</v>
      </c>
      <c r="G2" s="35">
        <v>2.15</v>
      </c>
      <c r="H2" s="39">
        <v>8.8772090000000006</v>
      </c>
      <c r="I2" s="39">
        <v>-3.4304999999999999</v>
      </c>
      <c r="J2" s="39">
        <v>3.9039999999999999</v>
      </c>
      <c r="K2" s="41">
        <v>46134</v>
      </c>
      <c r="L2" s="35">
        <v>5.24</v>
      </c>
      <c r="M2" s="35">
        <v>131.87</v>
      </c>
      <c r="N2" s="39">
        <v>100282.3783487</v>
      </c>
      <c r="O2" s="43">
        <v>5.7476496162478602E-2</v>
      </c>
      <c r="P2" s="35">
        <v>134.75</v>
      </c>
      <c r="Q2" s="35">
        <v>127.426</v>
      </c>
    </row>
    <row r="3" spans="1:20" x14ac:dyDescent="0.15">
      <c r="A3" s="47">
        <v>2</v>
      </c>
      <c r="B3" s="35">
        <v>127013</v>
      </c>
      <c r="C3" s="35" t="s">
        <v>193</v>
      </c>
      <c r="D3" s="35">
        <v>132.94</v>
      </c>
      <c r="E3" s="35">
        <v>-0.23</v>
      </c>
      <c r="F3" s="50">
        <v>132.71</v>
      </c>
      <c r="G3" s="35">
        <v>-0.05</v>
      </c>
      <c r="H3" s="39">
        <v>9.7660520000000002</v>
      </c>
      <c r="I3" s="39">
        <v>-4.5871000000000004</v>
      </c>
      <c r="J3" s="39">
        <v>2.8849999999999998</v>
      </c>
      <c r="K3" s="41">
        <v>45762</v>
      </c>
      <c r="L3" s="35">
        <v>11.19</v>
      </c>
      <c r="M3" s="35">
        <v>133.24</v>
      </c>
      <c r="N3" s="39">
        <v>15497.081671799999</v>
      </c>
      <c r="O3" s="43">
        <v>2.3409454282180345E-2</v>
      </c>
      <c r="P3" s="35">
        <v>135.69999999999999</v>
      </c>
      <c r="Q3" s="35">
        <v>132.596</v>
      </c>
      <c r="S3" s="52"/>
      <c r="T3" s="52"/>
    </row>
    <row r="4" spans="1:20" x14ac:dyDescent="0.15">
      <c r="A4" s="47">
        <v>3</v>
      </c>
      <c r="B4" s="35">
        <v>127027</v>
      </c>
      <c r="C4" s="35" t="s">
        <v>1820</v>
      </c>
      <c r="D4" s="35">
        <v>141.899</v>
      </c>
      <c r="E4" s="35">
        <v>-0.22</v>
      </c>
      <c r="F4" s="50">
        <v>141.679</v>
      </c>
      <c r="G4" s="35">
        <v>0.01</v>
      </c>
      <c r="H4" s="39">
        <v>22.003689000000001</v>
      </c>
      <c r="I4" s="39">
        <v>-4.6231999999999998</v>
      </c>
      <c r="J4" s="39">
        <v>4.54</v>
      </c>
      <c r="K4" s="41">
        <v>46366</v>
      </c>
      <c r="L4" s="35">
        <v>3.08</v>
      </c>
      <c r="M4" s="35">
        <v>142.21</v>
      </c>
      <c r="N4" s="39">
        <v>28069.543059500003</v>
      </c>
      <c r="O4" s="43">
        <v>3.0303679885673555E-2</v>
      </c>
      <c r="P4" s="35">
        <v>144.191</v>
      </c>
      <c r="Q4" s="35">
        <v>139.94999999999999</v>
      </c>
      <c r="S4" s="52"/>
      <c r="T4" s="52"/>
    </row>
    <row r="5" spans="1:20" x14ac:dyDescent="0.15">
      <c r="A5" s="47">
        <v>4</v>
      </c>
      <c r="B5" s="35">
        <v>110071</v>
      </c>
      <c r="C5" s="35" t="s">
        <v>97</v>
      </c>
      <c r="D5" s="35">
        <v>140.9</v>
      </c>
      <c r="E5" s="35">
        <v>0.35</v>
      </c>
      <c r="F5" s="50">
        <v>141.25</v>
      </c>
      <c r="G5" s="35">
        <v>0.66</v>
      </c>
      <c r="H5" s="39">
        <v>7.1959299999999997</v>
      </c>
      <c r="I5" s="39">
        <v>-4.9241000000000001</v>
      </c>
      <c r="J5" s="39">
        <v>4.1210000000000004</v>
      </c>
      <c r="K5" s="41">
        <v>46213</v>
      </c>
      <c r="L5" s="35">
        <v>5.89</v>
      </c>
      <c r="M5" s="35">
        <v>140.41</v>
      </c>
      <c r="N5" s="39">
        <v>19921.0065</v>
      </c>
      <c r="O5" s="43">
        <v>2.342574683000222E-2</v>
      </c>
      <c r="P5" s="35">
        <v>142.86000000000001</v>
      </c>
      <c r="Q5" s="35">
        <v>139.59</v>
      </c>
      <c r="S5" s="52"/>
      <c r="T5" s="52"/>
    </row>
    <row r="6" spans="1:20" x14ac:dyDescent="0.15">
      <c r="A6" s="47">
        <v>5</v>
      </c>
      <c r="B6" s="35">
        <v>123086</v>
      </c>
      <c r="C6" s="35" t="s">
        <v>1821</v>
      </c>
      <c r="D6" s="35">
        <v>161.6</v>
      </c>
      <c r="E6" s="35">
        <v>0.41</v>
      </c>
      <c r="F6" s="50">
        <v>162.01</v>
      </c>
      <c r="G6" s="35">
        <v>0.19</v>
      </c>
      <c r="H6" s="39">
        <v>4.3500980000000009</v>
      </c>
      <c r="I6" s="39">
        <v>-5.9104999999999999</v>
      </c>
      <c r="J6" s="39">
        <v>4.5419999999999998</v>
      </c>
      <c r="K6" s="41">
        <v>46367</v>
      </c>
      <c r="L6" s="35">
        <v>7.27</v>
      </c>
      <c r="M6" s="35">
        <v>160.94</v>
      </c>
      <c r="N6" s="39">
        <v>45196.488850000002</v>
      </c>
      <c r="O6" s="43">
        <v>3.0346766635426424E-2</v>
      </c>
      <c r="P6" s="35">
        <v>164.90700000000001</v>
      </c>
      <c r="Q6" s="35">
        <v>160.05000000000001</v>
      </c>
    </row>
    <row r="7" spans="1:20" x14ac:dyDescent="0.15">
      <c r="A7" s="47">
        <v>6</v>
      </c>
      <c r="B7" s="35">
        <v>123092</v>
      </c>
      <c r="C7" s="35" t="s">
        <v>1822</v>
      </c>
      <c r="D7" s="35">
        <v>174.12299999999999</v>
      </c>
      <c r="E7" s="35">
        <v>0.52</v>
      </c>
      <c r="F7" s="50">
        <v>174.643</v>
      </c>
      <c r="G7" s="35">
        <v>-1.38</v>
      </c>
      <c r="H7" s="39">
        <v>4.1420899999999996</v>
      </c>
      <c r="I7" s="39">
        <v>-7.7731000000000003</v>
      </c>
      <c r="J7" s="39">
        <v>4.5780000000000003</v>
      </c>
      <c r="K7" s="41">
        <v>46380</v>
      </c>
      <c r="L7" s="35">
        <v>5.19</v>
      </c>
      <c r="M7" s="35">
        <v>173.22</v>
      </c>
      <c r="N7" s="39">
        <v>5766.7979949999999</v>
      </c>
      <c r="O7" s="43">
        <v>2.8913191283404593E-2</v>
      </c>
      <c r="P7" s="35">
        <v>178.572</v>
      </c>
      <c r="Q7" s="35">
        <v>173.554</v>
      </c>
    </row>
    <row r="8" spans="1:20" x14ac:dyDescent="0.15">
      <c r="A8" s="47">
        <v>7</v>
      </c>
      <c r="B8" s="35">
        <v>113548</v>
      </c>
      <c r="C8" s="35" t="s">
        <v>1823</v>
      </c>
      <c r="D8" s="35">
        <v>566.1</v>
      </c>
      <c r="E8" s="35">
        <v>0.72</v>
      </c>
      <c r="F8" s="50">
        <v>566.82000000000005</v>
      </c>
      <c r="G8" s="35">
        <v>0.1</v>
      </c>
      <c r="H8" s="39">
        <v>0.87580999999999998</v>
      </c>
      <c r="I8" s="39">
        <v>-36.316600000000001</v>
      </c>
      <c r="J8" s="39">
        <v>3.4220000000000002</v>
      </c>
      <c r="K8" s="41">
        <v>45958</v>
      </c>
      <c r="L8" s="35">
        <v>14.69</v>
      </c>
      <c r="M8" s="35">
        <v>562.08000000000004</v>
      </c>
      <c r="N8" s="39">
        <v>219561.9319</v>
      </c>
      <c r="O8" s="43">
        <v>8.3535974824774761E-2</v>
      </c>
      <c r="P8" s="35">
        <v>606</v>
      </c>
      <c r="Q8" s="35">
        <v>559.28</v>
      </c>
    </row>
    <row r="9" spans="1:20" x14ac:dyDescent="0.15">
      <c r="A9" s="47">
        <v>8</v>
      </c>
      <c r="B9" s="35">
        <v>128111</v>
      </c>
      <c r="C9" s="35" t="s">
        <v>1824</v>
      </c>
      <c r="D9" s="35">
        <v>659</v>
      </c>
      <c r="E9" s="35">
        <v>0.92</v>
      </c>
      <c r="F9" s="50">
        <v>659.92</v>
      </c>
      <c r="G9" s="35">
        <v>-4.63</v>
      </c>
      <c r="H9" s="39">
        <v>1.3679619999999999</v>
      </c>
      <c r="I9" s="39">
        <v>-34.2532</v>
      </c>
      <c r="J9" s="39">
        <v>4.0410000000000004</v>
      </c>
      <c r="K9" s="41">
        <v>46184</v>
      </c>
      <c r="L9" s="35">
        <v>15.45</v>
      </c>
      <c r="M9" s="35">
        <v>653.01</v>
      </c>
      <c r="N9" s="39">
        <v>196059.0474287</v>
      </c>
      <c r="O9" s="43">
        <v>8.7915766410030086E-2</v>
      </c>
      <c r="P9" s="35">
        <v>715</v>
      </c>
      <c r="Q9" s="35">
        <v>657.22</v>
      </c>
    </row>
    <row r="10" spans="1:20" x14ac:dyDescent="0.15">
      <c r="A10" s="47">
        <v>9</v>
      </c>
      <c r="B10" s="35">
        <v>128046</v>
      </c>
      <c r="C10" s="35" t="s">
        <v>800</v>
      </c>
      <c r="D10" s="35">
        <v>177.417</v>
      </c>
      <c r="E10" s="35">
        <v>1.33</v>
      </c>
      <c r="F10" s="50">
        <v>178.74700000000001</v>
      </c>
      <c r="G10" s="35">
        <v>1.44</v>
      </c>
      <c r="H10" s="39">
        <v>7.748437</v>
      </c>
      <c r="I10" s="39">
        <v>-17.946000000000002</v>
      </c>
      <c r="J10" s="39">
        <v>2.3919999999999999</v>
      </c>
      <c r="K10" s="41">
        <v>45582</v>
      </c>
      <c r="L10" s="35">
        <v>12.8</v>
      </c>
      <c r="M10" s="35">
        <v>175.08</v>
      </c>
      <c r="N10" s="39">
        <v>18865.227219100001</v>
      </c>
      <c r="O10" s="43">
        <v>3.1755446560967168E-2</v>
      </c>
      <c r="P10" s="35">
        <v>180.90799999999999</v>
      </c>
      <c r="Q10" s="35">
        <v>175.34</v>
      </c>
    </row>
    <row r="11" spans="1:20" x14ac:dyDescent="0.15">
      <c r="A11" s="47">
        <v>10</v>
      </c>
      <c r="B11" s="35">
        <v>113615</v>
      </c>
      <c r="C11" s="35" t="s">
        <v>1825</v>
      </c>
      <c r="D11" s="35">
        <v>177.14</v>
      </c>
      <c r="E11" s="35">
        <v>1.4</v>
      </c>
      <c r="F11" s="50">
        <v>178.54</v>
      </c>
      <c r="G11" s="35">
        <v>1.1599999999999999</v>
      </c>
      <c r="H11" s="39">
        <v>8.5466999999999995</v>
      </c>
      <c r="I11" s="39">
        <v>-8.8222000000000005</v>
      </c>
      <c r="J11" s="39">
        <v>4.5750000000000002</v>
      </c>
      <c r="K11" s="41">
        <v>46379</v>
      </c>
      <c r="L11" s="35">
        <v>12.65</v>
      </c>
      <c r="M11" s="35">
        <v>174.7</v>
      </c>
      <c r="N11" s="39">
        <v>15915.2088</v>
      </c>
      <c r="O11" s="43">
        <v>2.8676724634342912E-2</v>
      </c>
      <c r="P11" s="35">
        <v>178.64</v>
      </c>
      <c r="Q11" s="35">
        <v>173.66</v>
      </c>
    </row>
    <row r="12" spans="1:20" x14ac:dyDescent="0.15">
      <c r="A12" s="47">
        <v>11</v>
      </c>
      <c r="B12" s="35">
        <v>118000</v>
      </c>
      <c r="C12" s="35" t="s">
        <v>1913</v>
      </c>
      <c r="D12" s="35">
        <v>177.14</v>
      </c>
      <c r="E12" s="35">
        <v>1.4</v>
      </c>
      <c r="F12" s="50">
        <v>178.54</v>
      </c>
      <c r="G12" s="35">
        <v>1.1599999999999999</v>
      </c>
      <c r="H12" s="39">
        <v>8.5466999999999995</v>
      </c>
      <c r="I12" s="39">
        <v>-8.8222000000000005</v>
      </c>
      <c r="J12" s="39">
        <v>4.5750000000000002</v>
      </c>
      <c r="K12" s="41">
        <v>46379</v>
      </c>
      <c r="L12" s="35">
        <v>12.65</v>
      </c>
      <c r="M12" s="35">
        <v>174.7</v>
      </c>
      <c r="N12" s="39">
        <v>15915.2088</v>
      </c>
      <c r="O12" s="43">
        <v>2.8676724634342912E-2</v>
      </c>
      <c r="P12" s="35">
        <v>178.64</v>
      </c>
      <c r="Q12" s="35">
        <v>173.66</v>
      </c>
    </row>
    <row r="13" spans="1:20" x14ac:dyDescent="0.15">
      <c r="A13" s="47">
        <v>12</v>
      </c>
      <c r="B13" s="35">
        <v>123070</v>
      </c>
      <c r="C13" s="35" t="s">
        <v>1826</v>
      </c>
      <c r="D13" s="35">
        <v>219.99</v>
      </c>
      <c r="E13" s="35">
        <v>2.04</v>
      </c>
      <c r="F13" s="50">
        <v>222.03</v>
      </c>
      <c r="G13" s="35">
        <v>4.16</v>
      </c>
      <c r="H13" s="39">
        <v>5.5721239999999996</v>
      </c>
      <c r="I13" s="39">
        <v>-13.9437</v>
      </c>
      <c r="J13" s="39">
        <v>4.4000000000000004</v>
      </c>
      <c r="K13" s="41">
        <v>46315</v>
      </c>
      <c r="L13" s="35">
        <v>20.079999999999998</v>
      </c>
      <c r="M13" s="35">
        <v>215.59</v>
      </c>
      <c r="N13" s="39">
        <v>144330.0034929</v>
      </c>
      <c r="O13" s="43">
        <v>4.7434782406481586E-2</v>
      </c>
      <c r="P13" s="35">
        <v>225.21</v>
      </c>
      <c r="Q13" s="35">
        <v>215.011</v>
      </c>
    </row>
    <row r="14" spans="1:20" x14ac:dyDescent="0.15">
      <c r="A14" s="47">
        <v>13</v>
      </c>
      <c r="B14" s="35">
        <v>127043</v>
      </c>
      <c r="C14" s="35" t="s">
        <v>1827</v>
      </c>
      <c r="D14" s="35">
        <v>158.30000000000001</v>
      </c>
      <c r="E14" s="35">
        <v>2.79</v>
      </c>
      <c r="F14" s="50">
        <v>161.09</v>
      </c>
      <c r="G14" s="35">
        <v>1.2</v>
      </c>
      <c r="H14" s="39">
        <v>11.586394</v>
      </c>
      <c r="I14" s="39">
        <v>-5.1181999999999999</v>
      </c>
      <c r="J14" s="39">
        <v>5.2110000000000003</v>
      </c>
      <c r="K14" s="41">
        <v>46611</v>
      </c>
      <c r="L14" s="35">
        <v>20.7</v>
      </c>
      <c r="M14" s="35">
        <v>154.01</v>
      </c>
      <c r="N14" s="39">
        <v>192702.923614</v>
      </c>
      <c r="O14" s="43">
        <v>6.7362127091151983E-2</v>
      </c>
      <c r="P14" s="35">
        <v>167.8</v>
      </c>
      <c r="Q14" s="35">
        <v>157.21</v>
      </c>
    </row>
    <row r="15" spans="1:20" x14ac:dyDescent="0.15">
      <c r="A15" s="47">
        <v>14</v>
      </c>
      <c r="B15" s="35">
        <v>113541</v>
      </c>
      <c r="C15" s="35" t="s">
        <v>1828</v>
      </c>
      <c r="D15" s="35">
        <v>122.78</v>
      </c>
      <c r="E15" s="35">
        <v>3.18</v>
      </c>
      <c r="F15" s="50">
        <v>125.96000000000001</v>
      </c>
      <c r="G15" s="35">
        <v>0.2</v>
      </c>
      <c r="H15" s="39">
        <v>1.4928600000000001</v>
      </c>
      <c r="I15" s="39">
        <v>-2.2879</v>
      </c>
      <c r="J15" s="39">
        <v>3.1560000000000001</v>
      </c>
      <c r="K15" s="41">
        <v>45861</v>
      </c>
      <c r="L15" s="35">
        <v>10.84</v>
      </c>
      <c r="M15" s="35">
        <v>119</v>
      </c>
      <c r="N15" s="39">
        <v>9766.2968000000001</v>
      </c>
      <c r="O15" s="43">
        <v>1.7753415691728721E-2</v>
      </c>
      <c r="P15" s="35">
        <v>124.4</v>
      </c>
      <c r="Q15" s="35">
        <v>122.23</v>
      </c>
    </row>
    <row r="16" spans="1:20" x14ac:dyDescent="0.15">
      <c r="A16" s="47">
        <v>15</v>
      </c>
      <c r="B16" s="35">
        <v>113568</v>
      </c>
      <c r="C16" s="35" t="s">
        <v>132</v>
      </c>
      <c r="D16" s="35">
        <v>155.18</v>
      </c>
      <c r="E16" s="35">
        <v>4.05</v>
      </c>
      <c r="F16" s="50">
        <v>159.23000000000002</v>
      </c>
      <c r="G16" s="35">
        <v>1.39</v>
      </c>
      <c r="H16" s="39">
        <v>2.4309099999999999</v>
      </c>
      <c r="I16" s="39">
        <v>-5.9782999999999999</v>
      </c>
      <c r="J16" s="39">
        <v>3.7749999999999999</v>
      </c>
      <c r="K16" s="41">
        <v>46087</v>
      </c>
      <c r="L16" s="35">
        <v>8.75</v>
      </c>
      <c r="M16" s="35">
        <v>149.13999999999999</v>
      </c>
      <c r="N16" s="39">
        <v>35587.7886</v>
      </c>
      <c r="O16" s="43">
        <v>5.2948885976408996E-2</v>
      </c>
      <c r="P16" s="35">
        <v>160.68</v>
      </c>
      <c r="Q16" s="35">
        <v>152.6</v>
      </c>
    </row>
    <row r="17" spans="1:17" x14ac:dyDescent="0.15">
      <c r="A17" s="47">
        <v>16</v>
      </c>
      <c r="B17" s="35">
        <v>113025</v>
      </c>
      <c r="C17" s="35" t="s">
        <v>1829</v>
      </c>
      <c r="D17" s="35">
        <v>351.18</v>
      </c>
      <c r="E17" s="35">
        <v>5.49</v>
      </c>
      <c r="F17" s="50">
        <v>356.67</v>
      </c>
      <c r="G17" s="35">
        <v>-0.53</v>
      </c>
      <c r="H17" s="39">
        <v>10.14791</v>
      </c>
      <c r="I17" s="39">
        <v>-32.805199999999999</v>
      </c>
      <c r="J17" s="39">
        <v>2.871</v>
      </c>
      <c r="K17" s="41">
        <v>45757</v>
      </c>
      <c r="L17" s="35">
        <v>7.66</v>
      </c>
      <c r="M17" s="35">
        <v>332.9</v>
      </c>
      <c r="N17" s="39">
        <v>29392.003199999999</v>
      </c>
      <c r="O17" s="43">
        <v>4.1247833622183795E-2</v>
      </c>
      <c r="P17" s="35">
        <v>360.48</v>
      </c>
      <c r="Q17" s="35">
        <v>346.2</v>
      </c>
    </row>
    <row r="18" spans="1:17" x14ac:dyDescent="0.15">
      <c r="A18" s="47">
        <v>17</v>
      </c>
      <c r="B18" s="35">
        <v>127040</v>
      </c>
      <c r="C18" s="35" t="s">
        <v>1830</v>
      </c>
      <c r="D18" s="35">
        <v>125.45099999999999</v>
      </c>
      <c r="E18" s="35">
        <v>5.69</v>
      </c>
      <c r="F18" s="50">
        <v>131.14099999999999</v>
      </c>
      <c r="G18" s="35">
        <v>0.18</v>
      </c>
      <c r="H18" s="39">
        <v>42.577635000000001</v>
      </c>
      <c r="I18" s="39">
        <v>-2.1406000000000001</v>
      </c>
      <c r="J18" s="39">
        <v>5.1120000000000001</v>
      </c>
      <c r="K18" s="41">
        <v>46575</v>
      </c>
      <c r="L18" s="35">
        <v>8.77</v>
      </c>
      <c r="M18" s="35">
        <v>118.7</v>
      </c>
      <c r="N18" s="39">
        <v>9283.0225840000003</v>
      </c>
      <c r="O18" s="43">
        <v>1.6856397533365774E-2</v>
      </c>
      <c r="P18" s="35">
        <v>127.46599999999999</v>
      </c>
      <c r="Q18" s="35">
        <v>125.35299999999999</v>
      </c>
    </row>
    <row r="19" spans="1:17" x14ac:dyDescent="0.15">
      <c r="A19" s="47">
        <v>18</v>
      </c>
      <c r="B19" s="35">
        <v>128141</v>
      </c>
      <c r="C19" s="35" t="s">
        <v>1831</v>
      </c>
      <c r="D19" s="35">
        <v>134.80000000000001</v>
      </c>
      <c r="E19" s="35">
        <v>5.78</v>
      </c>
      <c r="F19" s="50">
        <v>140.58000000000001</v>
      </c>
      <c r="G19" s="35">
        <v>0.75</v>
      </c>
      <c r="H19" s="39">
        <v>12.701748</v>
      </c>
      <c r="I19" s="39">
        <v>-3.5213999999999999</v>
      </c>
      <c r="J19" s="39">
        <v>4.5590000000000002</v>
      </c>
      <c r="K19" s="41">
        <v>46373</v>
      </c>
      <c r="L19" s="35">
        <v>15.97</v>
      </c>
      <c r="M19" s="35">
        <v>127.43</v>
      </c>
      <c r="N19" s="39">
        <v>4721.667805</v>
      </c>
      <c r="O19" s="43">
        <v>1.8444748432872901E-2</v>
      </c>
      <c r="P19" s="35">
        <v>135.5</v>
      </c>
      <c r="Q19" s="35">
        <v>133.04599999999999</v>
      </c>
    </row>
    <row r="20" spans="1:17" x14ac:dyDescent="0.15">
      <c r="A20" s="47">
        <v>19</v>
      </c>
      <c r="B20" s="35">
        <v>123085</v>
      </c>
      <c r="C20" s="35" t="s">
        <v>1832</v>
      </c>
      <c r="D20" s="35">
        <v>137.03899999999999</v>
      </c>
      <c r="E20" s="35">
        <v>6.47</v>
      </c>
      <c r="F20" s="50">
        <v>143.50899999999999</v>
      </c>
      <c r="G20" s="35">
        <v>-1.2</v>
      </c>
      <c r="H20" s="39">
        <v>8.4949070000000013</v>
      </c>
      <c r="I20" s="39">
        <v>-4.2519</v>
      </c>
      <c r="J20" s="39">
        <v>4.5419999999999998</v>
      </c>
      <c r="K20" s="41">
        <v>46367</v>
      </c>
      <c r="L20" s="35">
        <v>6.2</v>
      </c>
      <c r="M20" s="35">
        <v>128.71</v>
      </c>
      <c r="N20" s="39">
        <v>3997.413325</v>
      </c>
      <c r="O20" s="43">
        <v>2.8772058823529491E-2</v>
      </c>
      <c r="P20" s="35">
        <v>139.91300000000001</v>
      </c>
      <c r="Q20" s="35">
        <v>136</v>
      </c>
    </row>
    <row r="21" spans="1:17" x14ac:dyDescent="0.15">
      <c r="A21" s="47">
        <v>20</v>
      </c>
      <c r="B21" s="35">
        <v>128106</v>
      </c>
      <c r="C21" s="35" t="s">
        <v>1833</v>
      </c>
      <c r="D21" s="35">
        <v>151.94999999999999</v>
      </c>
      <c r="E21" s="35">
        <v>6.57</v>
      </c>
      <c r="F21" s="50">
        <v>158.51999999999998</v>
      </c>
      <c r="G21" s="35">
        <v>-1.47</v>
      </c>
      <c r="H21" s="39">
        <v>2.8925260000000002</v>
      </c>
      <c r="I21" s="39">
        <v>-7.6298000000000004</v>
      </c>
      <c r="J21" s="39">
        <v>3.871</v>
      </c>
      <c r="K21" s="41">
        <v>46122</v>
      </c>
      <c r="L21" s="35">
        <v>9.3699999999999992</v>
      </c>
      <c r="M21" s="35">
        <v>142.58000000000001</v>
      </c>
      <c r="N21" s="39">
        <v>4600.8476039999996</v>
      </c>
      <c r="O21" s="43">
        <v>3.789933196639983E-2</v>
      </c>
      <c r="P21" s="35">
        <v>156.91999999999999</v>
      </c>
      <c r="Q21" s="35">
        <v>151.19</v>
      </c>
    </row>
    <row r="22" spans="1:17" x14ac:dyDescent="0.15">
      <c r="A22" s="47">
        <v>21</v>
      </c>
      <c r="B22" s="35">
        <v>123083</v>
      </c>
      <c r="C22" s="35" t="s">
        <v>114</v>
      </c>
      <c r="D22" s="35">
        <v>168.5</v>
      </c>
      <c r="E22" s="35">
        <v>8.3800000000000008</v>
      </c>
      <c r="F22" s="50">
        <v>176.88</v>
      </c>
      <c r="G22" s="35">
        <v>-0.72</v>
      </c>
      <c r="H22" s="39">
        <v>5.482971</v>
      </c>
      <c r="I22" s="39">
        <v>-8.2396999999999991</v>
      </c>
      <c r="J22" s="39">
        <v>4.5369999999999999</v>
      </c>
      <c r="K22" s="41">
        <v>46365</v>
      </c>
      <c r="L22" s="35">
        <v>15.27</v>
      </c>
      <c r="M22" s="35">
        <v>155.47</v>
      </c>
      <c r="N22" s="39">
        <v>8972.5081136000008</v>
      </c>
      <c r="O22" s="43">
        <v>4.31795177136053E-2</v>
      </c>
      <c r="P22" s="35">
        <v>175.202</v>
      </c>
      <c r="Q22" s="35">
        <v>167.95</v>
      </c>
    </row>
    <row r="23" spans="1:17" x14ac:dyDescent="0.15">
      <c r="A23" s="47">
        <v>22</v>
      </c>
      <c r="B23" s="35">
        <v>113585</v>
      </c>
      <c r="C23" s="35" t="s">
        <v>1834</v>
      </c>
      <c r="D23" s="35">
        <v>190.61</v>
      </c>
      <c r="E23" s="35">
        <v>8.5500000000000007</v>
      </c>
      <c r="F23" s="50">
        <v>199.16000000000003</v>
      </c>
      <c r="G23" s="35">
        <v>-0.59</v>
      </c>
      <c r="H23" s="39">
        <v>1.0027999999999999</v>
      </c>
      <c r="I23" s="39">
        <v>-11.548500000000001</v>
      </c>
      <c r="J23" s="39">
        <v>4.0359999999999996</v>
      </c>
      <c r="K23" s="41">
        <v>46182</v>
      </c>
      <c r="L23" s="35">
        <v>21.64</v>
      </c>
      <c r="M23" s="35">
        <v>175.6</v>
      </c>
      <c r="N23" s="39">
        <v>13050.3212</v>
      </c>
      <c r="O23" s="43">
        <v>9.9039548022598872E-2</v>
      </c>
      <c r="P23" s="35">
        <v>194.53</v>
      </c>
      <c r="Q23" s="35">
        <v>177</v>
      </c>
    </row>
    <row r="24" spans="1:17" x14ac:dyDescent="0.15">
      <c r="A24" s="47">
        <v>23</v>
      </c>
      <c r="B24" s="35">
        <v>128128</v>
      </c>
      <c r="C24" s="35" t="s">
        <v>1835</v>
      </c>
      <c r="D24" s="35">
        <v>151.5</v>
      </c>
      <c r="E24" s="35">
        <v>8.84</v>
      </c>
      <c r="F24" s="50">
        <v>160.34</v>
      </c>
      <c r="G24" s="35">
        <v>1.68</v>
      </c>
      <c r="H24" s="39">
        <v>6.8044089999999997</v>
      </c>
      <c r="I24" s="39">
        <v>-6.4219999999999997</v>
      </c>
      <c r="J24" s="39">
        <v>4.2329999999999997</v>
      </c>
      <c r="K24" s="41">
        <v>46254</v>
      </c>
      <c r="L24" s="35">
        <v>5.69</v>
      </c>
      <c r="M24" s="35">
        <v>139.19</v>
      </c>
      <c r="N24" s="39">
        <v>8888.4559410999991</v>
      </c>
      <c r="O24" s="43">
        <v>2.2926500337154262E-2</v>
      </c>
      <c r="P24" s="35">
        <v>151.69999999999999</v>
      </c>
      <c r="Q24" s="35">
        <v>148.30000000000001</v>
      </c>
    </row>
    <row r="25" spans="1:17" x14ac:dyDescent="0.15">
      <c r="A25" s="47">
        <v>24</v>
      </c>
      <c r="B25" s="35">
        <v>128013</v>
      </c>
      <c r="C25" s="35" t="s">
        <v>52</v>
      </c>
      <c r="D25" s="35">
        <v>110.75</v>
      </c>
      <c r="E25" s="35">
        <v>8.8699999999999992</v>
      </c>
      <c r="F25" s="50">
        <v>119.62</v>
      </c>
      <c r="G25" s="35">
        <v>0.62</v>
      </c>
      <c r="H25" s="39">
        <v>7.8508710000000015</v>
      </c>
      <c r="I25" s="39">
        <v>-13.5563</v>
      </c>
      <c r="J25" s="39">
        <v>0.17</v>
      </c>
      <c r="K25" s="41">
        <v>44771</v>
      </c>
      <c r="L25" s="35">
        <v>2.31</v>
      </c>
      <c r="M25" s="35">
        <v>101.73</v>
      </c>
      <c r="N25" s="39">
        <v>19291.176257700001</v>
      </c>
      <c r="O25" s="43">
        <v>3.1161987825929018E-2</v>
      </c>
      <c r="P25" s="35">
        <v>113.5</v>
      </c>
      <c r="Q25" s="35">
        <v>110.07</v>
      </c>
    </row>
    <row r="26" spans="1:17" x14ac:dyDescent="0.15">
      <c r="A26" s="47">
        <v>25</v>
      </c>
      <c r="B26" s="35">
        <v>113534</v>
      </c>
      <c r="C26" s="35" t="s">
        <v>828</v>
      </c>
      <c r="D26" s="35">
        <v>220.53</v>
      </c>
      <c r="E26" s="35">
        <v>8.9</v>
      </c>
      <c r="F26" s="50">
        <v>229.43</v>
      </c>
      <c r="G26" s="35">
        <v>4.9000000000000004</v>
      </c>
      <c r="H26" s="39">
        <v>4.0375399999999999</v>
      </c>
      <c r="I26" s="39">
        <v>-20.9314</v>
      </c>
      <c r="J26" s="39">
        <v>2.8679999999999999</v>
      </c>
      <c r="K26" s="41">
        <v>45756</v>
      </c>
      <c r="L26" s="35">
        <v>15.18</v>
      </c>
      <c r="M26" s="35">
        <v>202.5</v>
      </c>
      <c r="N26" s="39">
        <v>261283.89629999999</v>
      </c>
      <c r="O26" s="43">
        <v>0.11971830985915492</v>
      </c>
      <c r="P26" s="35">
        <v>238.5</v>
      </c>
      <c r="Q26" s="35">
        <v>213</v>
      </c>
    </row>
    <row r="27" spans="1:17" x14ac:dyDescent="0.15">
      <c r="A27" s="47">
        <v>26</v>
      </c>
      <c r="B27" s="35">
        <v>110061</v>
      </c>
      <c r="C27" s="35" t="s">
        <v>1836</v>
      </c>
      <c r="D27" s="35">
        <v>140.19</v>
      </c>
      <c r="E27" s="35">
        <v>8.93</v>
      </c>
      <c r="F27" s="50">
        <v>149.12</v>
      </c>
      <c r="G27" s="35">
        <v>-0.56999999999999995</v>
      </c>
      <c r="H27" s="39">
        <v>39.61562</v>
      </c>
      <c r="I27" s="39">
        <v>-6.8152999999999997</v>
      </c>
      <c r="J27" s="39">
        <v>3.46</v>
      </c>
      <c r="K27" s="41">
        <v>45972</v>
      </c>
      <c r="L27" s="35">
        <v>9.1999999999999993</v>
      </c>
      <c r="M27" s="35">
        <v>128.69999999999999</v>
      </c>
      <c r="N27" s="39">
        <v>3403.2811000000002</v>
      </c>
      <c r="O27" s="43">
        <v>2.1732893415578838E-2</v>
      </c>
      <c r="P27" s="35">
        <v>142.44999999999999</v>
      </c>
      <c r="Q27" s="35">
        <v>139.41999999999999</v>
      </c>
    </row>
    <row r="28" spans="1:17" x14ac:dyDescent="0.15">
      <c r="A28" s="47">
        <v>27</v>
      </c>
      <c r="B28" s="35">
        <v>113537</v>
      </c>
      <c r="C28" s="35" t="s">
        <v>1837</v>
      </c>
      <c r="D28" s="35">
        <v>241.3</v>
      </c>
      <c r="E28" s="35">
        <v>9.0500000000000007</v>
      </c>
      <c r="F28" s="50">
        <v>250.35000000000002</v>
      </c>
      <c r="G28" s="35">
        <v>1.47</v>
      </c>
      <c r="H28" s="39">
        <v>1.4047400000000001</v>
      </c>
      <c r="I28" s="39">
        <v>-20.778400000000001</v>
      </c>
      <c r="J28" s="39">
        <v>3.0379999999999998</v>
      </c>
      <c r="K28" s="41">
        <v>45818</v>
      </c>
      <c r="L28" s="35">
        <v>19.28</v>
      </c>
      <c r="M28" s="35">
        <v>221.27</v>
      </c>
      <c r="N28" s="39">
        <v>50901.655599999998</v>
      </c>
      <c r="O28" s="43">
        <v>3.3852091111204421E-2</v>
      </c>
      <c r="P28" s="35">
        <v>246.46</v>
      </c>
      <c r="Q28" s="35">
        <v>238.39</v>
      </c>
    </row>
    <row r="29" spans="1:17" x14ac:dyDescent="0.15">
      <c r="A29" s="47">
        <v>28</v>
      </c>
      <c r="B29" s="35">
        <v>123073</v>
      </c>
      <c r="C29" s="35" t="s">
        <v>1838</v>
      </c>
      <c r="D29" s="35">
        <v>201.46299999999999</v>
      </c>
      <c r="E29" s="35">
        <v>9.09</v>
      </c>
      <c r="F29" s="50">
        <v>210.553</v>
      </c>
      <c r="G29" s="35">
        <v>-0.61</v>
      </c>
      <c r="H29" s="39">
        <v>2.5521029999999998</v>
      </c>
      <c r="I29" s="39">
        <v>-10.9503</v>
      </c>
      <c r="J29" s="39">
        <v>4.4160000000000004</v>
      </c>
      <c r="K29" s="41">
        <v>46321</v>
      </c>
      <c r="L29" s="35">
        <v>14.82</v>
      </c>
      <c r="M29" s="35">
        <v>184.68</v>
      </c>
      <c r="N29" s="39">
        <v>124618.99317909998</v>
      </c>
      <c r="O29" s="43">
        <v>3.4340155470355634E-2</v>
      </c>
      <c r="P29" s="35">
        <v>205.84299999999999</v>
      </c>
      <c r="Q29" s="35">
        <v>199.00899999999999</v>
      </c>
    </row>
    <row r="30" spans="1:17" x14ac:dyDescent="0.15">
      <c r="A30" s="47">
        <v>29</v>
      </c>
      <c r="B30" s="35">
        <v>127007</v>
      </c>
      <c r="C30" s="35" t="s">
        <v>1839</v>
      </c>
      <c r="D30" s="35">
        <v>174.05</v>
      </c>
      <c r="E30" s="35">
        <v>9.1199999999999992</v>
      </c>
      <c r="F30" s="50">
        <v>183.17000000000002</v>
      </c>
      <c r="G30" s="35">
        <v>-1.44</v>
      </c>
      <c r="H30" s="39">
        <v>3.6980269999999993</v>
      </c>
      <c r="I30" s="39">
        <v>-19.563199999999998</v>
      </c>
      <c r="J30" s="39">
        <v>2.0880000000000001</v>
      </c>
      <c r="K30" s="41">
        <v>45471</v>
      </c>
      <c r="L30" s="35">
        <v>5.58</v>
      </c>
      <c r="M30" s="35">
        <v>159.5</v>
      </c>
      <c r="N30" s="39">
        <v>458232.91712250002</v>
      </c>
      <c r="O30" s="43">
        <v>4.8504530325443648E-2</v>
      </c>
      <c r="P30" s="35">
        <v>181.45</v>
      </c>
      <c r="Q30" s="35">
        <v>173.05600000000001</v>
      </c>
    </row>
    <row r="31" spans="1:17" x14ac:dyDescent="0.15">
      <c r="A31" s="47">
        <v>30</v>
      </c>
      <c r="B31" s="35">
        <v>110077</v>
      </c>
      <c r="C31" s="35" t="s">
        <v>1840</v>
      </c>
      <c r="D31" s="35">
        <v>132.61000000000001</v>
      </c>
      <c r="E31" s="35">
        <v>9.18</v>
      </c>
      <c r="F31" s="50">
        <v>141.79000000000002</v>
      </c>
      <c r="G31" s="35">
        <v>0.28999999999999998</v>
      </c>
      <c r="H31" s="39">
        <v>17.676649999999999</v>
      </c>
      <c r="I31" s="39">
        <v>-3.488</v>
      </c>
      <c r="J31" s="39">
        <v>4.4850000000000003</v>
      </c>
      <c r="K31" s="41">
        <v>46346</v>
      </c>
      <c r="L31" s="35">
        <v>6.71</v>
      </c>
      <c r="M31" s="35">
        <v>121.46</v>
      </c>
      <c r="N31" s="39">
        <v>3635.9459000000002</v>
      </c>
      <c r="O31" s="43">
        <v>1.2869038607115951E-2</v>
      </c>
      <c r="P31" s="35">
        <v>133.80000000000001</v>
      </c>
      <c r="Q31" s="35">
        <v>132.1</v>
      </c>
    </row>
    <row r="32" spans="1:17" x14ac:dyDescent="0.15">
      <c r="A32" s="47">
        <v>31</v>
      </c>
      <c r="B32" s="35">
        <v>113626</v>
      </c>
      <c r="C32" s="35" t="s">
        <v>1841</v>
      </c>
      <c r="D32" s="35">
        <v>193.75</v>
      </c>
      <c r="E32" s="35">
        <v>10.39</v>
      </c>
      <c r="F32" s="50">
        <v>204.14</v>
      </c>
      <c r="G32" s="35">
        <v>-0.64</v>
      </c>
      <c r="H32" s="39">
        <v>9.0150299999999994</v>
      </c>
      <c r="I32" s="39">
        <v>-8.9524000000000008</v>
      </c>
      <c r="J32" s="39">
        <v>5.09</v>
      </c>
      <c r="K32" s="41">
        <v>46567</v>
      </c>
      <c r="L32" s="35">
        <v>36.01</v>
      </c>
      <c r="M32" s="35">
        <v>175.51</v>
      </c>
      <c r="N32" s="39">
        <v>23128.669000000002</v>
      </c>
      <c r="O32" s="43">
        <v>4.2475037508407101E-2</v>
      </c>
      <c r="P32" s="35">
        <v>201.5</v>
      </c>
      <c r="Q32" s="35">
        <v>193.29</v>
      </c>
    </row>
    <row r="33" spans="1:17" x14ac:dyDescent="0.15">
      <c r="A33" s="47">
        <v>32</v>
      </c>
      <c r="B33" s="35">
        <v>110053</v>
      </c>
      <c r="C33" s="35" t="s">
        <v>1842</v>
      </c>
      <c r="D33" s="35">
        <v>122.08</v>
      </c>
      <c r="E33" s="35">
        <v>10.59</v>
      </c>
      <c r="F33" s="50">
        <v>132.66999999999999</v>
      </c>
      <c r="G33" s="35">
        <v>0.56000000000000005</v>
      </c>
      <c r="H33" s="39">
        <v>199.99213</v>
      </c>
      <c r="I33" s="39">
        <v>-1.6056999999999999</v>
      </c>
      <c r="J33" s="39">
        <v>2.7970000000000002</v>
      </c>
      <c r="K33" s="41">
        <v>45730</v>
      </c>
      <c r="L33" s="35">
        <v>5.97</v>
      </c>
      <c r="M33" s="35">
        <v>110.39</v>
      </c>
      <c r="N33" s="39">
        <v>18811.8819</v>
      </c>
      <c r="O33" s="43">
        <v>8.0698287220026671E-3</v>
      </c>
      <c r="P33" s="35">
        <v>122.42</v>
      </c>
      <c r="Q33" s="35">
        <v>121.44</v>
      </c>
    </row>
    <row r="34" spans="1:17" x14ac:dyDescent="0.15">
      <c r="A34" s="47">
        <v>33</v>
      </c>
      <c r="B34" s="35">
        <v>113599</v>
      </c>
      <c r="C34" s="35" t="s">
        <v>63</v>
      </c>
      <c r="D34" s="35">
        <v>134.25</v>
      </c>
      <c r="E34" s="35">
        <v>10.79</v>
      </c>
      <c r="F34" s="50">
        <v>145.04</v>
      </c>
      <c r="G34" s="35">
        <v>-0.06</v>
      </c>
      <c r="H34" s="39">
        <v>7.1961500000000003</v>
      </c>
      <c r="I34" s="39">
        <v>-1.6076999999999999</v>
      </c>
      <c r="J34" s="39">
        <v>4.1920000000000002</v>
      </c>
      <c r="K34" s="41">
        <v>46239</v>
      </c>
      <c r="L34" s="35">
        <v>18.32</v>
      </c>
      <c r="M34" s="35">
        <v>121.18</v>
      </c>
      <c r="N34" s="39">
        <v>7698.5092999999997</v>
      </c>
      <c r="O34" s="43">
        <v>2.4030832010881721E-2</v>
      </c>
      <c r="P34" s="35">
        <v>135.51</v>
      </c>
      <c r="Q34" s="35">
        <v>132.33000000000001</v>
      </c>
    </row>
    <row r="35" spans="1:17" x14ac:dyDescent="0.15">
      <c r="A35" s="47">
        <v>34</v>
      </c>
      <c r="B35" s="35">
        <v>113567</v>
      </c>
      <c r="C35" s="35" t="s">
        <v>1843</v>
      </c>
      <c r="D35" s="35">
        <v>129.85</v>
      </c>
      <c r="E35" s="35">
        <v>10.79</v>
      </c>
      <c r="F35" s="50">
        <v>140.63999999999999</v>
      </c>
      <c r="G35" s="35">
        <v>-0.08</v>
      </c>
      <c r="H35" s="39">
        <v>1.9354100000000001</v>
      </c>
      <c r="I35" s="39">
        <v>-2.5543</v>
      </c>
      <c r="J35" s="39">
        <v>3.77</v>
      </c>
      <c r="K35" s="41">
        <v>46085</v>
      </c>
      <c r="L35" s="35">
        <v>10.58</v>
      </c>
      <c r="M35" s="35">
        <v>117.2</v>
      </c>
      <c r="N35" s="39">
        <v>2523.7458999999999</v>
      </c>
      <c r="O35" s="43">
        <v>1.227041210063262E-2</v>
      </c>
      <c r="P35" s="35">
        <v>131.16999999999999</v>
      </c>
      <c r="Q35" s="35">
        <v>129.58000000000001</v>
      </c>
    </row>
    <row r="36" spans="1:17" x14ac:dyDescent="0.15">
      <c r="A36" s="47">
        <v>35</v>
      </c>
      <c r="B36" s="35">
        <v>110068</v>
      </c>
      <c r="C36" s="35" t="s">
        <v>1844</v>
      </c>
      <c r="D36" s="35">
        <v>120.16</v>
      </c>
      <c r="E36" s="35">
        <v>11.1</v>
      </c>
      <c r="F36" s="50">
        <v>131.26</v>
      </c>
      <c r="G36" s="35">
        <v>0</v>
      </c>
      <c r="H36" s="39">
        <v>19.99616</v>
      </c>
      <c r="I36" s="39">
        <v>-1.3209</v>
      </c>
      <c r="J36" s="39">
        <v>3.8250000000000002</v>
      </c>
      <c r="K36" s="41">
        <v>46105</v>
      </c>
      <c r="L36" s="35">
        <v>10.55</v>
      </c>
      <c r="M36" s="35">
        <v>108.15</v>
      </c>
      <c r="N36" s="39">
        <v>39593.833400000003</v>
      </c>
      <c r="O36" s="43">
        <v>3.2138961147939904E-2</v>
      </c>
      <c r="P36" s="35">
        <v>123</v>
      </c>
      <c r="Q36" s="35">
        <v>119.17</v>
      </c>
    </row>
    <row r="37" spans="1:17" x14ac:dyDescent="0.15">
      <c r="A37" s="47">
        <v>36</v>
      </c>
      <c r="B37" s="35">
        <v>113050</v>
      </c>
      <c r="C37" s="35" t="s">
        <v>1845</v>
      </c>
      <c r="D37" s="35">
        <v>122.51</v>
      </c>
      <c r="E37" s="35">
        <v>11.17</v>
      </c>
      <c r="F37" s="50">
        <v>133.68</v>
      </c>
      <c r="G37" s="35">
        <v>-0.03</v>
      </c>
      <c r="H37" s="39">
        <v>169.83662000000001</v>
      </c>
      <c r="I37" s="39">
        <v>-1.9271</v>
      </c>
      <c r="J37" s="39">
        <v>5.0519999999999996</v>
      </c>
      <c r="K37" s="41">
        <v>46553</v>
      </c>
      <c r="L37" s="35">
        <v>10.1</v>
      </c>
      <c r="M37" s="35">
        <v>110.2</v>
      </c>
      <c r="N37" s="39">
        <v>7835.1817000000001</v>
      </c>
      <c r="O37" s="43">
        <v>1.2459016393442591E-2</v>
      </c>
      <c r="P37" s="35">
        <v>123.52</v>
      </c>
      <c r="Q37" s="35">
        <v>122</v>
      </c>
    </row>
    <row r="38" spans="1:17" x14ac:dyDescent="0.15">
      <c r="A38" s="47">
        <v>37</v>
      </c>
      <c r="B38" s="35">
        <v>128095</v>
      </c>
      <c r="C38" s="35" t="s">
        <v>1846</v>
      </c>
      <c r="D38" s="35">
        <v>365</v>
      </c>
      <c r="E38" s="35">
        <v>11.34</v>
      </c>
      <c r="F38" s="50">
        <v>376.34</v>
      </c>
      <c r="G38" s="35">
        <v>1.87</v>
      </c>
      <c r="H38" s="39">
        <v>4.5395649999999996</v>
      </c>
      <c r="I38" s="39">
        <v>-27.1538</v>
      </c>
      <c r="J38" s="39">
        <v>3.7120000000000002</v>
      </c>
      <c r="K38" s="41">
        <v>46064</v>
      </c>
      <c r="L38" s="35">
        <v>64.62</v>
      </c>
      <c r="M38" s="35">
        <v>327.81</v>
      </c>
      <c r="N38" s="39">
        <v>44994.100520100001</v>
      </c>
      <c r="O38" s="43">
        <v>4.196425868280601E-2</v>
      </c>
      <c r="P38" s="35">
        <v>378.58</v>
      </c>
      <c r="Q38" s="35">
        <v>363.33300000000003</v>
      </c>
    </row>
    <row r="39" spans="1:17" x14ac:dyDescent="0.15">
      <c r="A39" s="47">
        <v>38</v>
      </c>
      <c r="B39" s="35">
        <v>123012</v>
      </c>
      <c r="C39" s="35" t="s">
        <v>1847</v>
      </c>
      <c r="D39" s="35">
        <v>168.976</v>
      </c>
      <c r="E39" s="35">
        <v>11.59</v>
      </c>
      <c r="F39" s="50">
        <v>180.566</v>
      </c>
      <c r="G39" s="35">
        <v>-1.53</v>
      </c>
      <c r="H39" s="39">
        <v>1.223781</v>
      </c>
      <c r="I39" s="39">
        <v>-18.630600000000001</v>
      </c>
      <c r="J39" s="39">
        <v>2.1480000000000001</v>
      </c>
      <c r="K39" s="41">
        <v>45493</v>
      </c>
      <c r="L39" s="35">
        <v>5.27</v>
      </c>
      <c r="M39" s="35">
        <v>151.41999999999999</v>
      </c>
      <c r="N39" s="39">
        <v>14103.598759999999</v>
      </c>
      <c r="O39" s="43">
        <v>2.7947848170691649E-2</v>
      </c>
      <c r="P39" s="35">
        <v>172.429</v>
      </c>
      <c r="Q39" s="35">
        <v>167.74100000000001</v>
      </c>
    </row>
    <row r="40" spans="1:17" x14ac:dyDescent="0.15">
      <c r="A40" s="47">
        <v>39</v>
      </c>
      <c r="B40" s="35">
        <v>123080</v>
      </c>
      <c r="C40" s="35" t="s">
        <v>54</v>
      </c>
      <c r="D40" s="35">
        <v>130.09399999999999</v>
      </c>
      <c r="E40" s="35">
        <v>11.84</v>
      </c>
      <c r="F40" s="50">
        <v>141.934</v>
      </c>
      <c r="G40" s="35">
        <v>-0.7</v>
      </c>
      <c r="H40" s="39">
        <v>2.4344640000000002</v>
      </c>
      <c r="I40" s="39">
        <v>-0.72060000000000002</v>
      </c>
      <c r="J40" s="39">
        <v>4.5179999999999998</v>
      </c>
      <c r="K40" s="41">
        <v>46358</v>
      </c>
      <c r="L40" s="35">
        <v>11.58</v>
      </c>
      <c r="M40" s="35">
        <v>116.32</v>
      </c>
      <c r="N40" s="39">
        <v>3032.0077406</v>
      </c>
      <c r="O40" s="43">
        <v>1.8919315139310031E-2</v>
      </c>
      <c r="P40" s="35">
        <v>132.05500000000001</v>
      </c>
      <c r="Q40" s="35">
        <v>129.60300000000001</v>
      </c>
    </row>
    <row r="41" spans="1:17" x14ac:dyDescent="0.15">
      <c r="A41" s="47">
        <v>40</v>
      </c>
      <c r="B41" s="35">
        <v>123089</v>
      </c>
      <c r="C41" s="35" t="s">
        <v>798</v>
      </c>
      <c r="D41" s="35">
        <v>134.17599999999999</v>
      </c>
      <c r="E41" s="35">
        <v>11.92</v>
      </c>
      <c r="F41" s="50">
        <v>146.09599999999998</v>
      </c>
      <c r="G41" s="35">
        <v>-1.18</v>
      </c>
      <c r="H41" s="39">
        <v>3.0624280000000002</v>
      </c>
      <c r="I41" s="39">
        <v>-2.3504999999999998</v>
      </c>
      <c r="J41" s="39">
        <v>4.57</v>
      </c>
      <c r="K41" s="41">
        <v>46377</v>
      </c>
      <c r="L41" s="35">
        <v>5.63</v>
      </c>
      <c r="M41" s="35">
        <v>119.89</v>
      </c>
      <c r="N41" s="39">
        <v>4529.2172755000001</v>
      </c>
      <c r="O41" s="43">
        <v>2.104698306701655E-2</v>
      </c>
      <c r="P41" s="35">
        <v>137</v>
      </c>
      <c r="Q41" s="35">
        <v>134.17599999999999</v>
      </c>
    </row>
    <row r="42" spans="1:17" x14ac:dyDescent="0.15">
      <c r="A42" s="47">
        <v>41</v>
      </c>
      <c r="B42" s="35">
        <v>128114</v>
      </c>
      <c r="C42" s="35" t="s">
        <v>1848</v>
      </c>
      <c r="D42" s="35">
        <v>111.2</v>
      </c>
      <c r="E42" s="35">
        <v>12.12</v>
      </c>
      <c r="F42" s="50">
        <v>123.32000000000001</v>
      </c>
      <c r="G42" s="35">
        <v>-0.71</v>
      </c>
      <c r="H42" s="39">
        <v>15.958168000000001</v>
      </c>
      <c r="I42" s="39">
        <v>0.82779999999999998</v>
      </c>
      <c r="J42" s="39">
        <v>4.0579999999999998</v>
      </c>
      <c r="K42" s="41">
        <v>46190</v>
      </c>
      <c r="L42" s="35">
        <v>6.08</v>
      </c>
      <c r="M42" s="35">
        <v>99.18</v>
      </c>
      <c r="N42" s="39">
        <v>7987.8347054000005</v>
      </c>
      <c r="O42" s="43">
        <v>1.2886946334429708E-2</v>
      </c>
      <c r="P42" s="35">
        <v>112.395</v>
      </c>
      <c r="Q42" s="35">
        <v>110.965</v>
      </c>
    </row>
    <row r="43" spans="1:17" x14ac:dyDescent="0.15">
      <c r="A43" s="47">
        <v>42</v>
      </c>
      <c r="B43" s="35">
        <v>123067</v>
      </c>
      <c r="C43" s="35" t="s">
        <v>796</v>
      </c>
      <c r="D43" s="35">
        <v>152.595</v>
      </c>
      <c r="E43" s="35">
        <v>12.28</v>
      </c>
      <c r="F43" s="50">
        <v>164.875</v>
      </c>
      <c r="G43" s="35">
        <v>0.28999999999999998</v>
      </c>
      <c r="H43" s="39">
        <v>2.397818</v>
      </c>
      <c r="I43" s="39">
        <v>-5.3841000000000001</v>
      </c>
      <c r="J43" s="39">
        <v>4.3099999999999996</v>
      </c>
      <c r="K43" s="41">
        <v>46282</v>
      </c>
      <c r="L43" s="35">
        <v>9.36</v>
      </c>
      <c r="M43" s="35">
        <v>135.9</v>
      </c>
      <c r="N43" s="39">
        <v>4967.1112080000003</v>
      </c>
      <c r="O43" s="43">
        <v>2.9763001974983452E-2</v>
      </c>
      <c r="P43" s="35">
        <v>156.42099999999999</v>
      </c>
      <c r="Q43" s="35">
        <v>151.9</v>
      </c>
    </row>
    <row r="44" spans="1:17" x14ac:dyDescent="0.15">
      <c r="A44" s="47">
        <v>43</v>
      </c>
      <c r="B44" s="35">
        <v>128029</v>
      </c>
      <c r="C44" s="35" t="s">
        <v>1849</v>
      </c>
      <c r="D44" s="35">
        <v>160.20099999999999</v>
      </c>
      <c r="E44" s="35">
        <v>12.43</v>
      </c>
      <c r="F44" s="50">
        <v>172.631</v>
      </c>
      <c r="G44" s="35">
        <v>-0.62</v>
      </c>
      <c r="H44" s="39">
        <v>9.0859769999999997</v>
      </c>
      <c r="I44" s="39">
        <v>-51.385599999999997</v>
      </c>
      <c r="J44" s="39">
        <v>0.56999999999999995</v>
      </c>
      <c r="K44" s="41">
        <v>44917</v>
      </c>
      <c r="L44" s="35">
        <v>8.4499999999999993</v>
      </c>
      <c r="M44" s="35">
        <v>142.49</v>
      </c>
      <c r="N44" s="39">
        <v>4802.2051140000003</v>
      </c>
      <c r="O44" s="43">
        <v>3.0706869487924716E-2</v>
      </c>
      <c r="P44" s="35">
        <v>163.5</v>
      </c>
      <c r="Q44" s="35">
        <v>158.62899999999999</v>
      </c>
    </row>
    <row r="45" spans="1:17" x14ac:dyDescent="0.15">
      <c r="A45" s="47">
        <v>44</v>
      </c>
      <c r="B45" s="35">
        <v>128021</v>
      </c>
      <c r="C45" s="35" t="s">
        <v>51</v>
      </c>
      <c r="D45" s="35">
        <v>131.19900000000001</v>
      </c>
      <c r="E45" s="35">
        <v>12.93</v>
      </c>
      <c r="F45" s="50">
        <v>144.12900000000002</v>
      </c>
      <c r="G45" s="35">
        <v>1.45</v>
      </c>
      <c r="H45" s="39">
        <v>2.6520320000000002</v>
      </c>
      <c r="I45" s="39">
        <v>-12.485900000000001</v>
      </c>
      <c r="J45" s="39">
        <v>1.504</v>
      </c>
      <c r="K45" s="41">
        <v>45258</v>
      </c>
      <c r="L45" s="35">
        <v>5.19</v>
      </c>
      <c r="M45" s="35">
        <v>116.18</v>
      </c>
      <c r="N45" s="39">
        <v>17181.289553300001</v>
      </c>
      <c r="O45" s="43">
        <v>3.5296293157249865E-2</v>
      </c>
      <c r="P45" s="35">
        <v>134.36799999999999</v>
      </c>
      <c r="Q45" s="35">
        <v>129.78700000000001</v>
      </c>
    </row>
    <row r="46" spans="1:17" x14ac:dyDescent="0.15">
      <c r="A46" s="47">
        <v>45</v>
      </c>
      <c r="B46" s="35">
        <v>113630</v>
      </c>
      <c r="C46" s="35" t="s">
        <v>188</v>
      </c>
      <c r="D46" s="35">
        <v>134.97999999999999</v>
      </c>
      <c r="E46" s="35">
        <v>13.02</v>
      </c>
      <c r="F46" s="50">
        <v>148</v>
      </c>
      <c r="G46" s="35">
        <v>-1.1100000000000001</v>
      </c>
      <c r="H46" s="39">
        <v>6.9976000000000003</v>
      </c>
      <c r="I46" s="39">
        <v>-2.1095999999999999</v>
      </c>
      <c r="J46" s="39">
        <v>5.4189999999999996</v>
      </c>
      <c r="K46" s="41">
        <v>46687</v>
      </c>
      <c r="L46" s="35">
        <v>19.2</v>
      </c>
      <c r="M46" s="35">
        <v>119.43</v>
      </c>
      <c r="N46" s="39">
        <v>9713.2870999999996</v>
      </c>
      <c r="O46" s="43">
        <v>4.6339825386165275E-2</v>
      </c>
      <c r="P46" s="35">
        <v>140.22</v>
      </c>
      <c r="Q46" s="35">
        <v>134.01</v>
      </c>
    </row>
    <row r="47" spans="1:17" x14ac:dyDescent="0.15">
      <c r="A47" s="47">
        <v>46</v>
      </c>
      <c r="B47" s="35">
        <v>123063</v>
      </c>
      <c r="C47" s="35" t="s">
        <v>91</v>
      </c>
      <c r="D47" s="35">
        <v>132.1</v>
      </c>
      <c r="E47" s="35">
        <v>13.2</v>
      </c>
      <c r="F47" s="50">
        <v>145.29999999999998</v>
      </c>
      <c r="G47" s="35">
        <v>1.46</v>
      </c>
      <c r="H47" s="39">
        <v>6.3457590000000001</v>
      </c>
      <c r="I47" s="39">
        <v>-1.1334</v>
      </c>
      <c r="J47" s="39">
        <v>4.17</v>
      </c>
      <c r="K47" s="41">
        <v>46231</v>
      </c>
      <c r="L47" s="35">
        <v>4.7300000000000004</v>
      </c>
      <c r="M47" s="35">
        <v>116.7</v>
      </c>
      <c r="N47" s="39">
        <v>12382.540187100001</v>
      </c>
      <c r="O47" s="43">
        <v>3.2182526844448528E-2</v>
      </c>
      <c r="P47" s="35">
        <v>134</v>
      </c>
      <c r="Q47" s="35">
        <v>129.822</v>
      </c>
    </row>
    <row r="48" spans="1:17" x14ac:dyDescent="0.15">
      <c r="A48" s="47">
        <v>47</v>
      </c>
      <c r="B48" s="35">
        <v>123078</v>
      </c>
      <c r="C48" s="35" t="s">
        <v>1850</v>
      </c>
      <c r="D48" s="35">
        <v>150.23500000000001</v>
      </c>
      <c r="E48" s="35">
        <v>13.21</v>
      </c>
      <c r="F48" s="50">
        <v>163.44500000000002</v>
      </c>
      <c r="G48" s="35">
        <v>-2.8</v>
      </c>
      <c r="H48" s="39">
        <v>6.1840869999999999</v>
      </c>
      <c r="I48" s="39">
        <v>-5.8804999999999996</v>
      </c>
      <c r="J48" s="39">
        <v>4.5039999999999996</v>
      </c>
      <c r="K48" s="41">
        <v>46353</v>
      </c>
      <c r="L48" s="35">
        <v>15.56</v>
      </c>
      <c r="M48" s="35">
        <v>132.71</v>
      </c>
      <c r="N48" s="39">
        <v>7477.720895200001</v>
      </c>
      <c r="O48" s="43">
        <v>4.6953106799347506E-2</v>
      </c>
      <c r="P48" s="35">
        <v>157.28899999999999</v>
      </c>
      <c r="Q48" s="35">
        <v>150.23500000000001</v>
      </c>
    </row>
    <row r="49" spans="1:17" x14ac:dyDescent="0.15">
      <c r="A49" s="47">
        <v>48</v>
      </c>
      <c r="B49" s="35">
        <v>128017</v>
      </c>
      <c r="C49" s="35" t="s">
        <v>1851</v>
      </c>
      <c r="D49" s="35">
        <v>192.3</v>
      </c>
      <c r="E49" s="35">
        <v>13.91</v>
      </c>
      <c r="F49" s="50">
        <v>206.21</v>
      </c>
      <c r="G49" s="35">
        <v>-0.89</v>
      </c>
      <c r="H49" s="39">
        <v>5.5183169999999997</v>
      </c>
      <c r="I49" s="39">
        <v>-33.578600000000002</v>
      </c>
      <c r="J49" s="39">
        <v>1.43</v>
      </c>
      <c r="K49" s="41">
        <v>45231</v>
      </c>
      <c r="L49" s="35">
        <v>21.33</v>
      </c>
      <c r="M49" s="35">
        <v>168.82</v>
      </c>
      <c r="N49" s="39">
        <v>6627.7842461</v>
      </c>
      <c r="O49" s="43">
        <v>3.11894604374774E-2</v>
      </c>
      <c r="P49" s="35">
        <v>197.48</v>
      </c>
      <c r="Q49" s="35">
        <v>191.50700000000001</v>
      </c>
    </row>
    <row r="50" spans="1:17" x14ac:dyDescent="0.15">
      <c r="A50" s="47">
        <v>49</v>
      </c>
      <c r="B50" s="35">
        <v>128048</v>
      </c>
      <c r="C50" s="35" t="s">
        <v>1852</v>
      </c>
      <c r="D50" s="35">
        <v>122.985</v>
      </c>
      <c r="E50" s="35">
        <v>13.93</v>
      </c>
      <c r="F50" s="50">
        <v>136.91499999999999</v>
      </c>
      <c r="G50" s="35">
        <v>0.68</v>
      </c>
      <c r="H50" s="39">
        <v>24.970395</v>
      </c>
      <c r="I50" s="39">
        <v>-3.6798000000000002</v>
      </c>
      <c r="J50" s="39">
        <v>2.4630000000000001</v>
      </c>
      <c r="K50" s="41">
        <v>45608</v>
      </c>
      <c r="L50" s="35">
        <v>4.53</v>
      </c>
      <c r="M50" s="35">
        <v>107.95</v>
      </c>
      <c r="N50" s="39">
        <v>2067.3222940000001</v>
      </c>
      <c r="O50" s="43">
        <v>1.2528846625967741E-2</v>
      </c>
      <c r="P50" s="35">
        <v>123.729</v>
      </c>
      <c r="Q50" s="35">
        <v>122.19799999999999</v>
      </c>
    </row>
    <row r="51" spans="1:17" x14ac:dyDescent="0.15">
      <c r="A51" s="47">
        <v>50</v>
      </c>
      <c r="B51" s="35">
        <v>110064</v>
      </c>
      <c r="C51" s="35" t="s">
        <v>1853</v>
      </c>
      <c r="D51" s="35">
        <v>124.31</v>
      </c>
      <c r="E51" s="35">
        <v>13.99</v>
      </c>
      <c r="F51" s="50">
        <v>138.30000000000001</v>
      </c>
      <c r="G51" s="35">
        <v>0.85</v>
      </c>
      <c r="H51" s="39">
        <v>12.64597</v>
      </c>
      <c r="I51" s="39">
        <v>-1.1972</v>
      </c>
      <c r="J51" s="39">
        <v>3.5670000000000002</v>
      </c>
      <c r="K51" s="41">
        <v>46011</v>
      </c>
      <c r="L51" s="35">
        <v>4.53</v>
      </c>
      <c r="M51" s="35">
        <v>109.05</v>
      </c>
      <c r="N51" s="39">
        <v>25204.8858</v>
      </c>
      <c r="O51" s="43">
        <v>2.7119194543683042E-2</v>
      </c>
      <c r="P51" s="35">
        <v>126.5</v>
      </c>
      <c r="Q51" s="35">
        <v>123.16</v>
      </c>
    </row>
    <row r="52" spans="1:17" x14ac:dyDescent="0.15">
      <c r="A52" s="47">
        <v>51</v>
      </c>
      <c r="B52" s="35">
        <v>128130</v>
      </c>
      <c r="C52" s="35" t="s">
        <v>106</v>
      </c>
      <c r="D52" s="35">
        <v>119.648</v>
      </c>
      <c r="E52" s="35">
        <v>14.27</v>
      </c>
      <c r="F52" s="50">
        <v>133.91800000000001</v>
      </c>
      <c r="G52" s="35">
        <v>0.99</v>
      </c>
      <c r="H52" s="39">
        <v>9.9868059999999996</v>
      </c>
      <c r="I52" s="39">
        <v>-0.98429999999999995</v>
      </c>
      <c r="J52" s="39">
        <v>4.2629999999999999</v>
      </c>
      <c r="K52" s="41">
        <v>46265</v>
      </c>
      <c r="L52" s="35">
        <v>3.4</v>
      </c>
      <c r="M52" s="35">
        <v>104.71</v>
      </c>
      <c r="N52" s="39">
        <v>4697.001593</v>
      </c>
      <c r="O52" s="43">
        <v>1.7493692178301077E-2</v>
      </c>
      <c r="P52" s="35">
        <v>120.98</v>
      </c>
      <c r="Q52" s="35">
        <v>118.9</v>
      </c>
    </row>
    <row r="53" spans="1:17" x14ac:dyDescent="0.15">
      <c r="A53" s="47">
        <v>52</v>
      </c>
      <c r="B53" s="35">
        <v>128081</v>
      </c>
      <c r="C53" s="35" t="s">
        <v>92</v>
      </c>
      <c r="D53" s="35">
        <v>122.9</v>
      </c>
      <c r="E53" s="35">
        <v>14.62</v>
      </c>
      <c r="F53" s="50">
        <v>137.52000000000001</v>
      </c>
      <c r="G53" s="35">
        <v>0.8</v>
      </c>
      <c r="H53" s="39">
        <v>30.054950999999999</v>
      </c>
      <c r="I53" s="39">
        <v>-2.0966999999999998</v>
      </c>
      <c r="J53" s="39">
        <v>3.488</v>
      </c>
      <c r="K53" s="41">
        <v>45982</v>
      </c>
      <c r="L53" s="35">
        <v>9.69</v>
      </c>
      <c r="M53" s="35">
        <v>107.22</v>
      </c>
      <c r="N53" s="39">
        <v>3070.0039996</v>
      </c>
      <c r="O53" s="43">
        <v>1.6695428160943195E-2</v>
      </c>
      <c r="P53" s="35">
        <v>123.133</v>
      </c>
      <c r="Q53" s="35">
        <v>121.111</v>
      </c>
    </row>
    <row r="54" spans="1:17" x14ac:dyDescent="0.15">
      <c r="A54" s="47">
        <v>53</v>
      </c>
      <c r="B54" s="35">
        <v>113039</v>
      </c>
      <c r="C54" s="35" t="s">
        <v>45</v>
      </c>
      <c r="D54" s="35">
        <v>134.77000000000001</v>
      </c>
      <c r="E54" s="35">
        <v>14.85</v>
      </c>
      <c r="F54" s="50">
        <v>149.62</v>
      </c>
      <c r="G54" s="35">
        <v>0.4</v>
      </c>
      <c r="H54" s="39">
        <v>2.88449</v>
      </c>
      <c r="I54" s="39">
        <v>-4.1836000000000002</v>
      </c>
      <c r="J54" s="39">
        <v>4.2439999999999998</v>
      </c>
      <c r="K54" s="41">
        <v>46258</v>
      </c>
      <c r="L54" s="35">
        <v>3.46</v>
      </c>
      <c r="M54" s="35">
        <v>117.34</v>
      </c>
      <c r="N54" s="39">
        <v>4236.7876999999999</v>
      </c>
      <c r="O54" s="43">
        <v>1.4210919970082317E-2</v>
      </c>
      <c r="P54" s="35">
        <v>135.6</v>
      </c>
      <c r="Q54" s="35">
        <v>133.69999999999999</v>
      </c>
    </row>
    <row r="55" spans="1:17" x14ac:dyDescent="0.15">
      <c r="A55" s="47">
        <v>54</v>
      </c>
      <c r="B55" s="35">
        <v>110080</v>
      </c>
      <c r="C55" s="35" t="s">
        <v>232</v>
      </c>
      <c r="D55" s="35">
        <v>119.57</v>
      </c>
      <c r="E55" s="35">
        <v>15</v>
      </c>
      <c r="F55" s="50">
        <v>134.57</v>
      </c>
      <c r="G55" s="35">
        <v>0.86</v>
      </c>
      <c r="H55" s="39">
        <v>15.491210000000001</v>
      </c>
      <c r="I55" s="39">
        <v>-0.84540000000000004</v>
      </c>
      <c r="J55" s="39">
        <v>4.8769999999999998</v>
      </c>
      <c r="K55" s="41">
        <v>46489</v>
      </c>
      <c r="L55" s="35">
        <v>6.05</v>
      </c>
      <c r="M55" s="35">
        <v>103.97</v>
      </c>
      <c r="N55" s="39">
        <v>8506.1551999999992</v>
      </c>
      <c r="O55" s="43">
        <v>1.6319972940977444E-2</v>
      </c>
      <c r="P55" s="35">
        <v>120.19</v>
      </c>
      <c r="Q55" s="35">
        <v>118.26</v>
      </c>
    </row>
    <row r="56" spans="1:17" x14ac:dyDescent="0.15">
      <c r="A56" s="47">
        <v>55</v>
      </c>
      <c r="B56" s="35">
        <v>123060</v>
      </c>
      <c r="C56" s="35" t="s">
        <v>1854</v>
      </c>
      <c r="D56" s="35">
        <v>169.90100000000001</v>
      </c>
      <c r="E56" s="35">
        <v>15.23</v>
      </c>
      <c r="F56" s="50">
        <v>185.131</v>
      </c>
      <c r="G56" s="35">
        <v>-0.64</v>
      </c>
      <c r="H56" s="39">
        <v>3.0963069999999999</v>
      </c>
      <c r="I56" s="39">
        <v>-8.7179000000000002</v>
      </c>
      <c r="J56" s="39">
        <v>4.1509999999999998</v>
      </c>
      <c r="K56" s="41">
        <v>46224</v>
      </c>
      <c r="L56" s="35">
        <v>19.05</v>
      </c>
      <c r="M56" s="35">
        <v>147.44999999999999</v>
      </c>
      <c r="N56" s="39">
        <v>37488.988643000004</v>
      </c>
      <c r="O56" s="43">
        <v>3.8420984041608035E-2</v>
      </c>
      <c r="P56" s="35">
        <v>175.3</v>
      </c>
      <c r="Q56" s="35">
        <v>168.81399999999999</v>
      </c>
    </row>
    <row r="57" spans="1:17" x14ac:dyDescent="0.15">
      <c r="A57" s="47">
        <v>56</v>
      </c>
      <c r="B57" s="35">
        <v>128040</v>
      </c>
      <c r="C57" s="35" t="s">
        <v>1855</v>
      </c>
      <c r="D57" s="35">
        <v>149.6</v>
      </c>
      <c r="E57" s="35">
        <v>15.42</v>
      </c>
      <c r="F57" s="50">
        <v>165.01999999999998</v>
      </c>
      <c r="G57" s="35">
        <v>1.1100000000000001</v>
      </c>
      <c r="H57" s="39">
        <v>2.0056020000000001</v>
      </c>
      <c r="I57" s="39">
        <v>-13.66</v>
      </c>
      <c r="J57" s="39">
        <v>2.0489999999999999</v>
      </c>
      <c r="K57" s="41">
        <v>45457</v>
      </c>
      <c r="L57" s="35">
        <v>10.029999999999999</v>
      </c>
      <c r="M57" s="35">
        <v>129.61000000000001</v>
      </c>
      <c r="N57" s="39">
        <v>69502.875208900005</v>
      </c>
      <c r="O57" s="43">
        <v>3.8230579028883618E-2</v>
      </c>
      <c r="P57" s="35">
        <v>152.84</v>
      </c>
      <c r="Q57" s="35">
        <v>147.21199999999999</v>
      </c>
    </row>
    <row r="58" spans="1:17" x14ac:dyDescent="0.15">
      <c r="A58" s="47">
        <v>57</v>
      </c>
      <c r="B58" s="35">
        <v>127029</v>
      </c>
      <c r="C58" s="35" t="s">
        <v>1856</v>
      </c>
      <c r="D58" s="35">
        <v>125.1</v>
      </c>
      <c r="E58" s="35">
        <v>15.66</v>
      </c>
      <c r="F58" s="50">
        <v>140.76</v>
      </c>
      <c r="G58" s="35">
        <v>1.38</v>
      </c>
      <c r="H58" s="39">
        <v>8.1914259999999999</v>
      </c>
      <c r="I58" s="39">
        <v>-1.3475999999999999</v>
      </c>
      <c r="J58" s="39">
        <v>4.8109999999999999</v>
      </c>
      <c r="K58" s="41">
        <v>46465</v>
      </c>
      <c r="L58" s="35">
        <v>5.64</v>
      </c>
      <c r="M58" s="35">
        <v>108.16</v>
      </c>
      <c r="N58" s="39">
        <v>6004.8106038000005</v>
      </c>
      <c r="O58" s="43">
        <v>2.8756581611988637E-2</v>
      </c>
      <c r="P58" s="35">
        <v>127</v>
      </c>
      <c r="Q58" s="35">
        <v>123.45</v>
      </c>
    </row>
    <row r="59" spans="1:17" x14ac:dyDescent="0.15">
      <c r="A59" s="47">
        <v>58</v>
      </c>
      <c r="B59" s="35">
        <v>110085</v>
      </c>
      <c r="C59" s="35" t="s">
        <v>1857</v>
      </c>
      <c r="D59" s="35">
        <v>131.82</v>
      </c>
      <c r="E59" s="35">
        <v>15.89</v>
      </c>
      <c r="F59" s="50">
        <v>147.70999999999998</v>
      </c>
      <c r="G59" s="35">
        <v>-0.63</v>
      </c>
      <c r="H59" s="39">
        <v>120</v>
      </c>
      <c r="I59" s="39">
        <v>-2.6034999999999999</v>
      </c>
      <c r="J59" s="39">
        <v>5.7480000000000002</v>
      </c>
      <c r="K59" s="41">
        <v>46807</v>
      </c>
      <c r="L59" s="35">
        <v>39.270000000000003</v>
      </c>
      <c r="M59" s="35">
        <v>113.75</v>
      </c>
      <c r="N59" s="39">
        <v>12681.9717</v>
      </c>
      <c r="O59" s="43">
        <v>2.0330465240234425E-2</v>
      </c>
      <c r="P59" s="35">
        <v>134</v>
      </c>
      <c r="Q59" s="35">
        <v>131.33000000000001</v>
      </c>
    </row>
    <row r="60" spans="1:17" x14ac:dyDescent="0.15">
      <c r="A60" s="47">
        <v>59</v>
      </c>
      <c r="B60" s="35">
        <v>113055</v>
      </c>
      <c r="C60" s="35" t="s">
        <v>1858</v>
      </c>
      <c r="D60" s="35">
        <v>126.01</v>
      </c>
      <c r="E60" s="35">
        <v>16.03</v>
      </c>
      <c r="F60" s="50">
        <v>142.04000000000002</v>
      </c>
      <c r="G60" s="35">
        <v>0.37</v>
      </c>
      <c r="H60" s="39">
        <v>80</v>
      </c>
      <c r="I60" s="39">
        <v>-2.1713</v>
      </c>
      <c r="J60" s="39">
        <v>5.77</v>
      </c>
      <c r="K60" s="41">
        <v>46815</v>
      </c>
      <c r="L60" s="35">
        <v>14.53</v>
      </c>
      <c r="M60" s="35">
        <v>108.6</v>
      </c>
      <c r="N60" s="39">
        <v>8848.0048000000006</v>
      </c>
      <c r="O60" s="43">
        <v>1.360435339308581E-2</v>
      </c>
      <c r="P60" s="35">
        <v>126.66</v>
      </c>
      <c r="Q60" s="35">
        <v>124.96</v>
      </c>
    </row>
    <row r="61" spans="1:17" x14ac:dyDescent="0.15">
      <c r="A61" s="47">
        <v>60</v>
      </c>
      <c r="B61" s="35">
        <v>123023</v>
      </c>
      <c r="C61" s="35" t="s">
        <v>209</v>
      </c>
      <c r="D61" s="35">
        <v>117.59</v>
      </c>
      <c r="E61" s="35">
        <v>16.07</v>
      </c>
      <c r="F61" s="50">
        <v>133.66</v>
      </c>
      <c r="G61" s="35">
        <v>-0.69</v>
      </c>
      <c r="H61" s="39">
        <v>5.2936360000000002</v>
      </c>
      <c r="I61" s="39">
        <v>-1.3306</v>
      </c>
      <c r="J61" s="39">
        <v>2.8140000000000001</v>
      </c>
      <c r="K61" s="41">
        <v>45736</v>
      </c>
      <c r="L61" s="35">
        <v>4.58</v>
      </c>
      <c r="M61" s="35">
        <v>101.31</v>
      </c>
      <c r="N61" s="39">
        <v>2205.7550289999999</v>
      </c>
      <c r="O61" s="43">
        <v>1.1688976042288303E-2</v>
      </c>
      <c r="P61" s="35">
        <v>118.661</v>
      </c>
      <c r="Q61" s="35">
        <v>117.29</v>
      </c>
    </row>
    <row r="62" spans="1:17" x14ac:dyDescent="0.15">
      <c r="A62" s="47">
        <v>61</v>
      </c>
      <c r="B62" s="35">
        <v>110079</v>
      </c>
      <c r="C62" s="35" t="s">
        <v>1859</v>
      </c>
      <c r="D62" s="35">
        <v>121.51</v>
      </c>
      <c r="E62" s="35">
        <v>16.14</v>
      </c>
      <c r="F62" s="50">
        <v>137.65</v>
      </c>
      <c r="G62" s="35">
        <v>0.01</v>
      </c>
      <c r="H62" s="39">
        <v>149.99064999999999</v>
      </c>
      <c r="I62" s="39">
        <v>-1.6575</v>
      </c>
      <c r="J62" s="39">
        <v>4.8380000000000001</v>
      </c>
      <c r="K62" s="41">
        <v>46475</v>
      </c>
      <c r="L62" s="35">
        <v>12.99</v>
      </c>
      <c r="M62" s="35">
        <v>104.62</v>
      </c>
      <c r="N62" s="39">
        <v>5412.8701000000001</v>
      </c>
      <c r="O62" s="43">
        <v>1.7171298216507733E-2</v>
      </c>
      <c r="P62" s="35">
        <v>122.62</v>
      </c>
      <c r="Q62" s="35">
        <v>120.55</v>
      </c>
    </row>
    <row r="63" spans="1:17" x14ac:dyDescent="0.15">
      <c r="A63" s="47">
        <v>62</v>
      </c>
      <c r="B63" s="35">
        <v>123057</v>
      </c>
      <c r="C63" s="35" t="s">
        <v>1860</v>
      </c>
      <c r="D63" s="35">
        <v>146</v>
      </c>
      <c r="E63" s="35">
        <v>16.170000000000002</v>
      </c>
      <c r="F63" s="50">
        <v>162.17000000000002</v>
      </c>
      <c r="G63" s="35">
        <v>0</v>
      </c>
      <c r="H63" s="39">
        <v>2.0650419999999996</v>
      </c>
      <c r="I63" s="39">
        <v>-5.2169999999999996</v>
      </c>
      <c r="J63" s="39">
        <v>4.0960000000000001</v>
      </c>
      <c r="K63" s="41">
        <v>46204</v>
      </c>
      <c r="L63" s="35">
        <v>9.5</v>
      </c>
      <c r="M63" s="35">
        <v>125.68</v>
      </c>
      <c r="N63" s="39">
        <v>8350.4075073999993</v>
      </c>
      <c r="O63" s="43">
        <v>2.8261418117587561E-2</v>
      </c>
      <c r="P63" s="35">
        <v>146.69999999999999</v>
      </c>
      <c r="Q63" s="35">
        <v>142.66800000000001</v>
      </c>
    </row>
    <row r="64" spans="1:17" x14ac:dyDescent="0.15">
      <c r="A64" s="47">
        <v>63</v>
      </c>
      <c r="B64" s="35">
        <v>113044</v>
      </c>
      <c r="C64" s="35" t="s">
        <v>1861</v>
      </c>
      <c r="D64" s="35">
        <v>109.83</v>
      </c>
      <c r="E64" s="35">
        <v>16.649999999999999</v>
      </c>
      <c r="F64" s="50">
        <v>126.47999999999999</v>
      </c>
      <c r="G64" s="35">
        <v>0.21</v>
      </c>
      <c r="H64" s="39">
        <v>319.99041</v>
      </c>
      <c r="I64" s="39">
        <v>0.82030000000000003</v>
      </c>
      <c r="J64" s="39">
        <v>4.5510000000000002</v>
      </c>
      <c r="K64" s="41">
        <v>46370</v>
      </c>
      <c r="L64" s="35">
        <v>7.18</v>
      </c>
      <c r="M64" s="35">
        <v>94.15</v>
      </c>
      <c r="N64" s="39">
        <v>14696.9298</v>
      </c>
      <c r="O64" s="43">
        <v>2.4632788979107381E-3</v>
      </c>
      <c r="P64" s="35">
        <v>109.88</v>
      </c>
      <c r="Q64" s="35">
        <v>109.61</v>
      </c>
    </row>
    <row r="65" spans="1:17" x14ac:dyDescent="0.15">
      <c r="A65" s="47">
        <v>64</v>
      </c>
      <c r="B65" s="35">
        <v>123098</v>
      </c>
      <c r="C65" s="35" t="s">
        <v>1862</v>
      </c>
      <c r="D65" s="35">
        <v>130.30000000000001</v>
      </c>
      <c r="E65" s="35">
        <v>16.72</v>
      </c>
      <c r="F65" s="50">
        <v>147.02000000000001</v>
      </c>
      <c r="G65" s="35">
        <v>0.45</v>
      </c>
      <c r="H65" s="39">
        <v>4.2361180000000003</v>
      </c>
      <c r="I65" s="39">
        <v>-1.1435999999999999</v>
      </c>
      <c r="J65" s="39">
        <v>4.6740000000000004</v>
      </c>
      <c r="K65" s="41">
        <v>46415</v>
      </c>
      <c r="L65" s="35">
        <v>25.28</v>
      </c>
      <c r="M65" s="35">
        <v>111.63</v>
      </c>
      <c r="N65" s="39">
        <v>5358.9988739999999</v>
      </c>
      <c r="O65" s="43">
        <v>1.4037780309900915E-2</v>
      </c>
      <c r="P65" s="35">
        <v>130.82</v>
      </c>
      <c r="Q65" s="35">
        <v>129.00899999999999</v>
      </c>
    </row>
    <row r="66" spans="1:17" x14ac:dyDescent="0.15">
      <c r="A66" s="47">
        <v>65</v>
      </c>
      <c r="B66" s="35">
        <v>110048</v>
      </c>
      <c r="C66" s="35" t="s">
        <v>1863</v>
      </c>
      <c r="D66" s="35">
        <v>186.17</v>
      </c>
      <c r="E66" s="35">
        <v>16.82</v>
      </c>
      <c r="F66" s="50">
        <v>202.98999999999998</v>
      </c>
      <c r="G66" s="35">
        <v>-0.19</v>
      </c>
      <c r="H66" s="39">
        <v>12.761939999999999</v>
      </c>
      <c r="I66" s="39">
        <v>-18.322500000000002</v>
      </c>
      <c r="J66" s="39">
        <v>2.532</v>
      </c>
      <c r="K66" s="41">
        <v>45633</v>
      </c>
      <c r="L66" s="35">
        <v>7.85</v>
      </c>
      <c r="M66" s="35">
        <v>159.36000000000001</v>
      </c>
      <c r="N66" s="39">
        <v>9611.1869999999999</v>
      </c>
      <c r="O66" s="43">
        <v>2.3492305182446147E-2</v>
      </c>
      <c r="P66" s="35">
        <v>188.21</v>
      </c>
      <c r="Q66" s="35">
        <v>183.89</v>
      </c>
    </row>
    <row r="67" spans="1:17" x14ac:dyDescent="0.15">
      <c r="A67" s="47">
        <v>66</v>
      </c>
      <c r="B67" s="35">
        <v>128087</v>
      </c>
      <c r="C67" s="35" t="s">
        <v>121</v>
      </c>
      <c r="D67" s="35">
        <v>115.723</v>
      </c>
      <c r="E67" s="35">
        <v>17.13</v>
      </c>
      <c r="F67" s="50">
        <v>132.85300000000001</v>
      </c>
      <c r="G67" s="35">
        <v>-0.03</v>
      </c>
      <c r="H67" s="39">
        <v>6.4940579999999999</v>
      </c>
      <c r="I67" s="39">
        <v>-0.85599999999999998</v>
      </c>
      <c r="J67" s="39">
        <v>3.5590000000000002</v>
      </c>
      <c r="K67" s="41">
        <v>46008</v>
      </c>
      <c r="L67" s="35">
        <v>4.16</v>
      </c>
      <c r="M67" s="35">
        <v>98.8</v>
      </c>
      <c r="N67" s="39">
        <v>2681.6698271999999</v>
      </c>
      <c r="O67" s="43">
        <v>1.1863994298329435E-2</v>
      </c>
      <c r="P67" s="35">
        <v>116.419</v>
      </c>
      <c r="Q67" s="35">
        <v>115.054</v>
      </c>
    </row>
    <row r="68" spans="1:17" x14ac:dyDescent="0.15">
      <c r="A68" s="47">
        <v>67</v>
      </c>
      <c r="B68" s="35">
        <v>113504</v>
      </c>
      <c r="C68" s="35" t="s">
        <v>128</v>
      </c>
      <c r="D68" s="35">
        <v>149.38</v>
      </c>
      <c r="E68" s="35">
        <v>17.309999999999999</v>
      </c>
      <c r="F68" s="50">
        <v>166.69</v>
      </c>
      <c r="G68" s="35">
        <v>2.57</v>
      </c>
      <c r="H68" s="39">
        <v>4.6277299999999997</v>
      </c>
      <c r="I68" s="39">
        <v>-16.990400000000001</v>
      </c>
      <c r="J68" s="39">
        <v>1.764</v>
      </c>
      <c r="K68" s="41">
        <v>45353</v>
      </c>
      <c r="L68" s="35">
        <v>20.81</v>
      </c>
      <c r="M68" s="35">
        <v>127.34</v>
      </c>
      <c r="N68" s="39">
        <v>20413.776699999999</v>
      </c>
      <c r="O68" s="43">
        <v>7.2624171619867423E-2</v>
      </c>
      <c r="P68" s="35">
        <v>157</v>
      </c>
      <c r="Q68" s="35">
        <v>146.37</v>
      </c>
    </row>
    <row r="69" spans="1:17" x14ac:dyDescent="0.15">
      <c r="A69" s="47">
        <v>68</v>
      </c>
      <c r="B69" s="35">
        <v>113570</v>
      </c>
      <c r="C69" s="35" t="s">
        <v>42</v>
      </c>
      <c r="D69" s="35">
        <v>122.14</v>
      </c>
      <c r="E69" s="35">
        <v>17.48</v>
      </c>
      <c r="F69" s="50">
        <v>139.62</v>
      </c>
      <c r="G69" s="35">
        <v>0.15</v>
      </c>
      <c r="H69" s="39">
        <v>2.7993199999999998</v>
      </c>
      <c r="I69" s="39">
        <v>-1.7653000000000001</v>
      </c>
      <c r="J69" s="39">
        <v>3.7890000000000001</v>
      </c>
      <c r="K69" s="41">
        <v>46092</v>
      </c>
      <c r="L69" s="35">
        <v>11.34</v>
      </c>
      <c r="M69" s="35">
        <v>103.97</v>
      </c>
      <c r="N69" s="39">
        <v>596.88509999999997</v>
      </c>
      <c r="O69" s="43">
        <v>6.3311955270514385E-3</v>
      </c>
      <c r="P69" s="35">
        <v>122.39</v>
      </c>
      <c r="Q69" s="35">
        <v>121.62</v>
      </c>
    </row>
    <row r="70" spans="1:17" x14ac:dyDescent="0.15">
      <c r="A70" s="47">
        <v>69</v>
      </c>
      <c r="B70" s="35">
        <v>128119</v>
      </c>
      <c r="C70" s="35" t="s">
        <v>246</v>
      </c>
      <c r="D70" s="35">
        <v>125</v>
      </c>
      <c r="E70" s="35">
        <v>17.649999999999999</v>
      </c>
      <c r="F70" s="50">
        <v>142.65</v>
      </c>
      <c r="G70" s="35">
        <v>0.81</v>
      </c>
      <c r="H70" s="39">
        <v>9.4608120000000007</v>
      </c>
      <c r="I70" s="39">
        <v>-1.0239</v>
      </c>
      <c r="J70" s="39">
        <v>4.1289999999999996</v>
      </c>
      <c r="K70" s="41">
        <v>46216</v>
      </c>
      <c r="L70" s="35">
        <v>9.2799999999999994</v>
      </c>
      <c r="M70" s="35">
        <v>106.25</v>
      </c>
      <c r="N70" s="39">
        <v>3067.0415512</v>
      </c>
      <c r="O70" s="43">
        <v>2.0356648481394023E-2</v>
      </c>
      <c r="P70" s="35">
        <v>125.31</v>
      </c>
      <c r="Q70" s="35">
        <v>122.81</v>
      </c>
    </row>
    <row r="71" spans="1:17" x14ac:dyDescent="0.15">
      <c r="A71" s="47">
        <v>70</v>
      </c>
      <c r="B71" s="35">
        <v>127058</v>
      </c>
      <c r="C71" s="35" t="s">
        <v>1864</v>
      </c>
      <c r="D71" s="35">
        <v>124</v>
      </c>
      <c r="E71" s="35">
        <v>17.73</v>
      </c>
      <c r="F71" s="50">
        <v>141.72999999999999</v>
      </c>
      <c r="G71" s="35">
        <v>0</v>
      </c>
      <c r="H71" s="39">
        <v>30</v>
      </c>
      <c r="I71" s="39">
        <v>-1.6832</v>
      </c>
      <c r="J71" s="39">
        <v>5.8109999999999999</v>
      </c>
      <c r="K71" s="41">
        <v>46830</v>
      </c>
      <c r="L71" s="35">
        <v>16.690000000000001</v>
      </c>
      <c r="M71" s="35">
        <v>105.33</v>
      </c>
      <c r="N71" s="39">
        <v>5343.1874029999999</v>
      </c>
      <c r="O71" s="43">
        <v>2.1485233991953262E-2</v>
      </c>
      <c r="P71" s="35">
        <v>125.42</v>
      </c>
      <c r="Q71" s="35">
        <v>122.782</v>
      </c>
    </row>
    <row r="72" spans="1:17" x14ac:dyDescent="0.15">
      <c r="A72" s="47">
        <v>71</v>
      </c>
      <c r="B72" s="35">
        <v>127038</v>
      </c>
      <c r="C72" s="35" t="s">
        <v>1865</v>
      </c>
      <c r="D72" s="35">
        <v>156.9</v>
      </c>
      <c r="E72" s="35">
        <v>18.13</v>
      </c>
      <c r="F72" s="50">
        <v>175.03</v>
      </c>
      <c r="G72" s="35">
        <v>0.16</v>
      </c>
      <c r="H72" s="39">
        <v>14.939162</v>
      </c>
      <c r="I72" s="39">
        <v>-6.1456999999999997</v>
      </c>
      <c r="J72" s="39">
        <v>5.0380000000000003</v>
      </c>
      <c r="K72" s="41">
        <v>46548</v>
      </c>
      <c r="L72" s="35">
        <v>137.78</v>
      </c>
      <c r="M72" s="35">
        <v>132.82</v>
      </c>
      <c r="N72" s="39">
        <v>12012.2672098</v>
      </c>
      <c r="O72" s="43">
        <v>3.1293907267850155E-2</v>
      </c>
      <c r="P72" s="35">
        <v>161.47999999999999</v>
      </c>
      <c r="Q72" s="35">
        <v>156.58000000000001</v>
      </c>
    </row>
    <row r="73" spans="1:17" x14ac:dyDescent="0.15">
      <c r="A73" s="47">
        <v>72</v>
      </c>
      <c r="B73" s="35">
        <v>110043</v>
      </c>
      <c r="C73" s="35" t="s">
        <v>1819</v>
      </c>
      <c r="D73" s="35">
        <v>116.88</v>
      </c>
      <c r="E73" s="35">
        <v>18.14</v>
      </c>
      <c r="F73" s="50">
        <v>135.01999999999998</v>
      </c>
      <c r="G73" s="35">
        <v>0</v>
      </c>
      <c r="H73" s="39">
        <v>29.2134</v>
      </c>
      <c r="I73" s="39">
        <v>-4.9988999999999999</v>
      </c>
      <c r="J73" s="39">
        <v>1.677</v>
      </c>
      <c r="K73" s="41">
        <v>45321</v>
      </c>
      <c r="L73" s="35">
        <v>5.61</v>
      </c>
      <c r="M73" s="35">
        <v>98.93</v>
      </c>
      <c r="N73" s="39">
        <v>1374.3128999999999</v>
      </c>
      <c r="O73" s="43">
        <v>6.6775104871158383E-3</v>
      </c>
      <c r="P73" s="35">
        <v>117.59</v>
      </c>
      <c r="Q73" s="35">
        <v>116.81</v>
      </c>
    </row>
    <row r="74" spans="1:17" x14ac:dyDescent="0.15">
      <c r="A74" s="47">
        <v>73</v>
      </c>
      <c r="B74" s="35">
        <v>123114</v>
      </c>
      <c r="C74" s="35" t="s">
        <v>1866</v>
      </c>
      <c r="D74" s="35">
        <v>147.6</v>
      </c>
      <c r="E74" s="35">
        <v>18.39</v>
      </c>
      <c r="F74" s="50">
        <v>165.99</v>
      </c>
      <c r="G74" s="35">
        <v>-1.54</v>
      </c>
      <c r="H74" s="39">
        <v>9.0091009999999994</v>
      </c>
      <c r="I74" s="39">
        <v>-4.0301999999999998</v>
      </c>
      <c r="J74" s="39">
        <v>4.9950000000000001</v>
      </c>
      <c r="K74" s="41">
        <v>46532</v>
      </c>
      <c r="L74" s="35">
        <v>31.82</v>
      </c>
      <c r="M74" s="35">
        <v>124.67</v>
      </c>
      <c r="N74" s="39">
        <v>34918.740383999997</v>
      </c>
      <c r="O74" s="43">
        <v>3.9402173913043556E-2</v>
      </c>
      <c r="P74" s="35">
        <v>153</v>
      </c>
      <c r="Q74" s="35">
        <v>147.19999999999999</v>
      </c>
    </row>
    <row r="75" spans="1:17" x14ac:dyDescent="0.15">
      <c r="A75" s="47">
        <v>74</v>
      </c>
      <c r="B75" s="35">
        <v>113582</v>
      </c>
      <c r="C75" s="35" t="s">
        <v>1867</v>
      </c>
      <c r="D75" s="35">
        <v>191.24</v>
      </c>
      <c r="E75" s="35">
        <v>18.52</v>
      </c>
      <c r="F75" s="50">
        <v>209.76000000000002</v>
      </c>
      <c r="G75" s="35">
        <v>-1.91</v>
      </c>
      <c r="H75" s="39">
        <v>4.1769800000000004</v>
      </c>
      <c r="I75" s="39">
        <v>-12.2378</v>
      </c>
      <c r="J75" s="39">
        <v>4</v>
      </c>
      <c r="K75" s="41">
        <v>46169</v>
      </c>
      <c r="L75" s="35">
        <v>24.51</v>
      </c>
      <c r="M75" s="35">
        <v>161.36000000000001</v>
      </c>
      <c r="N75" s="39">
        <v>30439.498</v>
      </c>
      <c r="O75" s="43">
        <v>4.3118974467634213E-2</v>
      </c>
      <c r="P75" s="35">
        <v>196.92</v>
      </c>
      <c r="Q75" s="35">
        <v>188.78</v>
      </c>
    </row>
    <row r="76" spans="1:17" x14ac:dyDescent="0.15">
      <c r="A76" s="47">
        <v>75</v>
      </c>
      <c r="B76" s="35">
        <v>123103</v>
      </c>
      <c r="C76" s="35" t="s">
        <v>818</v>
      </c>
      <c r="D76" s="35">
        <v>138.33500000000001</v>
      </c>
      <c r="E76" s="35">
        <v>18.55</v>
      </c>
      <c r="F76" s="50">
        <v>156.88500000000002</v>
      </c>
      <c r="G76" s="35">
        <v>-0.48</v>
      </c>
      <c r="H76" s="39">
        <v>2.4949629999999998</v>
      </c>
      <c r="I76" s="39">
        <v>-2.8273000000000001</v>
      </c>
      <c r="J76" s="39">
        <v>4.7919999999999998</v>
      </c>
      <c r="K76" s="41">
        <v>46458</v>
      </c>
      <c r="L76" s="35">
        <v>47.33</v>
      </c>
      <c r="M76" s="35">
        <v>116.69</v>
      </c>
      <c r="N76" s="39">
        <v>7044.4432560000005</v>
      </c>
      <c r="O76" s="43">
        <v>1.6856049626065437E-2</v>
      </c>
      <c r="P76" s="35">
        <v>140.31800000000001</v>
      </c>
      <c r="Q76" s="35">
        <v>137.99199999999999</v>
      </c>
    </row>
    <row r="77" spans="1:17" x14ac:dyDescent="0.15">
      <c r="A77" s="47">
        <v>76</v>
      </c>
      <c r="B77" s="35">
        <v>128034</v>
      </c>
      <c r="C77" s="35" t="s">
        <v>1868</v>
      </c>
      <c r="D77" s="35">
        <v>116.657</v>
      </c>
      <c r="E77" s="35">
        <v>18.66</v>
      </c>
      <c r="F77" s="50">
        <v>135.31700000000001</v>
      </c>
      <c r="G77" s="35">
        <v>-0.81</v>
      </c>
      <c r="H77" s="39">
        <v>17.580943999999999</v>
      </c>
      <c r="I77" s="39">
        <v>-4.9215999999999998</v>
      </c>
      <c r="J77" s="39">
        <v>1.6659999999999999</v>
      </c>
      <c r="K77" s="41">
        <v>45317</v>
      </c>
      <c r="L77" s="35">
        <v>4.1399999999999997</v>
      </c>
      <c r="M77" s="35">
        <v>98.31</v>
      </c>
      <c r="N77" s="39">
        <v>2492.0414910999998</v>
      </c>
      <c r="O77" s="43">
        <v>1.6502842203933481E-2</v>
      </c>
      <c r="P77" s="35">
        <v>118.202</v>
      </c>
      <c r="Q77" s="35">
        <v>116.283</v>
      </c>
    </row>
    <row r="78" spans="1:17" x14ac:dyDescent="0.15">
      <c r="A78" s="47">
        <v>77</v>
      </c>
      <c r="B78" s="35">
        <v>113620</v>
      </c>
      <c r="C78" s="35" t="s">
        <v>1869</v>
      </c>
      <c r="D78" s="35">
        <v>132.65</v>
      </c>
      <c r="E78" s="35">
        <v>18.920000000000002</v>
      </c>
      <c r="F78" s="50">
        <v>151.57</v>
      </c>
      <c r="G78" s="35">
        <v>-0.84</v>
      </c>
      <c r="H78" s="39">
        <v>8.4637399999999996</v>
      </c>
      <c r="I78" s="39">
        <v>-1.9672000000000001</v>
      </c>
      <c r="J78" s="39">
        <v>4.7859999999999996</v>
      </c>
      <c r="K78" s="41">
        <v>46456</v>
      </c>
      <c r="L78" s="35">
        <v>14.11</v>
      </c>
      <c r="M78" s="35">
        <v>111.55</v>
      </c>
      <c r="N78" s="39">
        <v>13472.416499999999</v>
      </c>
      <c r="O78" s="43">
        <v>2.2614787177339515E-2</v>
      </c>
      <c r="P78" s="35">
        <v>134.30000000000001</v>
      </c>
      <c r="Q78" s="35">
        <v>131.33000000000001</v>
      </c>
    </row>
    <row r="79" spans="1:17" x14ac:dyDescent="0.15">
      <c r="A79" s="47">
        <v>78</v>
      </c>
      <c r="B79" s="35">
        <v>128082</v>
      </c>
      <c r="C79" s="35" t="s">
        <v>1870</v>
      </c>
      <c r="D79" s="35">
        <v>140.30000000000001</v>
      </c>
      <c r="E79" s="35">
        <v>18.940000000000001</v>
      </c>
      <c r="F79" s="50">
        <v>159.24</v>
      </c>
      <c r="G79" s="35">
        <v>0.21</v>
      </c>
      <c r="H79" s="39">
        <v>2.0338740000000004</v>
      </c>
      <c r="I79" s="39">
        <v>-4.2976999999999999</v>
      </c>
      <c r="J79" s="39">
        <v>3.5230000000000001</v>
      </c>
      <c r="K79" s="41">
        <v>45995</v>
      </c>
      <c r="L79" s="35">
        <v>9.1300000000000008</v>
      </c>
      <c r="M79" s="35">
        <v>117.96</v>
      </c>
      <c r="N79" s="39">
        <v>27768.032001999996</v>
      </c>
      <c r="O79" s="43">
        <v>5.4276067126946437E-2</v>
      </c>
      <c r="P79" s="35">
        <v>146.44</v>
      </c>
      <c r="Q79" s="35">
        <v>138.90100000000001</v>
      </c>
    </row>
    <row r="80" spans="1:17" x14ac:dyDescent="0.15">
      <c r="A80" s="47">
        <v>79</v>
      </c>
      <c r="B80" s="35">
        <v>110074</v>
      </c>
      <c r="C80" s="35" t="s">
        <v>1871</v>
      </c>
      <c r="D80" s="35">
        <v>147.96</v>
      </c>
      <c r="E80" s="35">
        <v>19.2</v>
      </c>
      <c r="F80" s="50">
        <v>167.16</v>
      </c>
      <c r="G80" s="35">
        <v>-0.17</v>
      </c>
      <c r="H80" s="39">
        <v>5.09626</v>
      </c>
      <c r="I80" s="39">
        <v>-5.5175999999999998</v>
      </c>
      <c r="J80" s="39">
        <v>4.2300000000000004</v>
      </c>
      <c r="K80" s="41">
        <v>46253</v>
      </c>
      <c r="L80" s="35">
        <v>3.73</v>
      </c>
      <c r="M80" s="35">
        <v>124.13</v>
      </c>
      <c r="N80" s="39">
        <v>32425.6348</v>
      </c>
      <c r="O80" s="43">
        <v>9.9239778097390652E-2</v>
      </c>
      <c r="P80" s="35">
        <v>160.5</v>
      </c>
      <c r="Q80" s="35">
        <v>146.01</v>
      </c>
    </row>
    <row r="81" spans="1:17" x14ac:dyDescent="0.15">
      <c r="A81" s="47">
        <v>80</v>
      </c>
      <c r="B81" s="35">
        <v>113525</v>
      </c>
      <c r="C81" s="35" t="s">
        <v>1872</v>
      </c>
      <c r="D81" s="35">
        <v>165.33</v>
      </c>
      <c r="E81" s="35">
        <v>19.21</v>
      </c>
      <c r="F81" s="50">
        <v>184.54000000000002</v>
      </c>
      <c r="G81" s="35">
        <v>0.11</v>
      </c>
      <c r="H81" s="39">
        <v>1.85362</v>
      </c>
      <c r="I81" s="39">
        <v>-13.9063</v>
      </c>
      <c r="J81" s="39">
        <v>2.5590000000000002</v>
      </c>
      <c r="K81" s="41">
        <v>45643</v>
      </c>
      <c r="L81" s="35">
        <v>7.78</v>
      </c>
      <c r="M81" s="35">
        <v>138.69</v>
      </c>
      <c r="N81" s="39">
        <v>67098.902000000002</v>
      </c>
      <c r="O81" s="43">
        <v>5.4955839057899955E-2</v>
      </c>
      <c r="P81" s="35">
        <v>172</v>
      </c>
      <c r="Q81" s="35">
        <v>163.04</v>
      </c>
    </row>
    <row r="82" spans="1:17" x14ac:dyDescent="0.15">
      <c r="A82" s="47">
        <v>81</v>
      </c>
      <c r="B82" s="35">
        <v>128022</v>
      </c>
      <c r="C82" s="35" t="s">
        <v>159</v>
      </c>
      <c r="D82" s="35">
        <v>125.108</v>
      </c>
      <c r="E82" s="35">
        <v>19.670000000000002</v>
      </c>
      <c r="F82" s="50">
        <v>144.77800000000002</v>
      </c>
      <c r="G82" s="35">
        <v>1.55</v>
      </c>
      <c r="H82" s="39">
        <v>4.5522499999999999</v>
      </c>
      <c r="I82" s="39">
        <v>-9.6071000000000009</v>
      </c>
      <c r="J82" s="39">
        <v>1.512</v>
      </c>
      <c r="K82" s="41">
        <v>45261</v>
      </c>
      <c r="L82" s="35">
        <v>5.95</v>
      </c>
      <c r="M82" s="35">
        <v>104.54</v>
      </c>
      <c r="N82" s="39">
        <v>12683.825456500001</v>
      </c>
      <c r="O82" s="43">
        <v>1.6233766233766232E-2</v>
      </c>
      <c r="P82" s="35">
        <v>125.2</v>
      </c>
      <c r="Q82" s="35">
        <v>123.2</v>
      </c>
    </row>
    <row r="83" spans="1:17" x14ac:dyDescent="0.15">
      <c r="A83" s="47">
        <v>82</v>
      </c>
      <c r="B83" s="35">
        <v>113011</v>
      </c>
      <c r="C83" s="35" t="s">
        <v>1873</v>
      </c>
      <c r="D83" s="35">
        <v>105.57</v>
      </c>
      <c r="E83" s="35">
        <v>19.73</v>
      </c>
      <c r="F83" s="50">
        <v>125.3</v>
      </c>
      <c r="G83" s="35">
        <v>7.0000000000000007E-2</v>
      </c>
      <c r="H83" s="39">
        <v>241.98865000000001</v>
      </c>
      <c r="I83" s="39">
        <v>-0.66990000000000005</v>
      </c>
      <c r="J83" s="39">
        <v>0.80300000000000005</v>
      </c>
      <c r="K83" s="41">
        <v>45002</v>
      </c>
      <c r="L83" s="35">
        <v>3.55</v>
      </c>
      <c r="M83" s="35">
        <v>88.17</v>
      </c>
      <c r="N83" s="39">
        <v>15592.732</v>
      </c>
      <c r="O83" s="43">
        <v>1.6115271589724307E-3</v>
      </c>
      <c r="P83" s="35">
        <v>105.66</v>
      </c>
      <c r="Q83" s="35">
        <v>105.49</v>
      </c>
    </row>
    <row r="84" spans="1:17" x14ac:dyDescent="0.15">
      <c r="A84" s="47">
        <v>83</v>
      </c>
      <c r="B84" s="35">
        <v>113051</v>
      </c>
      <c r="C84" s="35" t="s">
        <v>1874</v>
      </c>
      <c r="D84" s="35">
        <v>131.87</v>
      </c>
      <c r="E84" s="35">
        <v>19.88</v>
      </c>
      <c r="F84" s="50">
        <v>151.75</v>
      </c>
      <c r="G84" s="35">
        <v>-0.05</v>
      </c>
      <c r="H84" s="39">
        <v>29.9909</v>
      </c>
      <c r="I84" s="39">
        <v>-2.7888000000000002</v>
      </c>
      <c r="J84" s="39">
        <v>5.0679999999999996</v>
      </c>
      <c r="K84" s="41">
        <v>46559</v>
      </c>
      <c r="L84" s="35">
        <v>4</v>
      </c>
      <c r="M84" s="35">
        <v>110</v>
      </c>
      <c r="N84" s="39">
        <v>3237.5654</v>
      </c>
      <c r="O84" s="43">
        <v>1.4057605623042277E-2</v>
      </c>
      <c r="P84" s="35">
        <v>132.72999999999999</v>
      </c>
      <c r="Q84" s="35">
        <v>130.88999999999999</v>
      </c>
    </row>
    <row r="85" spans="1:17" x14ac:dyDescent="0.15">
      <c r="A85" s="47">
        <v>84</v>
      </c>
      <c r="B85" s="35">
        <v>128091</v>
      </c>
      <c r="C85" s="35" t="s">
        <v>1875</v>
      </c>
      <c r="D85" s="35">
        <v>160.36000000000001</v>
      </c>
      <c r="E85" s="35">
        <v>19.91</v>
      </c>
      <c r="F85" s="50">
        <v>180.27</v>
      </c>
      <c r="G85" s="35">
        <v>0.7</v>
      </c>
      <c r="H85" s="39">
        <v>1.5412429999999999</v>
      </c>
      <c r="I85" s="39">
        <v>-8.2182999999999993</v>
      </c>
      <c r="J85" s="39">
        <v>3.5950000000000002</v>
      </c>
      <c r="K85" s="41">
        <v>46021</v>
      </c>
      <c r="L85" s="35">
        <v>11.62</v>
      </c>
      <c r="M85" s="35">
        <v>133.72999999999999</v>
      </c>
      <c r="N85" s="39">
        <v>13115.957655</v>
      </c>
      <c r="O85" s="43">
        <v>2.179130874178889E-2</v>
      </c>
      <c r="P85" s="35">
        <v>161.77000000000001</v>
      </c>
      <c r="Q85" s="35">
        <v>158.32</v>
      </c>
    </row>
    <row r="86" spans="1:17" x14ac:dyDescent="0.15">
      <c r="A86" s="47">
        <v>85</v>
      </c>
      <c r="B86" s="35">
        <v>110083</v>
      </c>
      <c r="C86" s="35" t="s">
        <v>1876</v>
      </c>
      <c r="D86" s="35">
        <v>115.37</v>
      </c>
      <c r="E86" s="35">
        <v>20.25</v>
      </c>
      <c r="F86" s="50">
        <v>135.62</v>
      </c>
      <c r="G86" s="35">
        <v>0.09</v>
      </c>
      <c r="H86" s="39">
        <v>49.998559999999998</v>
      </c>
      <c r="I86" s="39">
        <v>-0.79610000000000003</v>
      </c>
      <c r="J86" s="39">
        <v>5.46</v>
      </c>
      <c r="K86" s="41">
        <v>46702</v>
      </c>
      <c r="L86" s="35">
        <v>5.42</v>
      </c>
      <c r="M86" s="35">
        <v>95.94</v>
      </c>
      <c r="N86" s="39">
        <v>4894.4859999999999</v>
      </c>
      <c r="O86" s="43">
        <v>1.4866979655712119E-2</v>
      </c>
      <c r="P86" s="35">
        <v>116.73</v>
      </c>
      <c r="Q86" s="35">
        <v>115.02</v>
      </c>
    </row>
    <row r="87" spans="1:17" x14ac:dyDescent="0.15">
      <c r="A87" s="47">
        <v>86</v>
      </c>
      <c r="B87" s="35">
        <v>127045</v>
      </c>
      <c r="C87" s="35" t="s">
        <v>1877</v>
      </c>
      <c r="D87" s="35">
        <v>124.32</v>
      </c>
      <c r="E87" s="35">
        <v>20.29</v>
      </c>
      <c r="F87" s="50">
        <v>144.60999999999999</v>
      </c>
      <c r="G87" s="35">
        <v>-0.47</v>
      </c>
      <c r="H87" s="39">
        <v>95.480232999999998</v>
      </c>
      <c r="I87" s="39">
        <v>-2.1606999999999998</v>
      </c>
      <c r="J87" s="39">
        <v>5.2220000000000004</v>
      </c>
      <c r="K87" s="41">
        <v>46615</v>
      </c>
      <c r="L87" s="35">
        <v>47.71</v>
      </c>
      <c r="M87" s="35">
        <v>103.35</v>
      </c>
      <c r="N87" s="39">
        <v>8057.8240390000001</v>
      </c>
      <c r="O87" s="43">
        <v>1.2689128438149585E-2</v>
      </c>
      <c r="P87" s="35">
        <v>125.697</v>
      </c>
      <c r="Q87" s="35">
        <v>124.122</v>
      </c>
    </row>
    <row r="88" spans="1:17" x14ac:dyDescent="0.15">
      <c r="A88" s="47">
        <v>87</v>
      </c>
      <c r="B88" s="35">
        <v>128066</v>
      </c>
      <c r="C88" s="35" t="s">
        <v>99</v>
      </c>
      <c r="D88" s="35">
        <v>116.29</v>
      </c>
      <c r="E88" s="35">
        <v>20.309999999999999</v>
      </c>
      <c r="F88" s="50">
        <v>136.6</v>
      </c>
      <c r="G88" s="35">
        <v>-0.33</v>
      </c>
      <c r="H88" s="39">
        <v>4.6106319999999998</v>
      </c>
      <c r="I88" s="39">
        <v>-0.2389</v>
      </c>
      <c r="J88" s="39">
        <v>2.89</v>
      </c>
      <c r="K88" s="41">
        <v>45764</v>
      </c>
      <c r="L88" s="35">
        <v>9.27</v>
      </c>
      <c r="M88" s="35">
        <v>96.66</v>
      </c>
      <c r="N88" s="39">
        <v>8411.0730629999998</v>
      </c>
      <c r="O88" s="43">
        <v>1.6136539953452288E-2</v>
      </c>
      <c r="P88" s="35">
        <v>117.88200000000001</v>
      </c>
      <c r="Q88" s="35">
        <v>116.01</v>
      </c>
    </row>
    <row r="89" spans="1:17" x14ac:dyDescent="0.15">
      <c r="A89" s="47">
        <v>88</v>
      </c>
      <c r="B89" s="35">
        <v>113033</v>
      </c>
      <c r="C89" s="35" t="s">
        <v>90</v>
      </c>
      <c r="D89" s="35">
        <v>110.48</v>
      </c>
      <c r="E89" s="35">
        <v>20.440000000000001</v>
      </c>
      <c r="F89" s="50">
        <v>130.92000000000002</v>
      </c>
      <c r="G89" s="35">
        <v>-0.57999999999999996</v>
      </c>
      <c r="H89" s="39">
        <v>17.99794</v>
      </c>
      <c r="I89" s="39">
        <v>0.9032</v>
      </c>
      <c r="J89" s="39">
        <v>3.847</v>
      </c>
      <c r="K89" s="41">
        <v>46113</v>
      </c>
      <c r="L89" s="35">
        <v>7.01</v>
      </c>
      <c r="M89" s="35">
        <v>91.73</v>
      </c>
      <c r="N89" s="39">
        <v>2971.2262000000001</v>
      </c>
      <c r="O89" s="43">
        <v>1.288566243194194E-2</v>
      </c>
      <c r="P89" s="35">
        <v>111.62</v>
      </c>
      <c r="Q89" s="35">
        <v>110.2</v>
      </c>
    </row>
    <row r="90" spans="1:17" x14ac:dyDescent="0.15">
      <c r="A90" s="47">
        <v>89</v>
      </c>
      <c r="B90" s="35">
        <v>128037</v>
      </c>
      <c r="C90" s="35" t="s">
        <v>73</v>
      </c>
      <c r="D90" s="35">
        <v>115.593</v>
      </c>
      <c r="E90" s="35">
        <v>20.65</v>
      </c>
      <c r="F90" s="50">
        <v>136.24299999999999</v>
      </c>
      <c r="G90" s="35">
        <v>0.47</v>
      </c>
      <c r="H90" s="39">
        <v>6.0227959999999996</v>
      </c>
      <c r="I90" s="39">
        <v>-2.8369</v>
      </c>
      <c r="J90" s="39">
        <v>1.8</v>
      </c>
      <c r="K90" s="41">
        <v>45366</v>
      </c>
      <c r="L90" s="35">
        <v>3.1</v>
      </c>
      <c r="M90" s="35">
        <v>95.81</v>
      </c>
      <c r="N90" s="39">
        <v>6419.1759292999996</v>
      </c>
      <c r="O90" s="43">
        <v>1.6986062717770058E-2</v>
      </c>
      <c r="P90" s="35">
        <v>116.75</v>
      </c>
      <c r="Q90" s="35">
        <v>114.8</v>
      </c>
    </row>
    <row r="91" spans="1:17" x14ac:dyDescent="0.15">
      <c r="A91" s="47">
        <v>90</v>
      </c>
      <c r="B91" s="35">
        <v>123091</v>
      </c>
      <c r="C91" s="35" t="s">
        <v>244</v>
      </c>
      <c r="D91" s="35">
        <v>130.62700000000001</v>
      </c>
      <c r="E91" s="35">
        <v>20.66</v>
      </c>
      <c r="F91" s="50">
        <v>151.28700000000001</v>
      </c>
      <c r="G91" s="35">
        <v>-0.12</v>
      </c>
      <c r="H91" s="39">
        <v>5.497617</v>
      </c>
      <c r="I91" s="39">
        <v>-2.6273</v>
      </c>
      <c r="J91" s="39">
        <v>4.5750000000000002</v>
      </c>
      <c r="K91" s="41">
        <v>46379</v>
      </c>
      <c r="L91" s="35">
        <v>15.99</v>
      </c>
      <c r="M91" s="35">
        <v>108.26</v>
      </c>
      <c r="N91" s="39">
        <v>3937.5911109999997</v>
      </c>
      <c r="O91" s="43">
        <v>2.036373147877479E-2</v>
      </c>
      <c r="P91" s="35">
        <v>132.63300000000001</v>
      </c>
      <c r="Q91" s="35">
        <v>129.98599999999999</v>
      </c>
    </row>
    <row r="92" spans="1:17" x14ac:dyDescent="0.15">
      <c r="A92" s="47">
        <v>91</v>
      </c>
      <c r="B92" s="35">
        <v>110084</v>
      </c>
      <c r="C92" s="35" t="s">
        <v>276</v>
      </c>
      <c r="D92" s="35">
        <v>116.01</v>
      </c>
      <c r="E92" s="35">
        <v>20.69</v>
      </c>
      <c r="F92" s="50">
        <v>136.70000000000002</v>
      </c>
      <c r="G92" s="35">
        <v>-0.94</v>
      </c>
      <c r="H92" s="39">
        <v>10</v>
      </c>
      <c r="I92" s="39">
        <v>-0.14330000000000001</v>
      </c>
      <c r="J92" s="39">
        <v>5.5860000000000003</v>
      </c>
      <c r="K92" s="41">
        <v>46748</v>
      </c>
      <c r="L92" s="35">
        <v>7.22</v>
      </c>
      <c r="M92" s="35">
        <v>96.12</v>
      </c>
      <c r="N92" s="39">
        <v>1670.5708</v>
      </c>
      <c r="O92" s="43">
        <v>1.6053858104609006E-2</v>
      </c>
      <c r="P92" s="35">
        <v>117.72</v>
      </c>
      <c r="Q92" s="35">
        <v>115.86</v>
      </c>
    </row>
    <row r="93" spans="1:17" x14ac:dyDescent="0.15">
      <c r="A93" s="47">
        <v>92</v>
      </c>
      <c r="B93" s="35">
        <v>127039</v>
      </c>
      <c r="C93" s="35" t="s">
        <v>1878</v>
      </c>
      <c r="D93" s="35">
        <v>121.54</v>
      </c>
      <c r="E93" s="35">
        <v>20.8</v>
      </c>
      <c r="F93" s="50">
        <v>142.34</v>
      </c>
      <c r="G93" s="35">
        <v>-0.54</v>
      </c>
      <c r="H93" s="39">
        <v>17.631639000000003</v>
      </c>
      <c r="I93" s="39">
        <v>-1.4467000000000001</v>
      </c>
      <c r="J93" s="39">
        <v>5.09</v>
      </c>
      <c r="K93" s="41">
        <v>46567</v>
      </c>
      <c r="L93" s="35">
        <v>8.17</v>
      </c>
      <c r="M93" s="35">
        <v>100.61</v>
      </c>
      <c r="N93" s="39">
        <v>20380.722271000002</v>
      </c>
      <c r="O93" s="43">
        <v>2.4691970151473831E-2</v>
      </c>
      <c r="P93" s="35">
        <v>123.999</v>
      </c>
      <c r="Q93" s="35">
        <v>121.011</v>
      </c>
    </row>
    <row r="94" spans="1:17" x14ac:dyDescent="0.15">
      <c r="A94" s="47">
        <v>93</v>
      </c>
      <c r="B94" s="35">
        <v>128075</v>
      </c>
      <c r="C94" s="35" t="s">
        <v>125</v>
      </c>
      <c r="D94" s="35">
        <v>120.7</v>
      </c>
      <c r="E94" s="35">
        <v>20.93</v>
      </c>
      <c r="F94" s="50">
        <v>141.63</v>
      </c>
      <c r="G94" s="35">
        <v>-0.8</v>
      </c>
      <c r="H94" s="39">
        <v>5.4375910000000003</v>
      </c>
      <c r="I94" s="39">
        <v>-1.6565000000000001</v>
      </c>
      <c r="J94" s="39">
        <v>3.3260000000000001</v>
      </c>
      <c r="K94" s="41">
        <v>45923</v>
      </c>
      <c r="L94" s="35">
        <v>5.29</v>
      </c>
      <c r="M94" s="35">
        <v>99.81</v>
      </c>
      <c r="N94" s="39">
        <v>47539.197751</v>
      </c>
      <c r="O94" s="43">
        <v>3.2800672834314475E-2</v>
      </c>
      <c r="P94" s="35">
        <v>122.8</v>
      </c>
      <c r="Q94" s="35">
        <v>118.9</v>
      </c>
    </row>
    <row r="95" spans="1:17" x14ac:dyDescent="0.15">
      <c r="A95" s="47">
        <v>94</v>
      </c>
      <c r="B95" s="35">
        <v>123146</v>
      </c>
      <c r="C95" s="35" t="s">
        <v>1879</v>
      </c>
      <c r="D95" s="35">
        <v>115.03</v>
      </c>
      <c r="E95" s="35">
        <v>21.02</v>
      </c>
      <c r="F95" s="50">
        <v>136.05000000000001</v>
      </c>
      <c r="G95" s="35">
        <v>-0.84</v>
      </c>
      <c r="H95" s="39">
        <v>8.64</v>
      </c>
      <c r="I95" s="39">
        <v>0.86980000000000002</v>
      </c>
      <c r="J95" s="39">
        <v>5.9450000000000003</v>
      </c>
      <c r="K95" s="41">
        <v>46879</v>
      </c>
      <c r="L95" s="35">
        <v>7.47</v>
      </c>
      <c r="M95" s="35">
        <v>95.05</v>
      </c>
      <c r="N95" s="39">
        <v>37493.632313399998</v>
      </c>
      <c r="O95" s="43">
        <v>2.3174769123540658E-2</v>
      </c>
      <c r="P95" s="35">
        <v>117.44</v>
      </c>
      <c r="Q95" s="35">
        <v>114.78</v>
      </c>
    </row>
    <row r="96" spans="1:17" x14ac:dyDescent="0.15">
      <c r="A96" s="47">
        <v>95</v>
      </c>
      <c r="B96" s="35">
        <v>113637</v>
      </c>
      <c r="C96" s="35" t="s">
        <v>273</v>
      </c>
      <c r="D96" s="35">
        <v>136.82</v>
      </c>
      <c r="E96" s="35">
        <v>21.15</v>
      </c>
      <c r="F96" s="50">
        <v>157.97</v>
      </c>
      <c r="G96" s="35">
        <v>2.95</v>
      </c>
      <c r="H96" s="39">
        <v>8</v>
      </c>
      <c r="I96" s="39">
        <v>-2.2204999999999999</v>
      </c>
      <c r="J96" s="39">
        <v>5.5730000000000004</v>
      </c>
      <c r="K96" s="41">
        <v>46743</v>
      </c>
      <c r="L96" s="35">
        <v>12.99</v>
      </c>
      <c r="M96" s="35">
        <v>112.93</v>
      </c>
      <c r="N96" s="39">
        <v>54465.618600000002</v>
      </c>
      <c r="O96" s="43">
        <v>7.9670121812816838E-2</v>
      </c>
      <c r="P96" s="35">
        <v>142.69999999999999</v>
      </c>
      <c r="Q96" s="35">
        <v>132.16999999999999</v>
      </c>
    </row>
    <row r="97" spans="1:17" x14ac:dyDescent="0.15">
      <c r="A97" s="47">
        <v>96</v>
      </c>
      <c r="B97" s="35">
        <v>123097</v>
      </c>
      <c r="C97" s="35" t="s">
        <v>126</v>
      </c>
      <c r="D97" s="35">
        <v>120.5</v>
      </c>
      <c r="E97" s="35">
        <v>21.29</v>
      </c>
      <c r="F97" s="50">
        <v>141.79</v>
      </c>
      <c r="G97" s="35">
        <v>-0.12</v>
      </c>
      <c r="H97" s="39">
        <v>2.9987979999999999</v>
      </c>
      <c r="I97" s="39">
        <v>0.1087</v>
      </c>
      <c r="J97" s="39">
        <v>4.6710000000000003</v>
      </c>
      <c r="K97" s="41">
        <v>46414</v>
      </c>
      <c r="L97" s="35">
        <v>9.2799999999999994</v>
      </c>
      <c r="M97" s="35">
        <v>99.35</v>
      </c>
      <c r="N97" s="39">
        <v>2585.1445017999999</v>
      </c>
      <c r="O97" s="43">
        <v>1.8499272500519595E-2</v>
      </c>
      <c r="P97" s="35">
        <v>122.5</v>
      </c>
      <c r="Q97" s="35">
        <v>120.27500000000001</v>
      </c>
    </row>
    <row r="98" spans="1:17" x14ac:dyDescent="0.15">
      <c r="A98" s="47">
        <v>97</v>
      </c>
      <c r="B98" s="35">
        <v>128025</v>
      </c>
      <c r="C98" s="35" t="s">
        <v>50</v>
      </c>
      <c r="D98" s="35">
        <v>123.099</v>
      </c>
      <c r="E98" s="35">
        <v>21.62</v>
      </c>
      <c r="F98" s="50">
        <v>144.71899999999999</v>
      </c>
      <c r="G98" s="35">
        <v>-1.05</v>
      </c>
      <c r="H98" s="39">
        <v>2.9767440000000001</v>
      </c>
      <c r="I98" s="39">
        <v>-8.5533000000000001</v>
      </c>
      <c r="J98" s="39">
        <v>1.526</v>
      </c>
      <c r="K98" s="41">
        <v>45266</v>
      </c>
      <c r="L98" s="35">
        <v>13.15</v>
      </c>
      <c r="M98" s="35">
        <v>101.22</v>
      </c>
      <c r="N98" s="39">
        <v>11343.103079</v>
      </c>
      <c r="O98" s="43">
        <v>1.269324654190389E-2</v>
      </c>
      <c r="P98" s="35">
        <v>124.46</v>
      </c>
      <c r="Q98" s="35">
        <v>122.9</v>
      </c>
    </row>
    <row r="99" spans="1:17" x14ac:dyDescent="0.15">
      <c r="A99" s="47">
        <v>98</v>
      </c>
      <c r="B99" s="35">
        <v>113618</v>
      </c>
      <c r="C99" s="35" t="s">
        <v>1880</v>
      </c>
      <c r="D99" s="35">
        <v>142.06</v>
      </c>
      <c r="E99" s="35">
        <v>21.89</v>
      </c>
      <c r="F99" s="50">
        <v>163.95</v>
      </c>
      <c r="G99" s="35">
        <v>0.28000000000000003</v>
      </c>
      <c r="H99" s="39">
        <v>4.7717900000000002</v>
      </c>
      <c r="I99" s="39">
        <v>-4.5519999999999996</v>
      </c>
      <c r="J99" s="39">
        <v>4.6360000000000001</v>
      </c>
      <c r="K99" s="41">
        <v>46401</v>
      </c>
      <c r="L99" s="35">
        <v>37.229999999999997</v>
      </c>
      <c r="M99" s="35">
        <v>116.55</v>
      </c>
      <c r="N99" s="39">
        <v>30550.9306</v>
      </c>
      <c r="O99" s="43">
        <v>1.9176136363636281E-2</v>
      </c>
      <c r="P99" s="35">
        <v>143.5</v>
      </c>
      <c r="Q99" s="35">
        <v>140.80000000000001</v>
      </c>
    </row>
    <row r="100" spans="1:17" x14ac:dyDescent="0.15">
      <c r="A100" s="47">
        <v>99</v>
      </c>
      <c r="B100" s="35">
        <v>113634</v>
      </c>
      <c r="C100" s="35" t="s">
        <v>252</v>
      </c>
      <c r="D100" s="35">
        <v>130.22</v>
      </c>
      <c r="E100" s="35">
        <v>21.93</v>
      </c>
      <c r="F100" s="50">
        <v>152.15</v>
      </c>
      <c r="G100" s="35">
        <v>1.46</v>
      </c>
      <c r="H100" s="39">
        <v>7.5171299999999999</v>
      </c>
      <c r="I100" s="39">
        <v>-1.4749000000000001</v>
      </c>
      <c r="J100" s="39">
        <v>5.5339999999999998</v>
      </c>
      <c r="K100" s="41">
        <v>46729</v>
      </c>
      <c r="L100" s="35">
        <v>195.98</v>
      </c>
      <c r="M100" s="35">
        <v>106.8</v>
      </c>
      <c r="N100" s="39">
        <v>19752.073100000001</v>
      </c>
      <c r="O100" s="43">
        <v>4.1182435067467445E-2</v>
      </c>
      <c r="P100" s="35">
        <v>133.49</v>
      </c>
      <c r="Q100" s="35">
        <v>128.21</v>
      </c>
    </row>
    <row r="101" spans="1:17" x14ac:dyDescent="0.15">
      <c r="A101" s="47">
        <v>100</v>
      </c>
      <c r="B101" s="35">
        <v>123107</v>
      </c>
      <c r="C101" s="35" t="s">
        <v>1881</v>
      </c>
      <c r="D101" s="35">
        <v>123.3</v>
      </c>
      <c r="E101" s="35">
        <v>21.98</v>
      </c>
      <c r="F101" s="50">
        <v>145.28</v>
      </c>
      <c r="G101" s="35">
        <v>-1.27</v>
      </c>
      <c r="H101" s="39">
        <v>92.962732000000003</v>
      </c>
      <c r="I101" s="39">
        <v>-1.8539000000000001</v>
      </c>
      <c r="J101" s="39">
        <v>4.8380000000000001</v>
      </c>
      <c r="K101" s="41">
        <v>46475</v>
      </c>
      <c r="L101" s="35">
        <v>17.62</v>
      </c>
      <c r="M101" s="35">
        <v>101.08</v>
      </c>
      <c r="N101" s="39">
        <v>11770.3140962</v>
      </c>
      <c r="O101" s="43">
        <v>1.4297538097015535E-2</v>
      </c>
      <c r="P101" s="35">
        <v>125</v>
      </c>
      <c r="Q101" s="35">
        <v>123.238</v>
      </c>
    </row>
    <row r="102" spans="1:17" x14ac:dyDescent="0.15">
      <c r="A102" s="47">
        <v>101</v>
      </c>
      <c r="B102" s="35">
        <v>128083</v>
      </c>
      <c r="C102" s="35" t="s">
        <v>190</v>
      </c>
      <c r="D102" s="35">
        <v>117.6</v>
      </c>
      <c r="E102" s="35">
        <v>22.06</v>
      </c>
      <c r="F102" s="50">
        <v>139.66</v>
      </c>
      <c r="G102" s="35">
        <v>0</v>
      </c>
      <c r="H102" s="39">
        <v>8.7688389999999998</v>
      </c>
      <c r="I102" s="39">
        <v>-0.8145</v>
      </c>
      <c r="J102" s="39">
        <v>3.5449999999999999</v>
      </c>
      <c r="K102" s="41">
        <v>46003</v>
      </c>
      <c r="L102" s="35">
        <v>6.85</v>
      </c>
      <c r="M102" s="35">
        <v>96.35</v>
      </c>
      <c r="N102" s="39">
        <v>948.669577</v>
      </c>
      <c r="O102" s="43">
        <v>1.1665098777046011E-2</v>
      </c>
      <c r="P102" s="35">
        <v>118.294</v>
      </c>
      <c r="Q102" s="35">
        <v>116.93</v>
      </c>
    </row>
    <row r="103" spans="1:17" x14ac:dyDescent="0.15">
      <c r="A103" s="47">
        <v>102</v>
      </c>
      <c r="B103" s="35">
        <v>110038</v>
      </c>
      <c r="C103" s="35" t="s">
        <v>102</v>
      </c>
      <c r="D103" s="35">
        <v>124.12</v>
      </c>
      <c r="E103" s="35">
        <v>22.08</v>
      </c>
      <c r="F103" s="50">
        <v>146.19999999999999</v>
      </c>
      <c r="G103" s="35">
        <v>0.16</v>
      </c>
      <c r="H103" s="39">
        <v>6.3024399999999998</v>
      </c>
      <c r="I103" s="39">
        <v>-28.7394</v>
      </c>
      <c r="J103" s="39">
        <v>0.46300000000000002</v>
      </c>
      <c r="K103" s="41">
        <v>44878</v>
      </c>
      <c r="L103" s="35">
        <v>22.72</v>
      </c>
      <c r="M103" s="35">
        <v>101.67</v>
      </c>
      <c r="N103" s="39">
        <v>3247.8724999999999</v>
      </c>
      <c r="O103" s="43">
        <v>1.3785274083684747E-2</v>
      </c>
      <c r="P103" s="35">
        <v>125.02</v>
      </c>
      <c r="Q103" s="35">
        <v>123.32</v>
      </c>
    </row>
    <row r="104" spans="1:17" x14ac:dyDescent="0.15">
      <c r="A104" s="47">
        <v>103</v>
      </c>
      <c r="B104" s="35">
        <v>128140</v>
      </c>
      <c r="C104" s="35" t="s">
        <v>1882</v>
      </c>
      <c r="D104" s="35">
        <v>141.708</v>
      </c>
      <c r="E104" s="35">
        <v>22.1</v>
      </c>
      <c r="F104" s="50">
        <v>163.80799999999999</v>
      </c>
      <c r="G104" s="35">
        <v>1.7</v>
      </c>
      <c r="H104" s="39">
        <v>10.896411000000001</v>
      </c>
      <c r="I104" s="39">
        <v>-4.6026999999999996</v>
      </c>
      <c r="J104" s="39">
        <v>4.532</v>
      </c>
      <c r="K104" s="41">
        <v>46363</v>
      </c>
      <c r="L104" s="35">
        <v>26.4</v>
      </c>
      <c r="M104" s="35">
        <v>116.06</v>
      </c>
      <c r="N104" s="39">
        <v>4424.5004034000003</v>
      </c>
      <c r="O104" s="43">
        <v>2.3652131286990289E-2</v>
      </c>
      <c r="P104" s="35">
        <v>142</v>
      </c>
      <c r="Q104" s="35">
        <v>138.71899999999999</v>
      </c>
    </row>
    <row r="105" spans="1:17" x14ac:dyDescent="0.15">
      <c r="A105" s="47">
        <v>104</v>
      </c>
      <c r="B105" s="35">
        <v>123130</v>
      </c>
      <c r="C105" s="35" t="s">
        <v>71</v>
      </c>
      <c r="D105" s="35">
        <v>146.19999999999999</v>
      </c>
      <c r="E105" s="35">
        <v>22.26</v>
      </c>
      <c r="F105" s="50">
        <v>168.45999999999998</v>
      </c>
      <c r="G105" s="35">
        <v>1.05</v>
      </c>
      <c r="H105" s="39">
        <v>3.7563980000000008</v>
      </c>
      <c r="I105" s="39">
        <v>-4.0475000000000003</v>
      </c>
      <c r="J105" s="39">
        <v>5.46</v>
      </c>
      <c r="K105" s="41">
        <v>46702</v>
      </c>
      <c r="L105" s="35">
        <v>11.34</v>
      </c>
      <c r="M105" s="35">
        <v>119.58</v>
      </c>
      <c r="N105" s="39">
        <v>39818.529466100001</v>
      </c>
      <c r="O105" s="43">
        <v>2.1753158891733935E-2</v>
      </c>
      <c r="P105" s="35">
        <v>147.25200000000001</v>
      </c>
      <c r="Q105" s="35">
        <v>144.11699999999999</v>
      </c>
    </row>
    <row r="106" spans="1:17" x14ac:dyDescent="0.15">
      <c r="A106" s="47">
        <v>105</v>
      </c>
      <c r="B106" s="35">
        <v>127049</v>
      </c>
      <c r="C106" s="35" t="s">
        <v>1883</v>
      </c>
      <c r="D106" s="35">
        <v>119.6</v>
      </c>
      <c r="E106" s="35">
        <v>22.39</v>
      </c>
      <c r="F106" s="50">
        <v>141.99</v>
      </c>
      <c r="G106" s="35">
        <v>0.14000000000000001</v>
      </c>
      <c r="H106" s="39">
        <v>81.494648999999995</v>
      </c>
      <c r="I106" s="39">
        <v>-1.3496999999999999</v>
      </c>
      <c r="J106" s="39">
        <v>5.4359999999999999</v>
      </c>
      <c r="K106" s="41">
        <v>46693</v>
      </c>
      <c r="L106" s="35">
        <v>14.45</v>
      </c>
      <c r="M106" s="35">
        <v>97.72</v>
      </c>
      <c r="N106" s="39">
        <v>4996.7912182999999</v>
      </c>
      <c r="O106" s="43">
        <v>6.7114093959731299E-3</v>
      </c>
      <c r="P106" s="35">
        <v>120</v>
      </c>
      <c r="Q106" s="35">
        <v>119.2</v>
      </c>
    </row>
    <row r="107" spans="1:17" x14ac:dyDescent="0.15">
      <c r="A107" s="47">
        <v>106</v>
      </c>
      <c r="B107" s="35">
        <v>123105</v>
      </c>
      <c r="C107" s="35" t="s">
        <v>234</v>
      </c>
      <c r="D107" s="35">
        <v>128.886</v>
      </c>
      <c r="E107" s="35">
        <v>22.49</v>
      </c>
      <c r="F107" s="50">
        <v>151.376</v>
      </c>
      <c r="G107" s="35">
        <v>-0.78</v>
      </c>
      <c r="H107" s="39">
        <v>7.9986300000000004</v>
      </c>
      <c r="I107" s="39">
        <v>-1.3796999999999999</v>
      </c>
      <c r="J107" s="39">
        <v>4.8109999999999999</v>
      </c>
      <c r="K107" s="41">
        <v>46465</v>
      </c>
      <c r="L107" s="35">
        <v>9.9600000000000009</v>
      </c>
      <c r="M107" s="35">
        <v>105.22</v>
      </c>
      <c r="N107" s="39">
        <v>1431.7692205000001</v>
      </c>
      <c r="O107" s="43">
        <v>2.7494108405341826E-2</v>
      </c>
      <c r="P107" s="35">
        <v>130.80000000000001</v>
      </c>
      <c r="Q107" s="35">
        <v>127.3</v>
      </c>
    </row>
    <row r="108" spans="1:17" x14ac:dyDescent="0.15">
      <c r="A108" s="47">
        <v>107</v>
      </c>
      <c r="B108" s="35">
        <v>113545</v>
      </c>
      <c r="C108" s="35" t="s">
        <v>85</v>
      </c>
      <c r="D108" s="35">
        <v>125.79</v>
      </c>
      <c r="E108" s="35">
        <v>22.84</v>
      </c>
      <c r="F108" s="50">
        <v>148.63</v>
      </c>
      <c r="G108" s="35">
        <v>0.82</v>
      </c>
      <c r="H108" s="39">
        <v>9.8657599999999999</v>
      </c>
      <c r="I108" s="39">
        <v>-2.8439000000000001</v>
      </c>
      <c r="J108" s="39">
        <v>3.3839999999999999</v>
      </c>
      <c r="K108" s="41">
        <v>45944</v>
      </c>
      <c r="L108" s="35">
        <v>10.43</v>
      </c>
      <c r="M108" s="35">
        <v>102.4</v>
      </c>
      <c r="N108" s="39">
        <v>6061.1968999999999</v>
      </c>
      <c r="O108" s="43">
        <v>1.9673974142776864E-2</v>
      </c>
      <c r="P108" s="35">
        <v>126.98</v>
      </c>
      <c r="Q108" s="35">
        <v>124.53</v>
      </c>
    </row>
    <row r="109" spans="1:17" x14ac:dyDescent="0.15">
      <c r="A109" s="47">
        <v>108</v>
      </c>
      <c r="B109" s="35">
        <v>128073</v>
      </c>
      <c r="C109" s="35" t="s">
        <v>98</v>
      </c>
      <c r="D109" s="35">
        <v>122.44199999999999</v>
      </c>
      <c r="E109" s="35">
        <v>22.87</v>
      </c>
      <c r="F109" s="50">
        <v>145.31199999999998</v>
      </c>
      <c r="G109" s="35">
        <v>-1.1299999999999999</v>
      </c>
      <c r="H109" s="39">
        <v>2.9874689999999999</v>
      </c>
      <c r="I109" s="39">
        <v>-2.9874000000000001</v>
      </c>
      <c r="J109" s="39">
        <v>2.238</v>
      </c>
      <c r="K109" s="41">
        <v>45526</v>
      </c>
      <c r="L109" s="35">
        <v>5.7</v>
      </c>
      <c r="M109" s="35">
        <v>99.65</v>
      </c>
      <c r="N109" s="39">
        <v>2950.9043000000001</v>
      </c>
      <c r="O109" s="43">
        <v>1.6116760612927758E-2</v>
      </c>
      <c r="P109" s="35">
        <v>124.203</v>
      </c>
      <c r="Q109" s="35">
        <v>122.233</v>
      </c>
    </row>
    <row r="110" spans="1:17" x14ac:dyDescent="0.15">
      <c r="A110" s="47">
        <v>109</v>
      </c>
      <c r="B110" s="35">
        <v>113591</v>
      </c>
      <c r="C110" s="35" t="s">
        <v>41</v>
      </c>
      <c r="D110" s="35">
        <v>114.99</v>
      </c>
      <c r="E110" s="35">
        <v>23</v>
      </c>
      <c r="F110" s="50">
        <v>137.99</v>
      </c>
      <c r="G110" s="35">
        <v>-0.37</v>
      </c>
      <c r="H110" s="39">
        <v>4.7750000000000004</v>
      </c>
      <c r="I110" s="39">
        <v>1.4265000000000001</v>
      </c>
      <c r="J110" s="39">
        <v>4.0960000000000001</v>
      </c>
      <c r="K110" s="41">
        <v>46204</v>
      </c>
      <c r="L110" s="35">
        <v>8.76</v>
      </c>
      <c r="M110" s="35">
        <v>93.49</v>
      </c>
      <c r="N110" s="39">
        <v>2002.194</v>
      </c>
      <c r="O110" s="43">
        <v>1.4989106753812625E-2</v>
      </c>
      <c r="P110" s="35">
        <v>116.47</v>
      </c>
      <c r="Q110" s="35">
        <v>114.75</v>
      </c>
    </row>
    <row r="111" spans="1:17" x14ac:dyDescent="0.15">
      <c r="A111" s="47">
        <v>110</v>
      </c>
      <c r="B111" s="35">
        <v>113027</v>
      </c>
      <c r="C111" s="35" t="s">
        <v>1884</v>
      </c>
      <c r="D111" s="35">
        <v>180.4</v>
      </c>
      <c r="E111" s="35">
        <v>23.46</v>
      </c>
      <c r="F111" s="50">
        <v>203.86</v>
      </c>
      <c r="G111" s="35">
        <v>-3.86</v>
      </c>
      <c r="H111" s="39">
        <v>2.38733</v>
      </c>
      <c r="I111" s="39">
        <v>-14.139699999999999</v>
      </c>
      <c r="J111" s="39">
        <v>3.0489999999999999</v>
      </c>
      <c r="K111" s="41">
        <v>45822</v>
      </c>
      <c r="L111" s="35">
        <v>10.17</v>
      </c>
      <c r="M111" s="35">
        <v>146.12</v>
      </c>
      <c r="N111" s="39">
        <v>206013.08840000001</v>
      </c>
      <c r="O111" s="43">
        <v>7.3469387755102131E-2</v>
      </c>
      <c r="P111" s="35">
        <v>191.99</v>
      </c>
      <c r="Q111" s="35">
        <v>178.85</v>
      </c>
    </row>
    <row r="112" spans="1:17" x14ac:dyDescent="0.15">
      <c r="A112" s="47">
        <v>111</v>
      </c>
      <c r="B112" s="35">
        <v>127014</v>
      </c>
      <c r="C112" s="35" t="s">
        <v>231</v>
      </c>
      <c r="D112" s="35">
        <v>128.19</v>
      </c>
      <c r="E112" s="35">
        <v>23.63</v>
      </c>
      <c r="F112" s="50">
        <v>151.82</v>
      </c>
      <c r="G112" s="35">
        <v>0.42</v>
      </c>
      <c r="H112" s="39">
        <v>5.3444160000000007</v>
      </c>
      <c r="I112" s="39">
        <v>-3.3677000000000001</v>
      </c>
      <c r="J112" s="39">
        <v>3.411</v>
      </c>
      <c r="K112" s="41">
        <v>45954</v>
      </c>
      <c r="L112" s="35">
        <v>7.86</v>
      </c>
      <c r="M112" s="35">
        <v>103.69</v>
      </c>
      <c r="N112" s="39">
        <v>14222.8455366</v>
      </c>
      <c r="O112" s="43">
        <v>2.0541176470588233E-2</v>
      </c>
      <c r="P112" s="35">
        <v>130.119</v>
      </c>
      <c r="Q112" s="35">
        <v>127.5</v>
      </c>
    </row>
    <row r="113" spans="1:17" x14ac:dyDescent="0.15">
      <c r="A113" s="47">
        <v>112</v>
      </c>
      <c r="B113" s="35">
        <v>127030</v>
      </c>
      <c r="C113" s="35" t="s">
        <v>783</v>
      </c>
      <c r="D113" s="35">
        <v>141.31299999999999</v>
      </c>
      <c r="E113" s="35">
        <v>23.98</v>
      </c>
      <c r="F113" s="50">
        <v>165.29299999999998</v>
      </c>
      <c r="G113" s="35">
        <v>0.01</v>
      </c>
      <c r="H113" s="39">
        <v>49.983575999999999</v>
      </c>
      <c r="I113" s="39">
        <v>-4.7201000000000004</v>
      </c>
      <c r="J113" s="39">
        <v>4.819</v>
      </c>
      <c r="K113" s="41">
        <v>46468</v>
      </c>
      <c r="L113" s="35">
        <v>13.38</v>
      </c>
      <c r="M113" s="35">
        <v>113.98</v>
      </c>
      <c r="N113" s="39">
        <v>13487.8922289</v>
      </c>
      <c r="O113" s="43">
        <v>3.581786750103589E-2</v>
      </c>
      <c r="P113" s="35">
        <v>145</v>
      </c>
      <c r="Q113" s="35">
        <v>139.98599999999999</v>
      </c>
    </row>
    <row r="114" spans="1:17" x14ac:dyDescent="0.15">
      <c r="A114" s="47">
        <v>113</v>
      </c>
      <c r="B114" s="35">
        <v>110057</v>
      </c>
      <c r="C114" s="35" t="s">
        <v>1885</v>
      </c>
      <c r="D114" s="35">
        <v>114.5</v>
      </c>
      <c r="E114" s="35">
        <v>24.13</v>
      </c>
      <c r="F114" s="50">
        <v>138.63</v>
      </c>
      <c r="G114" s="35">
        <v>-0.13</v>
      </c>
      <c r="H114" s="39">
        <v>16.155080000000002</v>
      </c>
      <c r="I114" s="39">
        <v>-1.6428</v>
      </c>
      <c r="J114" s="39">
        <v>2.847</v>
      </c>
      <c r="K114" s="41">
        <v>45748</v>
      </c>
      <c r="L114" s="35">
        <v>9.7899999999999991</v>
      </c>
      <c r="M114" s="35">
        <v>92.24</v>
      </c>
      <c r="N114" s="39">
        <v>1703.7982</v>
      </c>
      <c r="O114" s="43">
        <v>1.0070934407566387E-2</v>
      </c>
      <c r="P114" s="35">
        <v>115.34</v>
      </c>
      <c r="Q114" s="35">
        <v>114.19</v>
      </c>
    </row>
    <row r="115" spans="1:17" x14ac:dyDescent="0.15">
      <c r="A115" s="47">
        <v>114</v>
      </c>
      <c r="B115" s="35">
        <v>113640</v>
      </c>
      <c r="C115" s="35" t="s">
        <v>784</v>
      </c>
      <c r="D115" s="35">
        <v>120.86</v>
      </c>
      <c r="E115" s="35">
        <v>24.57</v>
      </c>
      <c r="F115" s="50">
        <v>145.43</v>
      </c>
      <c r="G115" s="35">
        <v>-0.7</v>
      </c>
      <c r="H115" s="39">
        <v>9.5721100000000003</v>
      </c>
      <c r="I115" s="39">
        <v>-5.2999999999999999E-2</v>
      </c>
      <c r="J115" s="39">
        <v>5.726</v>
      </c>
      <c r="K115" s="41">
        <v>46799</v>
      </c>
      <c r="L115" s="35">
        <v>20.11</v>
      </c>
      <c r="M115" s="35">
        <v>97.02</v>
      </c>
      <c r="N115" s="39">
        <v>550.54840000000002</v>
      </c>
      <c r="O115" s="43">
        <v>1.6805324459234574E-2</v>
      </c>
      <c r="P115" s="35">
        <v>122.22</v>
      </c>
      <c r="Q115" s="35">
        <v>120.2</v>
      </c>
    </row>
    <row r="116" spans="1:17" x14ac:dyDescent="0.15">
      <c r="A116" s="47">
        <v>115</v>
      </c>
      <c r="B116" s="35">
        <v>113631</v>
      </c>
      <c r="C116" s="35" t="s">
        <v>224</v>
      </c>
      <c r="D116" s="35">
        <v>114.21</v>
      </c>
      <c r="E116" s="35">
        <v>24.75</v>
      </c>
      <c r="F116" s="50">
        <v>138.95999999999998</v>
      </c>
      <c r="G116" s="35">
        <v>-0.31</v>
      </c>
      <c r="H116" s="39">
        <v>9.29983</v>
      </c>
      <c r="I116" s="39">
        <v>4.7199999999999999E-2</v>
      </c>
      <c r="J116" s="39">
        <v>5.452</v>
      </c>
      <c r="K116" s="41">
        <v>46699</v>
      </c>
      <c r="L116" s="35">
        <v>11.12</v>
      </c>
      <c r="M116" s="35">
        <v>91.55</v>
      </c>
      <c r="N116" s="39">
        <v>1031.2725</v>
      </c>
      <c r="O116" s="43">
        <v>9.7368421052631531E-3</v>
      </c>
      <c r="P116" s="35">
        <v>115.11</v>
      </c>
      <c r="Q116" s="35">
        <v>114</v>
      </c>
    </row>
    <row r="117" spans="1:17" x14ac:dyDescent="0.15">
      <c r="A117" s="47">
        <v>116</v>
      </c>
      <c r="B117" s="35">
        <v>110055</v>
      </c>
      <c r="C117" s="35" t="s">
        <v>1886</v>
      </c>
      <c r="D117" s="35">
        <v>189.01</v>
      </c>
      <c r="E117" s="35">
        <v>24.77</v>
      </c>
      <c r="F117" s="50">
        <v>213.78</v>
      </c>
      <c r="G117" s="35">
        <v>-0.55000000000000004</v>
      </c>
      <c r="H117" s="39">
        <v>2.4354499999999999</v>
      </c>
      <c r="I117" s="39">
        <v>-16.891400000000001</v>
      </c>
      <c r="J117" s="39">
        <v>2.8</v>
      </c>
      <c r="K117" s="41">
        <v>45731</v>
      </c>
      <c r="L117" s="35">
        <v>16.41</v>
      </c>
      <c r="M117" s="35">
        <v>151.49</v>
      </c>
      <c r="N117" s="39">
        <v>46465.182399999998</v>
      </c>
      <c r="O117" s="43">
        <v>2.8503184713375821E-2</v>
      </c>
      <c r="P117" s="35">
        <v>193.77</v>
      </c>
      <c r="Q117" s="35">
        <v>188.4</v>
      </c>
    </row>
    <row r="118" spans="1:17" x14ac:dyDescent="0.15">
      <c r="A118" s="47">
        <v>117</v>
      </c>
      <c r="B118" s="35">
        <v>127028</v>
      </c>
      <c r="C118" s="35" t="s">
        <v>62</v>
      </c>
      <c r="D118" s="35">
        <v>116.001</v>
      </c>
      <c r="E118" s="35">
        <v>24.99</v>
      </c>
      <c r="F118" s="50">
        <v>140.99100000000001</v>
      </c>
      <c r="G118" s="35">
        <v>-1.02</v>
      </c>
      <c r="H118" s="39">
        <v>5.9825270000000002</v>
      </c>
      <c r="I118" s="39">
        <v>-0.61619999999999997</v>
      </c>
      <c r="J118" s="39">
        <v>4.6109999999999998</v>
      </c>
      <c r="K118" s="41">
        <v>46392</v>
      </c>
      <c r="L118" s="35">
        <v>13.22</v>
      </c>
      <c r="M118" s="35">
        <v>92.81</v>
      </c>
      <c r="N118" s="39">
        <v>17301.841959599999</v>
      </c>
      <c r="O118" s="43">
        <v>2.1542917733467774E-2</v>
      </c>
      <c r="P118" s="35">
        <v>118.5</v>
      </c>
      <c r="Q118" s="35">
        <v>116.001</v>
      </c>
    </row>
    <row r="119" spans="1:17" x14ac:dyDescent="0.15">
      <c r="A119" s="47">
        <v>118</v>
      </c>
      <c r="B119" s="35">
        <v>128121</v>
      </c>
      <c r="C119" s="35" t="s">
        <v>47</v>
      </c>
      <c r="D119" s="35">
        <v>123.28</v>
      </c>
      <c r="E119" s="35">
        <v>25.23</v>
      </c>
      <c r="F119" s="50">
        <v>148.51</v>
      </c>
      <c r="G119" s="35">
        <v>0.64</v>
      </c>
      <c r="H119" s="39">
        <v>6.6986129999999999</v>
      </c>
      <c r="I119" s="39">
        <v>-2.1459999999999999</v>
      </c>
      <c r="J119" s="39">
        <v>4.1399999999999997</v>
      </c>
      <c r="K119" s="41">
        <v>46220</v>
      </c>
      <c r="L119" s="35">
        <v>19.88</v>
      </c>
      <c r="M119" s="35">
        <v>98.44</v>
      </c>
      <c r="N119" s="39">
        <v>28500.312961199998</v>
      </c>
      <c r="O119" s="43">
        <v>6.2106210621062252E-2</v>
      </c>
      <c r="P119" s="35">
        <v>129.80000000000001</v>
      </c>
      <c r="Q119" s="35">
        <v>122.21</v>
      </c>
    </row>
    <row r="120" spans="1:17" x14ac:dyDescent="0.15">
      <c r="A120" s="47">
        <v>119</v>
      </c>
      <c r="B120" s="35">
        <v>113516</v>
      </c>
      <c r="C120" s="35" t="s">
        <v>1887</v>
      </c>
      <c r="D120" s="35">
        <v>117.08</v>
      </c>
      <c r="E120" s="35">
        <v>25.25</v>
      </c>
      <c r="F120" s="50">
        <v>142.32999999999998</v>
      </c>
      <c r="G120" s="35">
        <v>0.03</v>
      </c>
      <c r="H120" s="39">
        <v>12.886039999999999</v>
      </c>
      <c r="I120" s="39">
        <v>-1.5187999999999999</v>
      </c>
      <c r="J120" s="39">
        <v>2.1840000000000002</v>
      </c>
      <c r="K120" s="41">
        <v>45506</v>
      </c>
      <c r="L120" s="35">
        <v>5.37</v>
      </c>
      <c r="M120" s="35">
        <v>93.48</v>
      </c>
      <c r="N120" s="39">
        <v>769.92330000000004</v>
      </c>
      <c r="O120" s="43">
        <v>3.8494439692043506E-3</v>
      </c>
      <c r="P120" s="35">
        <v>117.35</v>
      </c>
      <c r="Q120" s="35">
        <v>116.9</v>
      </c>
    </row>
    <row r="121" spans="1:17" x14ac:dyDescent="0.15">
      <c r="A121" s="47">
        <v>120</v>
      </c>
      <c r="B121" s="35">
        <v>113017</v>
      </c>
      <c r="C121" s="35" t="s">
        <v>110</v>
      </c>
      <c r="D121" s="35">
        <v>114.1</v>
      </c>
      <c r="E121" s="35">
        <v>25.34</v>
      </c>
      <c r="F121" s="50">
        <v>139.44</v>
      </c>
      <c r="G121" s="35">
        <v>-0.28000000000000003</v>
      </c>
      <c r="H121" s="39">
        <v>11.35008</v>
      </c>
      <c r="I121" s="39">
        <v>-3.718</v>
      </c>
      <c r="J121" s="39">
        <v>1.5840000000000001</v>
      </c>
      <c r="K121" s="41">
        <v>45287</v>
      </c>
      <c r="L121" s="35">
        <v>2.23</v>
      </c>
      <c r="M121" s="35">
        <v>91.03</v>
      </c>
      <c r="N121" s="39">
        <v>4993.7227999999996</v>
      </c>
      <c r="O121" s="43">
        <v>1.8795011417530306E-2</v>
      </c>
      <c r="P121" s="35">
        <v>116</v>
      </c>
      <c r="Q121" s="35">
        <v>113.86</v>
      </c>
    </row>
    <row r="122" spans="1:17" x14ac:dyDescent="0.15">
      <c r="A122" s="47">
        <v>121</v>
      </c>
      <c r="B122" s="35">
        <v>128085</v>
      </c>
      <c r="C122" s="35" t="s">
        <v>1888</v>
      </c>
      <c r="D122" s="35">
        <v>114.839</v>
      </c>
      <c r="E122" s="35">
        <v>25.42</v>
      </c>
      <c r="F122" s="50">
        <v>140.25900000000001</v>
      </c>
      <c r="G122" s="35">
        <v>0.18</v>
      </c>
      <c r="H122" s="39">
        <v>3.374628</v>
      </c>
      <c r="I122" s="39">
        <v>2.1827999999999999</v>
      </c>
      <c r="J122" s="39">
        <v>3.556</v>
      </c>
      <c r="K122" s="41">
        <v>46007</v>
      </c>
      <c r="L122" s="35">
        <v>3.91</v>
      </c>
      <c r="M122" s="35">
        <v>91.56</v>
      </c>
      <c r="N122" s="39">
        <v>2786.5451050000001</v>
      </c>
      <c r="O122" s="43">
        <v>1.2948695499912443E-2</v>
      </c>
      <c r="P122" s="35">
        <v>115.699</v>
      </c>
      <c r="Q122" s="35">
        <v>114.22</v>
      </c>
    </row>
    <row r="123" spans="1:17" x14ac:dyDescent="0.15">
      <c r="A123" s="47">
        <v>122</v>
      </c>
      <c r="B123" s="35">
        <v>128100</v>
      </c>
      <c r="C123" s="35" t="s">
        <v>48</v>
      </c>
      <c r="D123" s="35">
        <v>99.36</v>
      </c>
      <c r="E123" s="35">
        <v>25.76</v>
      </c>
      <c r="F123" s="50">
        <v>125.12</v>
      </c>
      <c r="G123" s="35">
        <v>0.04</v>
      </c>
      <c r="H123" s="39">
        <v>7.9820419999999999</v>
      </c>
      <c r="I123" s="39">
        <v>4.3174999999999999</v>
      </c>
      <c r="J123" s="39">
        <v>3.7919999999999998</v>
      </c>
      <c r="K123" s="41">
        <v>46093</v>
      </c>
      <c r="L123" s="35">
        <v>1.62</v>
      </c>
      <c r="M123" s="35">
        <v>79.010000000000005</v>
      </c>
      <c r="N123" s="39">
        <v>2129.1754690000002</v>
      </c>
      <c r="O123" s="43">
        <v>5.654852065030822E-3</v>
      </c>
      <c r="P123" s="35">
        <v>99.59</v>
      </c>
      <c r="Q123" s="35">
        <v>99.03</v>
      </c>
    </row>
    <row r="124" spans="1:17" x14ac:dyDescent="0.15">
      <c r="A124" s="47">
        <v>123</v>
      </c>
      <c r="B124" s="35">
        <v>127018</v>
      </c>
      <c r="C124" s="35" t="s">
        <v>1889</v>
      </c>
      <c r="D124" s="35">
        <v>116.538</v>
      </c>
      <c r="E124" s="35">
        <v>25.95</v>
      </c>
      <c r="F124" s="50">
        <v>142.488</v>
      </c>
      <c r="G124" s="35">
        <v>0.04</v>
      </c>
      <c r="H124" s="39">
        <v>56.310693999999991</v>
      </c>
      <c r="I124" s="39">
        <v>2.4007999999999998</v>
      </c>
      <c r="J124" s="39">
        <v>4.09</v>
      </c>
      <c r="K124" s="41">
        <v>46202</v>
      </c>
      <c r="L124" s="35">
        <v>4.55</v>
      </c>
      <c r="M124" s="35">
        <v>92.53</v>
      </c>
      <c r="N124" s="39">
        <v>4938.7114203000001</v>
      </c>
      <c r="O124" s="43">
        <v>8.397932816537541E-3</v>
      </c>
      <c r="P124" s="35">
        <v>117.075</v>
      </c>
      <c r="Q124" s="35">
        <v>116.1</v>
      </c>
    </row>
    <row r="125" spans="1:17" x14ac:dyDescent="0.15">
      <c r="A125" s="47">
        <v>124</v>
      </c>
      <c r="B125" s="35">
        <v>123071</v>
      </c>
      <c r="C125" s="35" t="s">
        <v>1890</v>
      </c>
      <c r="D125" s="35">
        <v>139.81</v>
      </c>
      <c r="E125" s="35">
        <v>25.95</v>
      </c>
      <c r="F125" s="50">
        <v>165.76</v>
      </c>
      <c r="G125" s="35">
        <v>-0.7</v>
      </c>
      <c r="H125" s="39">
        <v>6.9424130000000002</v>
      </c>
      <c r="I125" s="39">
        <v>-3.3472</v>
      </c>
      <c r="J125" s="39">
        <v>4.4029999999999996</v>
      </c>
      <c r="K125" s="41">
        <v>46316</v>
      </c>
      <c r="L125" s="35">
        <v>7.91</v>
      </c>
      <c r="M125" s="35">
        <v>111</v>
      </c>
      <c r="N125" s="39">
        <v>16521.494976100003</v>
      </c>
      <c r="O125" s="43">
        <v>2.9966823993697184E-2</v>
      </c>
      <c r="P125" s="35">
        <v>142.499</v>
      </c>
      <c r="Q125" s="35">
        <v>138.35300000000001</v>
      </c>
    </row>
    <row r="126" spans="1:17" x14ac:dyDescent="0.15">
      <c r="A126" s="47">
        <v>125</v>
      </c>
      <c r="B126" s="35">
        <v>110075</v>
      </c>
      <c r="C126" s="35" t="s">
        <v>1891</v>
      </c>
      <c r="D126" s="35">
        <v>127.64</v>
      </c>
      <c r="E126" s="35">
        <v>26.03</v>
      </c>
      <c r="F126" s="50">
        <v>153.67000000000002</v>
      </c>
      <c r="G126" s="35">
        <v>-0.13</v>
      </c>
      <c r="H126" s="39">
        <v>58.964399999999998</v>
      </c>
      <c r="I126" s="39">
        <v>-3.4155000000000002</v>
      </c>
      <c r="J126" s="39">
        <v>4.3860000000000001</v>
      </c>
      <c r="K126" s="41">
        <v>46310</v>
      </c>
      <c r="L126" s="35">
        <v>6.24</v>
      </c>
      <c r="M126" s="35">
        <v>101.28</v>
      </c>
      <c r="N126" s="39">
        <v>9469.0683000000008</v>
      </c>
      <c r="O126" s="43">
        <v>1.4447236180904438E-2</v>
      </c>
      <c r="P126" s="35">
        <v>129.19999999999999</v>
      </c>
      <c r="Q126" s="35">
        <v>127.36</v>
      </c>
    </row>
    <row r="127" spans="1:17" x14ac:dyDescent="0.15">
      <c r="A127" s="47">
        <v>126</v>
      </c>
      <c r="B127" s="35">
        <v>128139</v>
      </c>
      <c r="C127" s="35" t="s">
        <v>164</v>
      </c>
      <c r="D127" s="35">
        <v>121.56</v>
      </c>
      <c r="E127" s="35">
        <v>26.8</v>
      </c>
      <c r="F127" s="50">
        <v>148.36000000000001</v>
      </c>
      <c r="G127" s="35">
        <v>3.46</v>
      </c>
      <c r="H127" s="39">
        <v>6.4691850000000004</v>
      </c>
      <c r="I127" s="39">
        <v>-0.1789</v>
      </c>
      <c r="J127" s="39">
        <v>4.5149999999999997</v>
      </c>
      <c r="K127" s="41">
        <v>46357</v>
      </c>
      <c r="L127" s="35">
        <v>26.38</v>
      </c>
      <c r="M127" s="35">
        <v>95.87</v>
      </c>
      <c r="N127" s="39">
        <v>98487.689155499989</v>
      </c>
      <c r="O127" s="43">
        <v>8.9632158271544082E-2</v>
      </c>
      <c r="P127" s="35">
        <v>127.998</v>
      </c>
      <c r="Q127" s="35">
        <v>117.46899999999999</v>
      </c>
    </row>
    <row r="128" spans="1:17" x14ac:dyDescent="0.15">
      <c r="A128" s="47">
        <v>127</v>
      </c>
      <c r="B128" s="35">
        <v>123137</v>
      </c>
      <c r="C128" s="35" t="s">
        <v>786</v>
      </c>
      <c r="D128" s="35">
        <v>131.61000000000001</v>
      </c>
      <c r="E128" s="35">
        <v>27.13</v>
      </c>
      <c r="F128" s="50">
        <v>158.74</v>
      </c>
      <c r="G128" s="35">
        <v>0.55000000000000004</v>
      </c>
      <c r="H128" s="39">
        <v>8.9700000000000006</v>
      </c>
      <c r="I128" s="39">
        <v>-1.8937999999999999</v>
      </c>
      <c r="J128" s="39">
        <v>5.71</v>
      </c>
      <c r="K128" s="41">
        <v>46793</v>
      </c>
      <c r="L128" s="35">
        <v>151.35</v>
      </c>
      <c r="M128" s="35">
        <v>103.52</v>
      </c>
      <c r="N128" s="39">
        <v>6804.3612462000001</v>
      </c>
      <c r="O128" s="43">
        <v>1.6144495148982002E-2</v>
      </c>
      <c r="P128" s="35">
        <v>132.49</v>
      </c>
      <c r="Q128" s="35">
        <v>130.38499999999999</v>
      </c>
    </row>
    <row r="129" spans="1:17" x14ac:dyDescent="0.15">
      <c r="A129" s="47">
        <v>128</v>
      </c>
      <c r="B129" s="35">
        <v>113532</v>
      </c>
      <c r="C129" s="35" t="s">
        <v>202</v>
      </c>
      <c r="D129" s="35">
        <v>115.3</v>
      </c>
      <c r="E129" s="35">
        <v>27.14</v>
      </c>
      <c r="F129" s="50">
        <v>142.44</v>
      </c>
      <c r="G129" s="35">
        <v>0.45</v>
      </c>
      <c r="H129" s="39">
        <v>4.5855300000000003</v>
      </c>
      <c r="I129" s="39">
        <v>-1.2490000000000001</v>
      </c>
      <c r="J129" s="39">
        <v>2.8490000000000002</v>
      </c>
      <c r="K129" s="41">
        <v>45749</v>
      </c>
      <c r="L129" s="35">
        <v>7.63</v>
      </c>
      <c r="M129" s="35">
        <v>90.69</v>
      </c>
      <c r="N129" s="39">
        <v>2180.6295</v>
      </c>
      <c r="O129" s="43">
        <v>1.1703056768558982E-2</v>
      </c>
      <c r="P129" s="35">
        <v>115.84</v>
      </c>
      <c r="Q129" s="35">
        <v>114.5</v>
      </c>
    </row>
    <row r="130" spans="1:17" x14ac:dyDescent="0.15">
      <c r="A130" s="47">
        <v>129</v>
      </c>
      <c r="B130" s="35">
        <v>127020</v>
      </c>
      <c r="C130" s="35" t="s">
        <v>1892</v>
      </c>
      <c r="D130" s="35">
        <v>116.88</v>
      </c>
      <c r="E130" s="35">
        <v>27.33</v>
      </c>
      <c r="F130" s="50">
        <v>144.20999999999998</v>
      </c>
      <c r="G130" s="35">
        <v>0.67</v>
      </c>
      <c r="H130" s="39">
        <v>30.228006000000001</v>
      </c>
      <c r="I130" s="39">
        <v>-0.71479999999999999</v>
      </c>
      <c r="J130" s="39">
        <v>4.1479999999999997</v>
      </c>
      <c r="K130" s="41">
        <v>46223</v>
      </c>
      <c r="L130" s="35">
        <v>4.63</v>
      </c>
      <c r="M130" s="35">
        <v>91.79</v>
      </c>
      <c r="N130" s="39">
        <v>3983.8513114000002</v>
      </c>
      <c r="O130" s="43">
        <v>1.4301941346551064E-2</v>
      </c>
      <c r="P130" s="35">
        <v>117.87</v>
      </c>
      <c r="Q130" s="35">
        <v>116.208</v>
      </c>
    </row>
    <row r="131" spans="1:17" x14ac:dyDescent="0.15">
      <c r="A131" s="47">
        <v>130</v>
      </c>
      <c r="B131" s="35">
        <v>123112</v>
      </c>
      <c r="C131" s="35" t="s">
        <v>127</v>
      </c>
      <c r="D131" s="35">
        <v>125.6</v>
      </c>
      <c r="E131" s="35">
        <v>27.6</v>
      </c>
      <c r="F131" s="50">
        <v>153.19999999999999</v>
      </c>
      <c r="G131" s="35">
        <v>1.33</v>
      </c>
      <c r="H131" s="39">
        <v>2.4541909999999998</v>
      </c>
      <c r="I131" s="39">
        <v>-0.26829999999999998</v>
      </c>
      <c r="J131" s="39">
        <v>4.8659999999999997</v>
      </c>
      <c r="K131" s="41">
        <v>46485</v>
      </c>
      <c r="L131" s="35">
        <v>8.93</v>
      </c>
      <c r="M131" s="35">
        <v>98.43</v>
      </c>
      <c r="N131" s="39">
        <v>7919.4739816000001</v>
      </c>
      <c r="O131" s="43">
        <v>4.9624498251974548E-2</v>
      </c>
      <c r="P131" s="35">
        <v>129.69999999999999</v>
      </c>
      <c r="Q131" s="35">
        <v>123.568</v>
      </c>
    </row>
    <row r="132" spans="1:17" x14ac:dyDescent="0.15">
      <c r="A132" s="47">
        <v>131</v>
      </c>
      <c r="B132" s="35">
        <v>123084</v>
      </c>
      <c r="C132" s="35" t="s">
        <v>113</v>
      </c>
      <c r="D132" s="35">
        <v>140.46</v>
      </c>
      <c r="E132" s="35">
        <v>27.83</v>
      </c>
      <c r="F132" s="50">
        <v>168.29000000000002</v>
      </c>
      <c r="G132" s="35">
        <v>-1.85</v>
      </c>
      <c r="H132" s="39">
        <v>2.5422899999999999</v>
      </c>
      <c r="I132" s="39">
        <v>-3.2309999999999999</v>
      </c>
      <c r="J132" s="39">
        <v>4.54</v>
      </c>
      <c r="K132" s="41">
        <v>46366</v>
      </c>
      <c r="L132" s="35">
        <v>9.01</v>
      </c>
      <c r="M132" s="35">
        <v>109.88</v>
      </c>
      <c r="N132" s="39">
        <v>25698.3295024</v>
      </c>
      <c r="O132" s="43">
        <v>4.6892887228114175E-2</v>
      </c>
      <c r="P132" s="35">
        <v>145.404</v>
      </c>
      <c r="Q132" s="35">
        <v>138.89099999999999</v>
      </c>
    </row>
    <row r="133" spans="1:17" x14ac:dyDescent="0.15">
      <c r="A133" s="47">
        <v>132</v>
      </c>
      <c r="B133" s="35">
        <v>128127</v>
      </c>
      <c r="C133" s="35" t="s">
        <v>218</v>
      </c>
      <c r="D133" s="35">
        <v>111.38</v>
      </c>
      <c r="E133" s="35">
        <v>27.89</v>
      </c>
      <c r="F133" s="50">
        <v>139.26999999999998</v>
      </c>
      <c r="G133" s="35">
        <v>7.0000000000000007E-2</v>
      </c>
      <c r="H133" s="39">
        <v>9.4930299999999992</v>
      </c>
      <c r="I133" s="39">
        <v>1.9822</v>
      </c>
      <c r="J133" s="39">
        <v>4.2329999999999997</v>
      </c>
      <c r="K133" s="41">
        <v>46254</v>
      </c>
      <c r="L133" s="35">
        <v>4.88</v>
      </c>
      <c r="M133" s="35">
        <v>87.09</v>
      </c>
      <c r="N133" s="39">
        <v>3200.8511245999998</v>
      </c>
      <c r="O133" s="43">
        <v>9.653866955110852E-3</v>
      </c>
      <c r="P133" s="35">
        <v>112.011</v>
      </c>
      <c r="Q133" s="35">
        <v>110.94</v>
      </c>
    </row>
    <row r="134" spans="1:17" x14ac:dyDescent="0.15">
      <c r="A134" s="47">
        <v>133</v>
      </c>
      <c r="B134" s="35">
        <v>123121</v>
      </c>
      <c r="C134" s="35" t="s">
        <v>237</v>
      </c>
      <c r="D134" s="35">
        <v>145</v>
      </c>
      <c r="E134" s="35">
        <v>28.05</v>
      </c>
      <c r="F134" s="50">
        <v>173.05</v>
      </c>
      <c r="G134" s="35">
        <v>-0.34</v>
      </c>
      <c r="H134" s="39">
        <v>8.3956039999999987</v>
      </c>
      <c r="I134" s="39">
        <v>-3.4904999999999999</v>
      </c>
      <c r="J134" s="39">
        <v>5.1920000000000002</v>
      </c>
      <c r="K134" s="41">
        <v>46604</v>
      </c>
      <c r="L134" s="35">
        <v>192.24</v>
      </c>
      <c r="M134" s="35">
        <v>113.24</v>
      </c>
      <c r="N134" s="39">
        <v>5783.3264374</v>
      </c>
      <c r="O134" s="43">
        <v>3.0173306635365434E-2</v>
      </c>
      <c r="P134" s="35">
        <v>149.19999999999999</v>
      </c>
      <c r="Q134" s="35">
        <v>144.83000000000001</v>
      </c>
    </row>
    <row r="135" spans="1:17" x14ac:dyDescent="0.15">
      <c r="A135" s="47">
        <v>134</v>
      </c>
      <c r="B135" s="35">
        <v>128145</v>
      </c>
      <c r="C135" s="35" t="s">
        <v>105</v>
      </c>
      <c r="D135" s="35">
        <v>117.459</v>
      </c>
      <c r="E135" s="35">
        <v>28.26</v>
      </c>
      <c r="F135" s="50">
        <v>145.71899999999999</v>
      </c>
      <c r="G135" s="35">
        <v>-0.34</v>
      </c>
      <c r="H135" s="39">
        <v>3.7962769999999995</v>
      </c>
      <c r="I135" s="39">
        <v>-0.42780000000000001</v>
      </c>
      <c r="J135" s="39">
        <v>4.819</v>
      </c>
      <c r="K135" s="41">
        <v>46468</v>
      </c>
      <c r="L135" s="35">
        <v>13.66</v>
      </c>
      <c r="M135" s="35">
        <v>91.58</v>
      </c>
      <c r="N135" s="39">
        <v>840.67665209999996</v>
      </c>
      <c r="O135" s="43">
        <v>1.6686673647825997E-2</v>
      </c>
      <c r="P135" s="35">
        <v>119.419</v>
      </c>
      <c r="Q135" s="35">
        <v>117.459</v>
      </c>
    </row>
    <row r="136" spans="1:17" x14ac:dyDescent="0.15">
      <c r="A136" s="47">
        <v>135</v>
      </c>
      <c r="B136" s="35">
        <v>123123</v>
      </c>
      <c r="C136" s="35" t="s">
        <v>196</v>
      </c>
      <c r="D136" s="35">
        <v>133.30000000000001</v>
      </c>
      <c r="E136" s="35">
        <v>28.31</v>
      </c>
      <c r="F136" s="50">
        <v>161.61000000000001</v>
      </c>
      <c r="G136" s="35">
        <v>-0.15</v>
      </c>
      <c r="H136" s="39">
        <v>5.1604549999999998</v>
      </c>
      <c r="I136" s="39">
        <v>-1.8008</v>
      </c>
      <c r="J136" s="39">
        <v>5.2110000000000003</v>
      </c>
      <c r="K136" s="41">
        <v>46611</v>
      </c>
      <c r="L136" s="35">
        <v>51.41</v>
      </c>
      <c r="M136" s="35">
        <v>103.89</v>
      </c>
      <c r="N136" s="39">
        <v>2609.7031574000002</v>
      </c>
      <c r="O136" s="43">
        <v>2.2272385252069284E-2</v>
      </c>
      <c r="P136" s="35">
        <v>135.86000000000001</v>
      </c>
      <c r="Q136" s="35">
        <v>132.9</v>
      </c>
    </row>
    <row r="137" spans="1:17" x14ac:dyDescent="0.15">
      <c r="A137" s="47">
        <v>136</v>
      </c>
      <c r="B137" s="35">
        <v>123052</v>
      </c>
      <c r="C137" s="35" t="s">
        <v>1893</v>
      </c>
      <c r="D137" s="35">
        <v>141.80000000000001</v>
      </c>
      <c r="E137" s="35">
        <v>28.66</v>
      </c>
      <c r="F137" s="50">
        <v>170.46</v>
      </c>
      <c r="G137" s="35">
        <v>-1.25</v>
      </c>
      <c r="H137" s="39">
        <v>1.503663</v>
      </c>
      <c r="I137" s="39">
        <v>-2.8125</v>
      </c>
      <c r="J137" s="39">
        <v>4.0250000000000004</v>
      </c>
      <c r="K137" s="41">
        <v>46178</v>
      </c>
      <c r="L137" s="35">
        <v>7.05</v>
      </c>
      <c r="M137" s="35">
        <v>110.21</v>
      </c>
      <c r="N137" s="39">
        <v>16694.683781</v>
      </c>
      <c r="O137" s="43">
        <v>2.7812590720167649E-2</v>
      </c>
      <c r="P137" s="35">
        <v>145.15899999999999</v>
      </c>
      <c r="Q137" s="35">
        <v>141.23099999999999</v>
      </c>
    </row>
    <row r="138" spans="1:17" x14ac:dyDescent="0.15">
      <c r="A138" s="47">
        <v>137</v>
      </c>
      <c r="B138" s="35">
        <v>111000</v>
      </c>
      <c r="C138" s="35" t="s">
        <v>84</v>
      </c>
      <c r="D138" s="35">
        <v>141.80000000000001</v>
      </c>
      <c r="E138" s="35">
        <v>28.66</v>
      </c>
      <c r="F138" s="50">
        <v>170.46</v>
      </c>
      <c r="G138" s="35">
        <v>-1.25</v>
      </c>
      <c r="H138" s="39">
        <v>1.503663</v>
      </c>
      <c r="I138" s="39">
        <v>-2.8125</v>
      </c>
      <c r="J138" s="39">
        <v>4.0250000000000004</v>
      </c>
      <c r="K138" s="41">
        <v>46178</v>
      </c>
      <c r="L138" s="35">
        <v>7.05</v>
      </c>
      <c r="M138" s="35">
        <v>110.21</v>
      </c>
      <c r="N138" s="39">
        <v>16694.683781</v>
      </c>
      <c r="O138" s="43">
        <v>2.7812590720167649E-2</v>
      </c>
      <c r="P138" s="35">
        <v>145.15899999999999</v>
      </c>
      <c r="Q138" s="35">
        <v>141.23099999999999</v>
      </c>
    </row>
    <row r="139" spans="1:17" x14ac:dyDescent="0.15">
      <c r="A139" s="47">
        <v>138</v>
      </c>
      <c r="B139" s="35">
        <v>113598</v>
      </c>
      <c r="C139" s="35" t="s">
        <v>101</v>
      </c>
      <c r="D139" s="35">
        <v>124.14</v>
      </c>
      <c r="E139" s="35">
        <v>29.06</v>
      </c>
      <c r="F139" s="50">
        <v>153.19999999999999</v>
      </c>
      <c r="G139" s="35">
        <v>0.57999999999999996</v>
      </c>
      <c r="H139" s="39">
        <v>2.7526000000000002</v>
      </c>
      <c r="I139" s="39">
        <v>-0.66549999999999998</v>
      </c>
      <c r="J139" s="39">
        <v>4.1779999999999999</v>
      </c>
      <c r="K139" s="41">
        <v>46234</v>
      </c>
      <c r="L139" s="35">
        <v>9.6999999999999993</v>
      </c>
      <c r="M139" s="35">
        <v>96.19</v>
      </c>
      <c r="N139" s="39">
        <v>1335.0093999999999</v>
      </c>
      <c r="O139" s="43">
        <v>1.6385463984425665E-2</v>
      </c>
      <c r="P139" s="35">
        <v>125.3</v>
      </c>
      <c r="Q139" s="35">
        <v>123.28</v>
      </c>
    </row>
    <row r="140" spans="1:17" x14ac:dyDescent="0.15">
      <c r="A140" s="47">
        <v>139</v>
      </c>
      <c r="B140" s="35">
        <v>110052</v>
      </c>
      <c r="C140" s="35" t="s">
        <v>1894</v>
      </c>
      <c r="D140" s="35">
        <v>115.27</v>
      </c>
      <c r="E140" s="35">
        <v>29.1</v>
      </c>
      <c r="F140" s="50">
        <v>144.37</v>
      </c>
      <c r="G140" s="35">
        <v>-0.42</v>
      </c>
      <c r="H140" s="39">
        <v>14.21809</v>
      </c>
      <c r="I140" s="39">
        <v>0.45279999999999998</v>
      </c>
      <c r="J140" s="39">
        <v>2.7730000000000001</v>
      </c>
      <c r="K140" s="41">
        <v>45721</v>
      </c>
      <c r="L140" s="35">
        <v>7.94</v>
      </c>
      <c r="M140" s="35">
        <v>89.29</v>
      </c>
      <c r="N140" s="39">
        <v>6906.2960999999996</v>
      </c>
      <c r="O140" s="43">
        <v>9.6513346665507288E-3</v>
      </c>
      <c r="P140" s="35">
        <v>116.12</v>
      </c>
      <c r="Q140" s="35">
        <v>115.01</v>
      </c>
    </row>
    <row r="141" spans="1:17" x14ac:dyDescent="0.15">
      <c r="A141" s="47">
        <v>140</v>
      </c>
      <c r="B141" s="35">
        <v>128044</v>
      </c>
      <c r="C141" s="35" t="s">
        <v>131</v>
      </c>
      <c r="D141" s="35">
        <v>114.89</v>
      </c>
      <c r="E141" s="35">
        <v>29.21</v>
      </c>
      <c r="F141" s="50">
        <v>144.1</v>
      </c>
      <c r="G141" s="35">
        <v>-1.37</v>
      </c>
      <c r="H141" s="39">
        <v>6.5742390000000004</v>
      </c>
      <c r="I141" s="39">
        <v>-1.8560000000000001</v>
      </c>
      <c r="J141" s="39">
        <v>2.2160000000000002</v>
      </c>
      <c r="K141" s="41">
        <v>45518</v>
      </c>
      <c r="L141" s="35">
        <v>3.43</v>
      </c>
      <c r="M141" s="35">
        <v>88.92</v>
      </c>
      <c r="N141" s="39">
        <v>7280.4676349999991</v>
      </c>
      <c r="O141" s="43">
        <v>1.9340437034582617E-2</v>
      </c>
      <c r="P141" s="35">
        <v>116.9</v>
      </c>
      <c r="Q141" s="35">
        <v>114.682</v>
      </c>
    </row>
    <row r="142" spans="1:17" x14ac:dyDescent="0.15">
      <c r="A142" s="47">
        <v>141</v>
      </c>
      <c r="B142" s="35">
        <v>128132</v>
      </c>
      <c r="C142" s="35" t="s">
        <v>160</v>
      </c>
      <c r="D142" s="35">
        <v>122.18</v>
      </c>
      <c r="E142" s="35">
        <v>29.22</v>
      </c>
      <c r="F142" s="50">
        <v>151.4</v>
      </c>
      <c r="G142" s="35">
        <v>0.89</v>
      </c>
      <c r="H142" s="39">
        <v>8.4894379999999998</v>
      </c>
      <c r="I142" s="39">
        <v>-1.0411999999999999</v>
      </c>
      <c r="J142" s="39">
        <v>4.3040000000000003</v>
      </c>
      <c r="K142" s="41">
        <v>46280</v>
      </c>
      <c r="L142" s="35">
        <v>18.53</v>
      </c>
      <c r="M142" s="35">
        <v>94.55</v>
      </c>
      <c r="N142" s="39">
        <v>18993.115091899999</v>
      </c>
      <c r="O142" s="43">
        <v>2.4793388429752067E-2</v>
      </c>
      <c r="P142" s="35">
        <v>124</v>
      </c>
      <c r="Q142" s="35">
        <v>121</v>
      </c>
    </row>
    <row r="143" spans="1:17" x14ac:dyDescent="0.15">
      <c r="A143" s="47">
        <v>142</v>
      </c>
      <c r="B143" s="35">
        <v>113016</v>
      </c>
      <c r="C143" s="35" t="s">
        <v>1895</v>
      </c>
      <c r="D143" s="35">
        <v>360.03</v>
      </c>
      <c r="E143" s="35">
        <v>29.28</v>
      </c>
      <c r="F143" s="50">
        <v>389.30999999999995</v>
      </c>
      <c r="G143" s="35">
        <v>0.69</v>
      </c>
      <c r="H143" s="39">
        <v>2.0657800000000002</v>
      </c>
      <c r="I143" s="39">
        <v>-56.8386</v>
      </c>
      <c r="J143" s="39">
        <v>1.444</v>
      </c>
      <c r="K143" s="41">
        <v>45236</v>
      </c>
      <c r="L143" s="35">
        <v>16.96</v>
      </c>
      <c r="M143" s="35">
        <v>278.48</v>
      </c>
      <c r="N143" s="39">
        <v>255590.58660000001</v>
      </c>
      <c r="O143" s="43">
        <v>5.4817229074766063E-2</v>
      </c>
      <c r="P143" s="35">
        <v>375.42</v>
      </c>
      <c r="Q143" s="35">
        <v>355.91</v>
      </c>
    </row>
    <row r="144" spans="1:17" x14ac:dyDescent="0.15">
      <c r="A144" s="47">
        <v>143</v>
      </c>
      <c r="B144" s="35">
        <v>110070</v>
      </c>
      <c r="C144" s="35" t="s">
        <v>89</v>
      </c>
      <c r="D144" s="35">
        <v>123.24</v>
      </c>
      <c r="E144" s="35">
        <v>29.75</v>
      </c>
      <c r="F144" s="50">
        <v>152.99</v>
      </c>
      <c r="G144" s="35">
        <v>1.1200000000000001</v>
      </c>
      <c r="H144" s="39">
        <v>2.1708799999999999</v>
      </c>
      <c r="I144" s="39">
        <v>-1.4208000000000001</v>
      </c>
      <c r="J144" s="39">
        <v>3.879</v>
      </c>
      <c r="K144" s="41">
        <v>46125</v>
      </c>
      <c r="L144" s="35">
        <v>2.59</v>
      </c>
      <c r="M144" s="35">
        <v>94.98</v>
      </c>
      <c r="N144" s="39">
        <v>11818.4468</v>
      </c>
      <c r="O144" s="43">
        <v>4.4150291868782408E-2</v>
      </c>
      <c r="P144" s="35">
        <v>127</v>
      </c>
      <c r="Q144" s="35">
        <v>121.63</v>
      </c>
    </row>
    <row r="145" spans="1:17" x14ac:dyDescent="0.15">
      <c r="A145" s="47">
        <v>144</v>
      </c>
      <c r="B145" s="35">
        <v>127012</v>
      </c>
      <c r="C145" s="35" t="s">
        <v>1896</v>
      </c>
      <c r="D145" s="35">
        <v>115.82899999999999</v>
      </c>
      <c r="E145" s="35">
        <v>29.82</v>
      </c>
      <c r="F145" s="50">
        <v>145.649</v>
      </c>
      <c r="G145" s="35">
        <v>-7.0000000000000007E-2</v>
      </c>
      <c r="H145" s="39">
        <v>49.998221000000001</v>
      </c>
      <c r="I145" s="39">
        <v>-2.7008000000000001</v>
      </c>
      <c r="J145" s="39">
        <v>2.819</v>
      </c>
      <c r="K145" s="41">
        <v>45738</v>
      </c>
      <c r="L145" s="35">
        <v>8.6300000000000008</v>
      </c>
      <c r="M145" s="35">
        <v>89.22</v>
      </c>
      <c r="N145" s="39">
        <v>3228.3463021000002</v>
      </c>
      <c r="O145" s="43">
        <v>1.2129870129870098E-2</v>
      </c>
      <c r="P145" s="35">
        <v>116.901</v>
      </c>
      <c r="Q145" s="35">
        <v>115.5</v>
      </c>
    </row>
    <row r="146" spans="1:17" x14ac:dyDescent="0.15">
      <c r="A146" s="47">
        <v>145</v>
      </c>
      <c r="B146" s="35">
        <v>110063</v>
      </c>
      <c r="C146" s="35" t="s">
        <v>1897</v>
      </c>
      <c r="D146" s="35">
        <v>111.98</v>
      </c>
      <c r="E146" s="35">
        <v>29.91</v>
      </c>
      <c r="F146" s="50">
        <v>141.89000000000001</v>
      </c>
      <c r="G146" s="35">
        <v>-0.04</v>
      </c>
      <c r="H146" s="39">
        <v>18.444659999999999</v>
      </c>
      <c r="I146" s="39">
        <v>0.86739999999999995</v>
      </c>
      <c r="J146" s="39">
        <v>3.548</v>
      </c>
      <c r="K146" s="41">
        <v>46004</v>
      </c>
      <c r="L146" s="35">
        <v>3.26</v>
      </c>
      <c r="M146" s="35">
        <v>86.2</v>
      </c>
      <c r="N146" s="39">
        <v>233.67590000000001</v>
      </c>
      <c r="O146" s="43">
        <v>5.4547080389877444E-3</v>
      </c>
      <c r="P146" s="35">
        <v>112.44</v>
      </c>
      <c r="Q146" s="35">
        <v>111.83</v>
      </c>
    </row>
    <row r="147" spans="1:17" x14ac:dyDescent="0.15">
      <c r="A147" s="47">
        <v>146</v>
      </c>
      <c r="B147" s="35">
        <v>123046</v>
      </c>
      <c r="C147" s="35" t="s">
        <v>1898</v>
      </c>
      <c r="D147" s="35">
        <v>267</v>
      </c>
      <c r="E147" s="35">
        <v>30.31</v>
      </c>
      <c r="F147" s="50">
        <v>297.31</v>
      </c>
      <c r="G147" s="35">
        <v>0</v>
      </c>
      <c r="H147" s="39">
        <v>0.58544499999999999</v>
      </c>
      <c r="I147" s="39">
        <v>-19.728100000000001</v>
      </c>
      <c r="J147" s="39">
        <v>3.8109999999999999</v>
      </c>
      <c r="K147" s="41">
        <v>46100</v>
      </c>
      <c r="L147" s="35">
        <v>6.74</v>
      </c>
      <c r="M147" s="35">
        <v>204.9</v>
      </c>
      <c r="N147" s="39">
        <v>7049.7711540000009</v>
      </c>
      <c r="O147" s="43">
        <v>3.0737396538750999E-2</v>
      </c>
      <c r="P147" s="35">
        <v>273.97000000000003</v>
      </c>
      <c r="Q147" s="35">
        <v>265.8</v>
      </c>
    </row>
    <row r="148" spans="1:17" x14ac:dyDescent="0.15">
      <c r="A148" s="47">
        <v>147</v>
      </c>
      <c r="B148" s="35">
        <v>113057</v>
      </c>
      <c r="C148" s="35" t="s">
        <v>1899</v>
      </c>
      <c r="D148" s="35">
        <v>112.71</v>
      </c>
      <c r="E148" s="35">
        <v>30.56</v>
      </c>
      <c r="F148" s="50">
        <v>143.26999999999998</v>
      </c>
      <c r="G148" s="35">
        <v>-0.26</v>
      </c>
      <c r="H148" s="39">
        <v>78</v>
      </c>
      <c r="I148" s="39">
        <v>-0.4219</v>
      </c>
      <c r="J148" s="39">
        <v>5.827</v>
      </c>
      <c r="K148" s="41">
        <v>46836</v>
      </c>
      <c r="L148" s="35">
        <v>10.24</v>
      </c>
      <c r="M148" s="35">
        <v>86.33</v>
      </c>
      <c r="N148" s="39">
        <v>34878.522700000001</v>
      </c>
      <c r="O148" s="43">
        <v>1.1721871947429246E-2</v>
      </c>
      <c r="P148" s="35">
        <v>113.93</v>
      </c>
      <c r="Q148" s="35">
        <v>112.61</v>
      </c>
    </row>
    <row r="149" spans="1:17" x14ac:dyDescent="0.15">
      <c r="A149" s="47">
        <v>148</v>
      </c>
      <c r="B149" s="35">
        <v>128042</v>
      </c>
      <c r="C149" s="35" t="s">
        <v>207</v>
      </c>
      <c r="D149" s="35">
        <v>117.5</v>
      </c>
      <c r="E149" s="35">
        <v>30.57</v>
      </c>
      <c r="F149" s="50">
        <v>148.07</v>
      </c>
      <c r="G149" s="35">
        <v>0</v>
      </c>
      <c r="H149" s="39">
        <v>4.1551119999999999</v>
      </c>
      <c r="I149" s="39">
        <v>-0.88070000000000004</v>
      </c>
      <c r="J149" s="39">
        <v>2.1749999999999998</v>
      </c>
      <c r="K149" s="41">
        <v>45503</v>
      </c>
      <c r="L149" s="35">
        <v>10.09</v>
      </c>
      <c r="M149" s="35">
        <v>89.99</v>
      </c>
      <c r="N149" s="39">
        <v>1173.757533</v>
      </c>
      <c r="O149" s="43">
        <v>1.4183185235816785E-2</v>
      </c>
      <c r="P149" s="35">
        <v>118.7</v>
      </c>
      <c r="Q149" s="35">
        <v>117.04</v>
      </c>
    </row>
    <row r="150" spans="1:17" x14ac:dyDescent="0.15">
      <c r="A150" s="47">
        <v>149</v>
      </c>
      <c r="B150" s="35">
        <v>127033</v>
      </c>
      <c r="C150" s="35" t="s">
        <v>1900</v>
      </c>
      <c r="D150" s="35">
        <v>115.7</v>
      </c>
      <c r="E150" s="35">
        <v>30.6</v>
      </c>
      <c r="F150" s="50">
        <v>146.30000000000001</v>
      </c>
      <c r="G150" s="35">
        <v>0.82</v>
      </c>
      <c r="H150" s="39">
        <v>11.594339</v>
      </c>
      <c r="I150" s="39">
        <v>0.1971</v>
      </c>
      <c r="J150" s="39">
        <v>4.8879999999999999</v>
      </c>
      <c r="K150" s="41">
        <v>46493</v>
      </c>
      <c r="L150" s="35">
        <v>6.31</v>
      </c>
      <c r="M150" s="35">
        <v>88.59</v>
      </c>
      <c r="N150" s="39">
        <v>5979.9978977999999</v>
      </c>
      <c r="O150" s="43">
        <v>7.9546740237247844E-3</v>
      </c>
      <c r="P150" s="35">
        <v>115.815</v>
      </c>
      <c r="Q150" s="35">
        <v>114.901</v>
      </c>
    </row>
    <row r="151" spans="1:17" x14ac:dyDescent="0.15">
      <c r="A151" s="47">
        <v>150</v>
      </c>
      <c r="B151" s="35">
        <v>127035</v>
      </c>
      <c r="C151" s="35" t="s">
        <v>228</v>
      </c>
      <c r="D151" s="35">
        <v>114.6</v>
      </c>
      <c r="E151" s="35">
        <v>30.85</v>
      </c>
      <c r="F151" s="50">
        <v>145.44999999999999</v>
      </c>
      <c r="G151" s="35">
        <v>0.46</v>
      </c>
      <c r="H151" s="39">
        <v>6.2622609999999996</v>
      </c>
      <c r="I151" s="39">
        <v>-0.1113</v>
      </c>
      <c r="J151" s="39">
        <v>3.9969999999999999</v>
      </c>
      <c r="K151" s="41">
        <v>46168</v>
      </c>
      <c r="L151" s="35">
        <v>4.43</v>
      </c>
      <c r="M151" s="35">
        <v>87.58</v>
      </c>
      <c r="N151" s="39">
        <v>949.5805987</v>
      </c>
      <c r="O151" s="43">
        <v>1.1403508771929799E-2</v>
      </c>
      <c r="P151" s="35">
        <v>115.3</v>
      </c>
      <c r="Q151" s="35">
        <v>114</v>
      </c>
    </row>
    <row r="152" spans="1:17" x14ac:dyDescent="0.15">
      <c r="A152" s="47">
        <v>151</v>
      </c>
      <c r="B152" s="35">
        <v>110086</v>
      </c>
      <c r="C152" s="35" t="s">
        <v>1901</v>
      </c>
      <c r="D152" s="35">
        <v>117.39</v>
      </c>
      <c r="E152" s="35">
        <v>31.31</v>
      </c>
      <c r="F152" s="50">
        <v>148.69999999999999</v>
      </c>
      <c r="G152" s="35">
        <v>0</v>
      </c>
      <c r="H152" s="39">
        <v>20</v>
      </c>
      <c r="I152" s="39">
        <v>-4.2500000000000003E-2</v>
      </c>
      <c r="J152" s="39">
        <v>5.907</v>
      </c>
      <c r="K152" s="41">
        <v>46865</v>
      </c>
      <c r="L152" s="35">
        <v>5</v>
      </c>
      <c r="M152" s="35">
        <v>89.4</v>
      </c>
      <c r="N152" s="39">
        <v>11770.9455</v>
      </c>
      <c r="O152" s="43">
        <v>1.0274852298998103E-2</v>
      </c>
      <c r="P152" s="35">
        <v>117.99</v>
      </c>
      <c r="Q152" s="35">
        <v>116.79</v>
      </c>
    </row>
    <row r="153" spans="1:17" x14ac:dyDescent="0.15">
      <c r="A153" s="47">
        <v>152</v>
      </c>
      <c r="B153" s="35">
        <v>113048</v>
      </c>
      <c r="C153" s="35" t="s">
        <v>1902</v>
      </c>
      <c r="D153" s="35">
        <v>125.37</v>
      </c>
      <c r="E153" s="35">
        <v>31.39</v>
      </c>
      <c r="F153" s="50">
        <v>156.76</v>
      </c>
      <c r="G153" s="35">
        <v>-0.21</v>
      </c>
      <c r="H153" s="39">
        <v>22.965219999999999</v>
      </c>
      <c r="I153" s="39">
        <v>-1.4560999999999999</v>
      </c>
      <c r="J153" s="39">
        <v>4.907</v>
      </c>
      <c r="K153" s="41">
        <v>46500</v>
      </c>
      <c r="L153" s="35">
        <v>5.46</v>
      </c>
      <c r="M153" s="35">
        <v>95.42</v>
      </c>
      <c r="N153" s="39">
        <v>4469.5959999999995</v>
      </c>
      <c r="O153" s="43">
        <v>1.4399999999999977E-2</v>
      </c>
      <c r="P153" s="35">
        <v>126.8</v>
      </c>
      <c r="Q153" s="35">
        <v>125</v>
      </c>
    </row>
    <row r="154" spans="1:17" x14ac:dyDescent="0.15">
      <c r="A154" s="47">
        <v>153</v>
      </c>
      <c r="B154" s="35">
        <v>123127</v>
      </c>
      <c r="C154" s="35" t="s">
        <v>115</v>
      </c>
      <c r="D154" s="35">
        <v>121.55500000000001</v>
      </c>
      <c r="E154" s="35">
        <v>31.97</v>
      </c>
      <c r="F154" s="50">
        <v>153.52500000000001</v>
      </c>
      <c r="G154" s="35">
        <v>0.3</v>
      </c>
      <c r="H154" s="39">
        <v>3.9997820000000002</v>
      </c>
      <c r="I154" s="39">
        <v>-0.84460000000000002</v>
      </c>
      <c r="J154" s="39">
        <v>5.4249999999999998</v>
      </c>
      <c r="K154" s="41">
        <v>46689</v>
      </c>
      <c r="L154" s="35">
        <v>37</v>
      </c>
      <c r="M154" s="35">
        <v>92.11</v>
      </c>
      <c r="N154" s="39">
        <v>2311.6163840999998</v>
      </c>
      <c r="O154" s="43">
        <v>1.6983330716275009E-2</v>
      </c>
      <c r="P154" s="35">
        <v>123.056</v>
      </c>
      <c r="Q154" s="35">
        <v>121.001</v>
      </c>
    </row>
    <row r="155" spans="1:17" x14ac:dyDescent="0.15">
      <c r="A155" s="47">
        <v>154</v>
      </c>
      <c r="B155" s="35">
        <v>110047</v>
      </c>
      <c r="C155" s="35" t="s">
        <v>1903</v>
      </c>
      <c r="D155" s="35">
        <v>112.58</v>
      </c>
      <c r="E155" s="35">
        <v>32.21</v>
      </c>
      <c r="F155" s="50">
        <v>144.79</v>
      </c>
      <c r="G155" s="35">
        <v>0.28000000000000003</v>
      </c>
      <c r="H155" s="39">
        <v>22.461320000000001</v>
      </c>
      <c r="I155" s="39">
        <v>1.4086000000000001</v>
      </c>
      <c r="J155" s="39">
        <v>2.488</v>
      </c>
      <c r="K155" s="41">
        <v>45617</v>
      </c>
      <c r="L155" s="35">
        <v>3.3</v>
      </c>
      <c r="M155" s="35">
        <v>85.15</v>
      </c>
      <c r="N155" s="39">
        <v>332.19220000000001</v>
      </c>
      <c r="O155" s="43">
        <v>3.2903512672297938E-3</v>
      </c>
      <c r="P155" s="35">
        <v>112.82</v>
      </c>
      <c r="Q155" s="35">
        <v>112.45</v>
      </c>
    </row>
    <row r="156" spans="1:17" x14ac:dyDescent="0.15">
      <c r="A156" s="47">
        <v>155</v>
      </c>
      <c r="B156" s="35">
        <v>111001</v>
      </c>
      <c r="C156" s="35" t="s">
        <v>223</v>
      </c>
      <c r="D156" s="35">
        <v>112.58</v>
      </c>
      <c r="E156" s="35">
        <v>32.21</v>
      </c>
      <c r="F156" s="50">
        <v>144.79</v>
      </c>
      <c r="G156" s="35">
        <v>0.28000000000000003</v>
      </c>
      <c r="H156" s="39">
        <v>22.461320000000001</v>
      </c>
      <c r="I156" s="39">
        <v>1.4086000000000001</v>
      </c>
      <c r="J156" s="39">
        <v>2.488</v>
      </c>
      <c r="K156" s="41">
        <v>45617</v>
      </c>
      <c r="L156" s="35">
        <v>3.3</v>
      </c>
      <c r="M156" s="35">
        <v>85.15</v>
      </c>
      <c r="N156" s="39">
        <v>332.19220000000001</v>
      </c>
      <c r="O156" s="43">
        <v>3.2903512672297938E-3</v>
      </c>
      <c r="P156" s="35">
        <v>112.82</v>
      </c>
      <c r="Q156" s="35">
        <v>112.45</v>
      </c>
    </row>
    <row r="157" spans="1:17" x14ac:dyDescent="0.15">
      <c r="A157" s="47">
        <v>156</v>
      </c>
      <c r="B157" s="35">
        <v>128109</v>
      </c>
      <c r="C157" s="35" t="s">
        <v>1904</v>
      </c>
      <c r="D157" s="35">
        <v>124.9</v>
      </c>
      <c r="E157" s="35">
        <v>32.25</v>
      </c>
      <c r="F157" s="50">
        <v>157.15</v>
      </c>
      <c r="G157" s="35">
        <v>-1.41</v>
      </c>
      <c r="H157" s="39">
        <v>18.225552</v>
      </c>
      <c r="I157" s="39">
        <v>-2.0968</v>
      </c>
      <c r="J157" s="39">
        <v>4.0220000000000002</v>
      </c>
      <c r="K157" s="41">
        <v>46177</v>
      </c>
      <c r="L157" s="35">
        <v>8.6300000000000008</v>
      </c>
      <c r="M157" s="35">
        <v>94.44</v>
      </c>
      <c r="N157" s="39">
        <v>3485.739071</v>
      </c>
      <c r="O157" s="43">
        <v>3.8748964307835809E-2</v>
      </c>
      <c r="P157" s="35">
        <v>129.13</v>
      </c>
      <c r="Q157" s="35">
        <v>124.313</v>
      </c>
    </row>
    <row r="158" spans="1:17" x14ac:dyDescent="0.15">
      <c r="A158" s="47">
        <v>157</v>
      </c>
      <c r="B158" s="35">
        <v>113526</v>
      </c>
      <c r="C158" s="35" t="s">
        <v>144</v>
      </c>
      <c r="D158" s="35">
        <v>136.65</v>
      </c>
      <c r="E158" s="35">
        <v>32.619999999999997</v>
      </c>
      <c r="F158" s="50">
        <v>169.27</v>
      </c>
      <c r="G158" s="35">
        <v>-0.27</v>
      </c>
      <c r="H158" s="39">
        <v>1.92994</v>
      </c>
      <c r="I158" s="39">
        <v>-8.1652000000000005</v>
      </c>
      <c r="J158" s="39">
        <v>2.66</v>
      </c>
      <c r="K158" s="41">
        <v>45680</v>
      </c>
      <c r="L158" s="35">
        <v>5.92</v>
      </c>
      <c r="M158" s="35">
        <v>103.04</v>
      </c>
      <c r="N158" s="39">
        <v>6486.5834999999997</v>
      </c>
      <c r="O158" s="43">
        <v>1.0522442972774148E-2</v>
      </c>
      <c r="P158" s="35">
        <v>137.33000000000001</v>
      </c>
      <c r="Q158" s="35">
        <v>135.9</v>
      </c>
    </row>
    <row r="159" spans="1:17" x14ac:dyDescent="0.15">
      <c r="A159" s="47">
        <v>158</v>
      </c>
      <c r="B159" s="35">
        <v>113519</v>
      </c>
      <c r="C159" s="35" t="s">
        <v>174</v>
      </c>
      <c r="D159" s="35">
        <v>117.14</v>
      </c>
      <c r="E159" s="35">
        <v>33.46</v>
      </c>
      <c r="F159" s="50">
        <v>150.6</v>
      </c>
      <c r="G159" s="35">
        <v>-0.27</v>
      </c>
      <c r="H159" s="39">
        <v>6.9611200000000002</v>
      </c>
      <c r="I159" s="39">
        <v>0.40949999999999998</v>
      </c>
      <c r="J159" s="39">
        <v>2.4489999999999998</v>
      </c>
      <c r="K159" s="41">
        <v>45603</v>
      </c>
      <c r="L159" s="35">
        <v>11.04</v>
      </c>
      <c r="M159" s="35">
        <v>87.77</v>
      </c>
      <c r="N159" s="39">
        <v>10181.617200000001</v>
      </c>
      <c r="O159" s="43">
        <v>1.6632373113854577E-2</v>
      </c>
      <c r="P159" s="35">
        <v>118.58</v>
      </c>
      <c r="Q159" s="35">
        <v>116.64</v>
      </c>
    </row>
    <row r="160" spans="1:17" x14ac:dyDescent="0.15">
      <c r="A160" s="47">
        <v>159</v>
      </c>
      <c r="B160" s="35">
        <v>113502</v>
      </c>
      <c r="C160" s="35" t="s">
        <v>133</v>
      </c>
      <c r="D160" s="35">
        <v>128.11000000000001</v>
      </c>
      <c r="E160" s="35">
        <v>34.03</v>
      </c>
      <c r="F160" s="50">
        <v>162.14000000000001</v>
      </c>
      <c r="G160" s="35">
        <v>-0.49</v>
      </c>
      <c r="H160" s="39">
        <v>1.8429500000000001</v>
      </c>
      <c r="I160" s="39">
        <v>-10.1435</v>
      </c>
      <c r="J160" s="39">
        <v>1.4550000000000001</v>
      </c>
      <c r="K160" s="41">
        <v>45240</v>
      </c>
      <c r="L160" s="35">
        <v>44.36</v>
      </c>
      <c r="M160" s="35">
        <v>95.58</v>
      </c>
      <c r="N160" s="39">
        <v>11404.7294</v>
      </c>
      <c r="O160" s="43">
        <v>4.1696168672803062E-2</v>
      </c>
      <c r="P160" s="35">
        <v>132.41</v>
      </c>
      <c r="Q160" s="35">
        <v>127.11</v>
      </c>
    </row>
    <row r="161" spans="1:17" x14ac:dyDescent="0.15">
      <c r="A161" s="47">
        <v>160</v>
      </c>
      <c r="B161" s="35">
        <v>127032</v>
      </c>
      <c r="C161" s="35" t="s">
        <v>1905</v>
      </c>
      <c r="D161" s="35">
        <v>111.71</v>
      </c>
      <c r="E161" s="35">
        <v>34.4</v>
      </c>
      <c r="F161" s="50">
        <v>146.10999999999999</v>
      </c>
      <c r="G161" s="35">
        <v>-0.44</v>
      </c>
      <c r="H161" s="39">
        <v>49.995736999999998</v>
      </c>
      <c r="I161" s="39">
        <v>0.58889999999999998</v>
      </c>
      <c r="J161" s="39">
        <v>4.8769999999999998</v>
      </c>
      <c r="K161" s="41">
        <v>46489</v>
      </c>
      <c r="L161" s="35">
        <v>7.11</v>
      </c>
      <c r="M161" s="35">
        <v>83.12</v>
      </c>
      <c r="N161" s="39">
        <v>1226.6291194</v>
      </c>
      <c r="O161" s="43">
        <v>8.4418025889388022E-3</v>
      </c>
      <c r="P161" s="35">
        <v>112.649</v>
      </c>
      <c r="Q161" s="35">
        <v>111.706</v>
      </c>
    </row>
    <row r="162" spans="1:17" x14ac:dyDescent="0.15">
      <c r="A162" s="47">
        <v>161</v>
      </c>
      <c r="B162" s="35">
        <v>127031</v>
      </c>
      <c r="C162" s="35" t="s">
        <v>187</v>
      </c>
      <c r="D162" s="35">
        <v>125.108</v>
      </c>
      <c r="E162" s="35">
        <v>34.520000000000003</v>
      </c>
      <c r="F162" s="50">
        <v>159.62800000000001</v>
      </c>
      <c r="G162" s="35">
        <v>0.01</v>
      </c>
      <c r="H162" s="39">
        <v>9.9994130000000006</v>
      </c>
      <c r="I162" s="39">
        <v>-1.4369000000000001</v>
      </c>
      <c r="J162" s="39">
        <v>4.827</v>
      </c>
      <c r="K162" s="41">
        <v>46471</v>
      </c>
      <c r="L162" s="35">
        <v>17.57</v>
      </c>
      <c r="M162" s="35">
        <v>93</v>
      </c>
      <c r="N162" s="39">
        <v>1421.2382069</v>
      </c>
      <c r="O162" s="43">
        <v>1.6269936683497646E-2</v>
      </c>
      <c r="P162" s="35">
        <v>126.8</v>
      </c>
      <c r="Q162" s="35">
        <v>124.77</v>
      </c>
    </row>
    <row r="163" spans="1:17" x14ac:dyDescent="0.15">
      <c r="A163" s="47">
        <v>162</v>
      </c>
      <c r="B163" s="35">
        <v>123045</v>
      </c>
      <c r="C163" s="35" t="s">
        <v>109</v>
      </c>
      <c r="D163" s="35">
        <v>129.07900000000001</v>
      </c>
      <c r="E163" s="35">
        <v>34.71</v>
      </c>
      <c r="F163" s="50">
        <v>163.78900000000002</v>
      </c>
      <c r="G163" s="35">
        <v>-0.69</v>
      </c>
      <c r="H163" s="39">
        <v>1.6599440000000001</v>
      </c>
      <c r="I163" s="39">
        <v>-2.3410000000000002</v>
      </c>
      <c r="J163" s="39">
        <v>3.7919999999999998</v>
      </c>
      <c r="K163" s="41">
        <v>46093</v>
      </c>
      <c r="L163" s="35">
        <v>19.63</v>
      </c>
      <c r="M163" s="35">
        <v>95.82</v>
      </c>
      <c r="N163" s="39">
        <v>2539.8843409999999</v>
      </c>
      <c r="O163" s="43">
        <v>1.4891286616485295E-2</v>
      </c>
      <c r="P163" s="35">
        <v>130.65</v>
      </c>
      <c r="Q163" s="35">
        <v>128.733</v>
      </c>
    </row>
    <row r="164" spans="1:17" x14ac:dyDescent="0.15">
      <c r="A164" s="47">
        <v>163</v>
      </c>
      <c r="B164" s="35">
        <v>127042</v>
      </c>
      <c r="C164" s="35" t="s">
        <v>93</v>
      </c>
      <c r="D164" s="35">
        <v>111.483</v>
      </c>
      <c r="E164" s="35">
        <v>34.72</v>
      </c>
      <c r="F164" s="50">
        <v>146.203</v>
      </c>
      <c r="G164" s="35">
        <v>1.44</v>
      </c>
      <c r="H164" s="39">
        <v>7.4982860000000002</v>
      </c>
      <c r="I164" s="39">
        <v>0.96699999999999997</v>
      </c>
      <c r="J164" s="39">
        <v>5.2030000000000003</v>
      </c>
      <c r="K164" s="41">
        <v>46608</v>
      </c>
      <c r="L164" s="35">
        <v>4.87</v>
      </c>
      <c r="M164" s="35">
        <v>82.75</v>
      </c>
      <c r="N164" s="39">
        <v>3038.6359197000002</v>
      </c>
      <c r="O164" s="43">
        <v>1.7520044886065476E-2</v>
      </c>
      <c r="P164" s="35">
        <v>112.438</v>
      </c>
      <c r="Q164" s="35">
        <v>110.502</v>
      </c>
    </row>
    <row r="165" spans="1:17" x14ac:dyDescent="0.15">
      <c r="A165" s="47">
        <v>164</v>
      </c>
      <c r="B165" s="35">
        <v>128134</v>
      </c>
      <c r="C165" s="35" t="s">
        <v>1906</v>
      </c>
      <c r="D165" s="35">
        <v>124</v>
      </c>
      <c r="E165" s="35">
        <v>34.94</v>
      </c>
      <c r="F165" s="50">
        <v>158.94</v>
      </c>
      <c r="G165" s="35">
        <v>-0.71</v>
      </c>
      <c r="H165" s="39">
        <v>15.728267000000002</v>
      </c>
      <c r="I165" s="39">
        <v>-1.7813000000000001</v>
      </c>
      <c r="J165" s="39">
        <v>4.37</v>
      </c>
      <c r="K165" s="41">
        <v>46304</v>
      </c>
      <c r="L165" s="35">
        <v>43.51</v>
      </c>
      <c r="M165" s="35">
        <v>91.89</v>
      </c>
      <c r="N165" s="39">
        <v>545.37498499999992</v>
      </c>
      <c r="O165" s="43">
        <v>1.9027432636554022E-2</v>
      </c>
      <c r="P165" s="35">
        <v>125.48099999999999</v>
      </c>
      <c r="Q165" s="35">
        <v>123.13800000000001</v>
      </c>
    </row>
    <row r="166" spans="1:17" x14ac:dyDescent="0.15">
      <c r="A166" s="47">
        <v>165</v>
      </c>
      <c r="B166" s="35">
        <v>123087</v>
      </c>
      <c r="C166" s="35" t="s">
        <v>72</v>
      </c>
      <c r="D166" s="35">
        <v>117.819</v>
      </c>
      <c r="E166" s="35">
        <v>35.36</v>
      </c>
      <c r="F166" s="50">
        <v>153.179</v>
      </c>
      <c r="G166" s="35">
        <v>-0.54</v>
      </c>
      <c r="H166" s="39">
        <v>4.1892620000000003</v>
      </c>
      <c r="I166" s="39">
        <v>0.56200000000000006</v>
      </c>
      <c r="J166" s="39">
        <v>4.5529999999999999</v>
      </c>
      <c r="K166" s="41">
        <v>46371</v>
      </c>
      <c r="L166" s="35">
        <v>16.05</v>
      </c>
      <c r="M166" s="35">
        <v>87.04</v>
      </c>
      <c r="N166" s="39">
        <v>1244.5629465</v>
      </c>
      <c r="O166" s="43">
        <v>2.6483233018056735E-2</v>
      </c>
      <c r="P166" s="35">
        <v>119.38</v>
      </c>
      <c r="Q166" s="35">
        <v>116.3</v>
      </c>
    </row>
    <row r="167" spans="1:17" x14ac:dyDescent="0.15">
      <c r="A167" s="47">
        <v>166</v>
      </c>
      <c r="B167" s="35">
        <v>113049</v>
      </c>
      <c r="C167" s="35" t="s">
        <v>1907</v>
      </c>
      <c r="D167" s="35">
        <v>125.07</v>
      </c>
      <c r="E167" s="35">
        <v>35.979999999999997</v>
      </c>
      <c r="F167" s="50">
        <v>161.04999999999998</v>
      </c>
      <c r="G167" s="35">
        <v>-0.56000000000000005</v>
      </c>
      <c r="H167" s="39">
        <v>34.988169999999997</v>
      </c>
      <c r="I167" s="39">
        <v>-2.4586000000000001</v>
      </c>
      <c r="J167" s="39">
        <v>5.0380000000000003</v>
      </c>
      <c r="K167" s="41">
        <v>46548</v>
      </c>
      <c r="L167" s="35">
        <v>37.89</v>
      </c>
      <c r="M167" s="35">
        <v>91.98</v>
      </c>
      <c r="N167" s="39">
        <v>23071.779299999998</v>
      </c>
      <c r="O167" s="43">
        <v>3.2435049217363211E-2</v>
      </c>
      <c r="P167" s="35">
        <v>127.96</v>
      </c>
      <c r="Q167" s="35">
        <v>123.94</v>
      </c>
    </row>
    <row r="168" spans="1:17" x14ac:dyDescent="0.15">
      <c r="A168" s="47">
        <v>167</v>
      </c>
      <c r="B168" s="35">
        <v>128076</v>
      </c>
      <c r="C168" s="35" t="s">
        <v>130</v>
      </c>
      <c r="D168" s="35">
        <v>121.697</v>
      </c>
      <c r="E168" s="35">
        <v>36.08</v>
      </c>
      <c r="F168" s="50">
        <v>157.77699999999999</v>
      </c>
      <c r="G168" s="35">
        <v>1.2</v>
      </c>
      <c r="H168" s="39">
        <v>2.1374019999999998</v>
      </c>
      <c r="I168" s="39">
        <v>-1.8714</v>
      </c>
      <c r="J168" s="39">
        <v>3.3839999999999999</v>
      </c>
      <c r="K168" s="41">
        <v>45944</v>
      </c>
      <c r="L168" s="35">
        <v>14.66</v>
      </c>
      <c r="M168" s="35">
        <v>89.43</v>
      </c>
      <c r="N168" s="39">
        <v>2349.5651849999999</v>
      </c>
      <c r="O168" s="43">
        <v>2.8143990967356296E-2</v>
      </c>
      <c r="P168" s="35">
        <v>123.842</v>
      </c>
      <c r="Q168" s="35">
        <v>120.452</v>
      </c>
    </row>
    <row r="169" spans="1:17" x14ac:dyDescent="0.15">
      <c r="A169" s="47">
        <v>168</v>
      </c>
      <c r="B169" s="35">
        <v>123120</v>
      </c>
      <c r="C169" s="35" t="s">
        <v>239</v>
      </c>
      <c r="D169" s="35">
        <v>124.25</v>
      </c>
      <c r="E169" s="35">
        <v>36.18</v>
      </c>
      <c r="F169" s="50">
        <v>160.43</v>
      </c>
      <c r="G169" s="35">
        <v>-0.6</v>
      </c>
      <c r="H169" s="39">
        <v>7.9852639999999999</v>
      </c>
      <c r="I169" s="39">
        <v>-0.50539999999999996</v>
      </c>
      <c r="J169" s="39">
        <v>5.1749999999999998</v>
      </c>
      <c r="K169" s="41">
        <v>46598</v>
      </c>
      <c r="L169" s="35">
        <v>7.76</v>
      </c>
      <c r="M169" s="35">
        <v>91.24</v>
      </c>
      <c r="N169" s="39">
        <v>1292.1143336999999</v>
      </c>
      <c r="O169" s="43">
        <v>1.4956748658966795E-2</v>
      </c>
      <c r="P169" s="35">
        <v>126.015</v>
      </c>
      <c r="Q169" s="35">
        <v>124.158</v>
      </c>
    </row>
    <row r="170" spans="1:17" x14ac:dyDescent="0.15">
      <c r="A170" s="47">
        <v>169</v>
      </c>
      <c r="B170" s="35">
        <v>113636</v>
      </c>
      <c r="C170" s="35" t="s">
        <v>251</v>
      </c>
      <c r="D170" s="35">
        <v>124.18</v>
      </c>
      <c r="E170" s="35">
        <v>36.31</v>
      </c>
      <c r="F170" s="50">
        <v>160.49</v>
      </c>
      <c r="G170" s="35">
        <v>-0.01</v>
      </c>
      <c r="H170" s="39">
        <v>10</v>
      </c>
      <c r="I170" s="39">
        <v>-0.53459999999999996</v>
      </c>
      <c r="J170" s="39">
        <v>5.548</v>
      </c>
      <c r="K170" s="41">
        <v>46734</v>
      </c>
      <c r="L170" s="35">
        <v>36.049999999999997</v>
      </c>
      <c r="M170" s="35">
        <v>91.1</v>
      </c>
      <c r="N170" s="39">
        <v>1012.4943</v>
      </c>
      <c r="O170" s="43">
        <v>1.7553793884484723E-2</v>
      </c>
      <c r="P170" s="35">
        <v>125.79</v>
      </c>
      <c r="Q170" s="35">
        <v>123.62</v>
      </c>
    </row>
    <row r="171" spans="1:17" x14ac:dyDescent="0.15">
      <c r="A171" s="47">
        <v>170</v>
      </c>
      <c r="B171" s="35">
        <v>113549</v>
      </c>
      <c r="C171" s="35" t="s">
        <v>100</v>
      </c>
      <c r="D171" s="35">
        <v>115.45</v>
      </c>
      <c r="E171" s="35">
        <v>36.72</v>
      </c>
      <c r="F171" s="50">
        <v>152.17000000000002</v>
      </c>
      <c r="G171" s="35">
        <v>-0.49</v>
      </c>
      <c r="H171" s="39">
        <v>8.0473300000000005</v>
      </c>
      <c r="I171" s="39">
        <v>-0.29349999999999998</v>
      </c>
      <c r="J171" s="39">
        <v>3.4710000000000001</v>
      </c>
      <c r="K171" s="41">
        <v>45976</v>
      </c>
      <c r="L171" s="35">
        <v>9.06</v>
      </c>
      <c r="M171" s="35">
        <v>84.44</v>
      </c>
      <c r="N171" s="39">
        <v>1030.8357000000001</v>
      </c>
      <c r="O171" s="43">
        <v>1.5826086956521681E-2</v>
      </c>
      <c r="P171" s="35">
        <v>116.82</v>
      </c>
      <c r="Q171" s="35">
        <v>115</v>
      </c>
    </row>
    <row r="172" spans="1:17" x14ac:dyDescent="0.15">
      <c r="A172" s="47">
        <v>171</v>
      </c>
      <c r="B172" s="35">
        <v>113058</v>
      </c>
      <c r="C172" s="35" t="s">
        <v>1908</v>
      </c>
      <c r="D172" s="35">
        <v>112.02</v>
      </c>
      <c r="E172" s="35">
        <v>36.78</v>
      </c>
      <c r="F172" s="50">
        <v>148.80000000000001</v>
      </c>
      <c r="G172" s="35">
        <v>0.2</v>
      </c>
      <c r="H172" s="39">
        <v>20</v>
      </c>
      <c r="I172" s="39">
        <v>0.77439999999999998</v>
      </c>
      <c r="J172" s="39">
        <v>5.8440000000000003</v>
      </c>
      <c r="K172" s="41">
        <v>46842</v>
      </c>
      <c r="L172" s="35">
        <v>9.39</v>
      </c>
      <c r="M172" s="35">
        <v>81.900000000000006</v>
      </c>
      <c r="N172" s="39">
        <v>2618.9209999999998</v>
      </c>
      <c r="O172" s="43">
        <v>1.164144353899881E-2</v>
      </c>
      <c r="P172" s="35">
        <v>112.97</v>
      </c>
      <c r="Q172" s="35">
        <v>111.67</v>
      </c>
    </row>
    <row r="173" spans="1:17" x14ac:dyDescent="0.15">
      <c r="A173" s="47">
        <v>172</v>
      </c>
      <c r="B173" s="35">
        <v>113053</v>
      </c>
      <c r="C173" s="35" t="s">
        <v>1909</v>
      </c>
      <c r="D173" s="35">
        <v>124.58</v>
      </c>
      <c r="E173" s="35">
        <v>37.07</v>
      </c>
      <c r="F173" s="50">
        <v>161.65</v>
      </c>
      <c r="G173" s="35">
        <v>0.1</v>
      </c>
      <c r="H173" s="39">
        <v>70</v>
      </c>
      <c r="I173" s="39">
        <v>-2.0318000000000001</v>
      </c>
      <c r="J173" s="39">
        <v>5.6109999999999998</v>
      </c>
      <c r="K173" s="41">
        <v>46757</v>
      </c>
      <c r="L173" s="35">
        <v>82.65</v>
      </c>
      <c r="M173" s="35">
        <v>90.89</v>
      </c>
      <c r="N173" s="39">
        <v>11641.6996</v>
      </c>
      <c r="O173" s="43">
        <v>1.610305958132045E-2</v>
      </c>
      <c r="P173" s="35">
        <v>126.2</v>
      </c>
      <c r="Q173" s="35">
        <v>124.2</v>
      </c>
    </row>
    <row r="174" spans="1:17" x14ac:dyDescent="0.15">
      <c r="A174" s="47">
        <v>173</v>
      </c>
      <c r="B174" s="35">
        <v>127016</v>
      </c>
      <c r="C174" s="35" t="s">
        <v>1910</v>
      </c>
      <c r="D174" s="35">
        <v>112.985</v>
      </c>
      <c r="E174" s="35">
        <v>37.17</v>
      </c>
      <c r="F174" s="50">
        <v>150.155</v>
      </c>
      <c r="G174" s="35">
        <v>-0.04</v>
      </c>
      <c r="H174" s="39">
        <v>13.998576</v>
      </c>
      <c r="I174" s="39">
        <v>0.53469999999999995</v>
      </c>
      <c r="J174" s="39">
        <v>3.8679999999999999</v>
      </c>
      <c r="K174" s="41">
        <v>46121</v>
      </c>
      <c r="L174" s="35">
        <v>8.68</v>
      </c>
      <c r="M174" s="35">
        <v>82.37</v>
      </c>
      <c r="N174" s="39">
        <v>1112.1567778000001</v>
      </c>
      <c r="O174" s="43">
        <v>7.8328981723238059E-3</v>
      </c>
      <c r="P174" s="35">
        <v>113.87</v>
      </c>
      <c r="Q174" s="35">
        <v>112.985</v>
      </c>
    </row>
    <row r="175" spans="1:17" x14ac:dyDescent="0.15">
      <c r="A175" s="47">
        <v>174</v>
      </c>
      <c r="B175" s="35">
        <v>113024</v>
      </c>
      <c r="C175" s="35" t="s">
        <v>1911</v>
      </c>
      <c r="D175" s="35">
        <v>119.23</v>
      </c>
      <c r="E175" s="35">
        <v>37.68</v>
      </c>
      <c r="F175" s="50">
        <v>156.91</v>
      </c>
      <c r="G175" s="35">
        <v>0.38</v>
      </c>
      <c r="H175" s="39">
        <v>29.953800000000001</v>
      </c>
      <c r="I175" s="39">
        <v>-3.3458999999999999</v>
      </c>
      <c r="J175" s="39">
        <v>2.8660000000000001</v>
      </c>
      <c r="K175" s="41">
        <v>45755</v>
      </c>
      <c r="L175" s="35">
        <v>9.6999999999999993</v>
      </c>
      <c r="M175" s="35">
        <v>86.6</v>
      </c>
      <c r="N175" s="39">
        <v>3614.14</v>
      </c>
      <c r="O175" s="43">
        <v>1.1702306785654155E-2</v>
      </c>
      <c r="P175" s="35">
        <v>120.17</v>
      </c>
      <c r="Q175" s="35">
        <v>118.78</v>
      </c>
    </row>
    <row r="176" spans="1:17" x14ac:dyDescent="0.15">
      <c r="A176" s="47">
        <v>175</v>
      </c>
      <c r="B176" s="35">
        <v>128135</v>
      </c>
      <c r="C176" s="35" t="s">
        <v>1912</v>
      </c>
      <c r="D176" s="35">
        <v>122.88</v>
      </c>
      <c r="E176" s="35">
        <v>38.24</v>
      </c>
      <c r="F176" s="50">
        <v>161.12</v>
      </c>
      <c r="G176" s="35">
        <v>0.72</v>
      </c>
      <c r="H176" s="39">
        <v>13.398632999999998</v>
      </c>
      <c r="I176" s="39">
        <v>-0.56689999999999996</v>
      </c>
      <c r="J176" s="39">
        <v>4.4000000000000004</v>
      </c>
      <c r="K176" s="41">
        <v>46315</v>
      </c>
      <c r="L176" s="35">
        <v>60.03</v>
      </c>
      <c r="M176" s="35">
        <v>88.89</v>
      </c>
      <c r="N176" s="39">
        <v>1267.1687598999999</v>
      </c>
      <c r="O176" s="43">
        <v>1.1484823625922817E-2</v>
      </c>
      <c r="P176" s="35">
        <v>123.3</v>
      </c>
      <c r="Q176" s="35">
        <v>121.9</v>
      </c>
    </row>
    <row r="177" spans="1:17" x14ac:dyDescent="0.15">
      <c r="A177" s="47">
        <v>176</v>
      </c>
      <c r="B177" s="35">
        <v>123125</v>
      </c>
      <c r="C177" s="35" t="s">
        <v>225</v>
      </c>
      <c r="D177" s="35">
        <v>116.34</v>
      </c>
      <c r="E177" s="35">
        <v>38.340000000000003</v>
      </c>
      <c r="F177" s="50">
        <v>154.68</v>
      </c>
      <c r="G177" s="35">
        <v>0.28999999999999998</v>
      </c>
      <c r="H177" s="39">
        <v>8.9997199999999999</v>
      </c>
      <c r="I177" s="39">
        <v>-1.1919999999999999</v>
      </c>
      <c r="J177" s="39">
        <v>5.2789999999999999</v>
      </c>
      <c r="K177" s="41">
        <v>46636</v>
      </c>
      <c r="L177" s="35">
        <v>17.61</v>
      </c>
      <c r="M177" s="35">
        <v>84.1</v>
      </c>
      <c r="N177" s="39">
        <v>646.6450638</v>
      </c>
      <c r="O177" s="43">
        <v>1.4770881997933234E-2</v>
      </c>
      <c r="P177" s="35">
        <v>116.86</v>
      </c>
      <c r="Q177" s="35">
        <v>115.15900000000001</v>
      </c>
    </row>
    <row r="178" spans="1:17" x14ac:dyDescent="0.15">
      <c r="A178" s="47">
        <v>177</v>
      </c>
      <c r="B178" s="35">
        <v>127022</v>
      </c>
      <c r="C178" s="35" t="s">
        <v>1914</v>
      </c>
      <c r="D178" s="35">
        <v>120.8</v>
      </c>
      <c r="E178" s="35">
        <v>38.479999999999997</v>
      </c>
      <c r="F178" s="50">
        <v>159.28</v>
      </c>
      <c r="G178" s="35">
        <v>1.99</v>
      </c>
      <c r="H178" s="39">
        <v>19.998301000000001</v>
      </c>
      <c r="I178" s="39">
        <v>-2.41</v>
      </c>
      <c r="J178" s="39">
        <v>4.3890000000000002</v>
      </c>
      <c r="K178" s="41">
        <v>46311</v>
      </c>
      <c r="L178" s="35">
        <v>11.2</v>
      </c>
      <c r="M178" s="35">
        <v>87.23</v>
      </c>
      <c r="N178" s="39">
        <v>11810.452056900001</v>
      </c>
      <c r="O178" s="43">
        <v>3.4676359664840763E-2</v>
      </c>
      <c r="P178" s="35">
        <v>121.262</v>
      </c>
      <c r="Q178" s="35">
        <v>117.19799999999999</v>
      </c>
    </row>
    <row r="179" spans="1:17" x14ac:dyDescent="0.15">
      <c r="A179" s="47">
        <v>178</v>
      </c>
      <c r="B179" s="35">
        <v>118001</v>
      </c>
      <c r="C179" s="35" t="s">
        <v>243</v>
      </c>
      <c r="D179" s="35">
        <v>120.8</v>
      </c>
      <c r="E179" s="35">
        <v>38.479999999999997</v>
      </c>
      <c r="F179" s="50">
        <v>159.28</v>
      </c>
      <c r="G179" s="35">
        <v>1.99</v>
      </c>
      <c r="H179" s="39">
        <v>19.998301000000001</v>
      </c>
      <c r="I179" s="39">
        <v>-2.41</v>
      </c>
      <c r="J179" s="39">
        <v>4.3890000000000002</v>
      </c>
      <c r="K179" s="41">
        <v>46311</v>
      </c>
      <c r="L179" s="35">
        <v>11.2</v>
      </c>
      <c r="M179" s="35">
        <v>87.23</v>
      </c>
      <c r="N179" s="39">
        <v>11810.452056900001</v>
      </c>
      <c r="O179" s="43">
        <v>3.4676359664840763E-2</v>
      </c>
      <c r="P179" s="35">
        <v>121.262</v>
      </c>
      <c r="Q179" s="35">
        <v>117.19799999999999</v>
      </c>
    </row>
    <row r="180" spans="1:17" x14ac:dyDescent="0.15">
      <c r="A180" s="47">
        <v>179</v>
      </c>
      <c r="B180" s="35">
        <v>113047</v>
      </c>
      <c r="C180" s="35" t="s">
        <v>1915</v>
      </c>
      <c r="D180" s="35">
        <v>125.37</v>
      </c>
      <c r="E180" s="35">
        <v>38.79</v>
      </c>
      <c r="F180" s="50">
        <v>164.16</v>
      </c>
      <c r="G180" s="35">
        <v>-1.3</v>
      </c>
      <c r="H180" s="39">
        <v>14.98822</v>
      </c>
      <c r="I180" s="39">
        <v>-1.9931000000000001</v>
      </c>
      <c r="J180" s="39">
        <v>4.8680000000000003</v>
      </c>
      <c r="K180" s="41">
        <v>46486</v>
      </c>
      <c r="L180" s="35">
        <v>12</v>
      </c>
      <c r="M180" s="35">
        <v>90.33</v>
      </c>
      <c r="N180" s="39">
        <v>8807.7201999999997</v>
      </c>
      <c r="O180" s="43">
        <v>1.8066991765928457E-2</v>
      </c>
      <c r="P180" s="35">
        <v>127.35</v>
      </c>
      <c r="Q180" s="35">
        <v>125.09</v>
      </c>
    </row>
    <row r="181" spans="1:17" x14ac:dyDescent="0.15">
      <c r="A181" s="47">
        <v>180</v>
      </c>
      <c r="B181" s="35">
        <v>113030</v>
      </c>
      <c r="C181" s="35" t="s">
        <v>96</v>
      </c>
      <c r="D181" s="35">
        <v>120.72</v>
      </c>
      <c r="E181" s="35">
        <v>38.92</v>
      </c>
      <c r="F181" s="50">
        <v>159.63999999999999</v>
      </c>
      <c r="G181" s="35">
        <v>-0.54</v>
      </c>
      <c r="H181" s="39">
        <v>2.9510800000000001</v>
      </c>
      <c r="I181" s="39">
        <v>-1.0557000000000001</v>
      </c>
      <c r="J181" s="39">
        <v>3.5779999999999998</v>
      </c>
      <c r="K181" s="41">
        <v>46015</v>
      </c>
      <c r="L181" s="35">
        <v>4.96</v>
      </c>
      <c r="M181" s="35">
        <v>86.9</v>
      </c>
      <c r="N181" s="39">
        <v>610.69420000000002</v>
      </c>
      <c r="O181" s="43">
        <v>1.2375415282391984E-2</v>
      </c>
      <c r="P181" s="35">
        <v>121.89</v>
      </c>
      <c r="Q181" s="35">
        <v>120.4</v>
      </c>
    </row>
    <row r="182" spans="1:17" x14ac:dyDescent="0.15">
      <c r="A182" s="47">
        <v>181</v>
      </c>
      <c r="B182" s="35">
        <v>123082</v>
      </c>
      <c r="C182" s="35" t="s">
        <v>75</v>
      </c>
      <c r="D182" s="35">
        <v>114.273</v>
      </c>
      <c r="E182" s="35">
        <v>39.1</v>
      </c>
      <c r="F182" s="50">
        <v>153.37299999999999</v>
      </c>
      <c r="G182" s="35">
        <v>-0.54</v>
      </c>
      <c r="H182" s="39">
        <v>4.9930450000000004</v>
      </c>
      <c r="I182" s="39">
        <v>1.3374999999999999</v>
      </c>
      <c r="J182" s="39">
        <v>4.532</v>
      </c>
      <c r="K182" s="41">
        <v>46363</v>
      </c>
      <c r="L182" s="35">
        <v>8.74</v>
      </c>
      <c r="M182" s="35">
        <v>82.15</v>
      </c>
      <c r="N182" s="39">
        <v>1294.9334529999999</v>
      </c>
      <c r="O182" s="43">
        <v>9.5823160326586245E-3</v>
      </c>
      <c r="P182" s="35">
        <v>115.36799999999999</v>
      </c>
      <c r="Q182" s="35">
        <v>114.273</v>
      </c>
    </row>
    <row r="183" spans="1:17" x14ac:dyDescent="0.15">
      <c r="A183" s="47">
        <v>182</v>
      </c>
      <c r="B183" s="35">
        <v>128090</v>
      </c>
      <c r="C183" s="35" t="s">
        <v>122</v>
      </c>
      <c r="D183" s="35">
        <v>122.6</v>
      </c>
      <c r="E183" s="35">
        <v>39.409999999999997</v>
      </c>
      <c r="F183" s="50">
        <v>162.01</v>
      </c>
      <c r="G183" s="35">
        <v>0.34</v>
      </c>
      <c r="H183" s="39">
        <v>3.0994130000000002</v>
      </c>
      <c r="I183" s="39">
        <v>-1.9705999999999999</v>
      </c>
      <c r="J183" s="39">
        <v>3.5859999999999999</v>
      </c>
      <c r="K183" s="41">
        <v>46018</v>
      </c>
      <c r="L183" s="35">
        <v>4.2300000000000004</v>
      </c>
      <c r="M183" s="35">
        <v>87.94</v>
      </c>
      <c r="N183" s="39">
        <v>56545.083564</v>
      </c>
      <c r="O183" s="43">
        <v>3.2496645613116541E-2</v>
      </c>
      <c r="P183" s="35">
        <v>126.2</v>
      </c>
      <c r="Q183" s="35">
        <v>122.22799999999999</v>
      </c>
    </row>
    <row r="184" spans="1:17" x14ac:dyDescent="0.15">
      <c r="A184" s="47">
        <v>183</v>
      </c>
      <c r="B184" s="35">
        <v>113647</v>
      </c>
      <c r="C184" s="35" t="s">
        <v>1916</v>
      </c>
      <c r="D184" s="35">
        <v>113.96</v>
      </c>
      <c r="E184" s="35">
        <v>39.49</v>
      </c>
      <c r="F184" s="50">
        <v>153.44999999999999</v>
      </c>
      <c r="G184" s="35">
        <v>0.62</v>
      </c>
      <c r="H184" s="39">
        <v>15</v>
      </c>
      <c r="I184" s="39">
        <v>0.46870000000000001</v>
      </c>
      <c r="J184" s="39">
        <v>5.907</v>
      </c>
      <c r="K184" s="41">
        <v>46865</v>
      </c>
      <c r="L184" s="35">
        <v>10.220000000000001</v>
      </c>
      <c r="M184" s="35">
        <v>81.7</v>
      </c>
      <c r="N184" s="39">
        <v>4016.0551999999998</v>
      </c>
      <c r="O184" s="43">
        <v>6.7001675041875241E-3</v>
      </c>
      <c r="P184" s="35">
        <v>114.19</v>
      </c>
      <c r="Q184" s="35">
        <v>113.43</v>
      </c>
    </row>
    <row r="185" spans="1:17" x14ac:dyDescent="0.15">
      <c r="A185" s="47">
        <v>184</v>
      </c>
      <c r="B185" s="35">
        <v>123077</v>
      </c>
      <c r="C185" s="35" t="s">
        <v>216</v>
      </c>
      <c r="D185" s="35">
        <v>119.20399999999999</v>
      </c>
      <c r="E185" s="35">
        <v>39.5</v>
      </c>
      <c r="F185" s="50">
        <v>158.70400000000001</v>
      </c>
      <c r="G185" s="35">
        <v>-0.19</v>
      </c>
      <c r="H185" s="39">
        <v>9.3675669999999993</v>
      </c>
      <c r="I185" s="39">
        <v>1.1003000000000001</v>
      </c>
      <c r="J185" s="39">
        <v>4.4930000000000003</v>
      </c>
      <c r="K185" s="41">
        <v>46349</v>
      </c>
      <c r="L185" s="35">
        <v>9.69</v>
      </c>
      <c r="M185" s="35">
        <v>85.45</v>
      </c>
      <c r="N185" s="39">
        <v>2480.2819395000001</v>
      </c>
      <c r="O185" s="43">
        <v>1.7880850348710193E-2</v>
      </c>
      <c r="P185" s="35">
        <v>121.13800000000001</v>
      </c>
      <c r="Q185" s="35">
        <v>119.01</v>
      </c>
    </row>
    <row r="186" spans="1:17" x14ac:dyDescent="0.15">
      <c r="A186" s="47">
        <v>185</v>
      </c>
      <c r="B186" s="35">
        <v>128129</v>
      </c>
      <c r="C186" s="35" t="s">
        <v>1917</v>
      </c>
      <c r="D186" s="35">
        <v>103.5</v>
      </c>
      <c r="E186" s="35">
        <v>39.729999999999997</v>
      </c>
      <c r="F186" s="50">
        <v>143.22999999999999</v>
      </c>
      <c r="G186" s="35">
        <v>0.13</v>
      </c>
      <c r="H186" s="39">
        <v>49.997489999999999</v>
      </c>
      <c r="I186" s="39">
        <v>1.9078999999999999</v>
      </c>
      <c r="J186" s="39">
        <v>4.2469999999999999</v>
      </c>
      <c r="K186" s="41">
        <v>46259</v>
      </c>
      <c r="L186" s="35">
        <v>4.32</v>
      </c>
      <c r="M186" s="35">
        <v>74.069999999999993</v>
      </c>
      <c r="N186" s="39">
        <v>1021.5856</v>
      </c>
      <c r="O186" s="43">
        <v>2.3204323738989538E-3</v>
      </c>
      <c r="P186" s="35">
        <v>103.669</v>
      </c>
      <c r="Q186" s="35">
        <v>103.429</v>
      </c>
    </row>
    <row r="187" spans="1:17" x14ac:dyDescent="0.15">
      <c r="A187" s="47">
        <v>186</v>
      </c>
      <c r="B187" s="35">
        <v>128071</v>
      </c>
      <c r="C187" s="35" t="s">
        <v>88</v>
      </c>
      <c r="D187" s="35">
        <v>112.375</v>
      </c>
      <c r="E187" s="35">
        <v>39.799999999999997</v>
      </c>
      <c r="F187" s="50">
        <v>152.17500000000001</v>
      </c>
      <c r="G187" s="35">
        <v>0.09</v>
      </c>
      <c r="H187" s="39">
        <v>2.999336</v>
      </c>
      <c r="I187" s="39">
        <v>0.53959999999999997</v>
      </c>
      <c r="J187" s="39">
        <v>3.222</v>
      </c>
      <c r="K187" s="41">
        <v>45885</v>
      </c>
      <c r="L187" s="35">
        <v>4.18</v>
      </c>
      <c r="M187" s="35">
        <v>80.38</v>
      </c>
      <c r="N187" s="39">
        <v>265.80748199999999</v>
      </c>
      <c r="O187" s="43">
        <v>6.0062472110665047E-3</v>
      </c>
      <c r="P187" s="35">
        <v>112.723</v>
      </c>
      <c r="Q187" s="35">
        <v>112.05</v>
      </c>
    </row>
    <row r="188" spans="1:17" x14ac:dyDescent="0.15">
      <c r="A188" s="47">
        <v>187</v>
      </c>
      <c r="B188" s="35">
        <v>128144</v>
      </c>
      <c r="C188" s="35" t="s">
        <v>227</v>
      </c>
      <c r="D188" s="35">
        <v>118.125</v>
      </c>
      <c r="E188" s="35">
        <v>40.29</v>
      </c>
      <c r="F188" s="50">
        <v>158.41499999999999</v>
      </c>
      <c r="G188" s="35">
        <v>0.09</v>
      </c>
      <c r="H188" s="39">
        <v>9.7941780000000005</v>
      </c>
      <c r="I188" s="39">
        <v>-0.79120000000000001</v>
      </c>
      <c r="J188" s="39">
        <v>4.7619999999999996</v>
      </c>
      <c r="K188" s="41">
        <v>46447</v>
      </c>
      <c r="L188" s="35">
        <v>11.2</v>
      </c>
      <c r="M188" s="35">
        <v>84.2</v>
      </c>
      <c r="N188" s="39">
        <v>851.05540680000001</v>
      </c>
      <c r="O188" s="43">
        <v>1.0212954595829511E-2</v>
      </c>
      <c r="P188" s="35">
        <v>118.5</v>
      </c>
      <c r="Q188" s="35">
        <v>117.30200000000001</v>
      </c>
    </row>
    <row r="189" spans="1:17" x14ac:dyDescent="0.15">
      <c r="A189" s="47">
        <v>188</v>
      </c>
      <c r="B189" s="35">
        <v>123035</v>
      </c>
      <c r="C189" s="35" t="s">
        <v>124</v>
      </c>
      <c r="D189" s="35">
        <v>122.7</v>
      </c>
      <c r="E189" s="35">
        <v>40.369999999999997</v>
      </c>
      <c r="F189" s="50">
        <v>163.07</v>
      </c>
      <c r="G189" s="35">
        <v>-1.05</v>
      </c>
      <c r="H189" s="39">
        <v>7.9877429999999991</v>
      </c>
      <c r="I189" s="39">
        <v>-2.0615000000000001</v>
      </c>
      <c r="J189" s="39">
        <v>3.468</v>
      </c>
      <c r="K189" s="41">
        <v>45975</v>
      </c>
      <c r="L189" s="35">
        <v>6.91</v>
      </c>
      <c r="M189" s="35">
        <v>87.41</v>
      </c>
      <c r="N189" s="39">
        <v>986.29654260000007</v>
      </c>
      <c r="O189" s="43">
        <v>1.8342857142857143E-2</v>
      </c>
      <c r="P189" s="35">
        <v>124.747</v>
      </c>
      <c r="Q189" s="35">
        <v>122.5</v>
      </c>
    </row>
    <row r="190" spans="1:17" x14ac:dyDescent="0.15">
      <c r="A190" s="47">
        <v>189</v>
      </c>
      <c r="B190" s="35">
        <v>113013</v>
      </c>
      <c r="C190" s="35" t="s">
        <v>1918</v>
      </c>
      <c r="D190" s="35">
        <v>110.24</v>
      </c>
      <c r="E190" s="35">
        <v>40.950000000000003</v>
      </c>
      <c r="F190" s="50">
        <v>151.19</v>
      </c>
      <c r="G190" s="35">
        <v>0.42</v>
      </c>
      <c r="H190" s="39">
        <v>69.901780000000002</v>
      </c>
      <c r="I190" s="39">
        <v>-2.8517999999999999</v>
      </c>
      <c r="J190" s="39">
        <v>1.1100000000000001</v>
      </c>
      <c r="K190" s="41">
        <v>45114</v>
      </c>
      <c r="L190" s="35">
        <v>18.45</v>
      </c>
      <c r="M190" s="35">
        <v>78.209999999999994</v>
      </c>
      <c r="N190" s="39">
        <v>7351.8567000000003</v>
      </c>
      <c r="O190" s="43">
        <v>6.6405894660237401E-3</v>
      </c>
      <c r="P190" s="35">
        <v>110.66</v>
      </c>
      <c r="Q190" s="35">
        <v>109.93</v>
      </c>
    </row>
    <row r="191" spans="1:17" x14ac:dyDescent="0.15">
      <c r="A191" s="47">
        <v>190</v>
      </c>
      <c r="B191" s="35">
        <v>113505</v>
      </c>
      <c r="C191" s="35" t="s">
        <v>242</v>
      </c>
      <c r="D191" s="35">
        <v>114.52</v>
      </c>
      <c r="E191" s="35">
        <v>41.02</v>
      </c>
      <c r="F191" s="50">
        <v>155.54</v>
      </c>
      <c r="G191" s="35">
        <v>-1.07</v>
      </c>
      <c r="H191" s="39">
        <v>7.4973799999999997</v>
      </c>
      <c r="I191" s="39">
        <v>-2.3605999999999998</v>
      </c>
      <c r="J191" s="39">
        <v>1.7749999999999999</v>
      </c>
      <c r="K191" s="41">
        <v>45357</v>
      </c>
      <c r="L191" s="35">
        <v>7.08</v>
      </c>
      <c r="M191" s="35">
        <v>81.209999999999994</v>
      </c>
      <c r="N191" s="39">
        <v>1530.9376999999999</v>
      </c>
      <c r="O191" s="43">
        <v>2.0877192982456102E-2</v>
      </c>
      <c r="P191" s="35">
        <v>116.38</v>
      </c>
      <c r="Q191" s="35">
        <v>114</v>
      </c>
    </row>
    <row r="192" spans="1:17" x14ac:dyDescent="0.15">
      <c r="A192" s="47">
        <v>191</v>
      </c>
      <c r="B192" s="35">
        <v>113052</v>
      </c>
      <c r="C192" s="35" t="s">
        <v>1919</v>
      </c>
      <c r="D192" s="35">
        <v>109.12</v>
      </c>
      <c r="E192" s="35">
        <v>41.16</v>
      </c>
      <c r="F192" s="50">
        <v>150.28</v>
      </c>
      <c r="G192" s="35">
        <v>0.04</v>
      </c>
      <c r="H192" s="39">
        <v>500</v>
      </c>
      <c r="I192" s="39">
        <v>0.86399999999999999</v>
      </c>
      <c r="J192" s="39">
        <v>5.5860000000000003</v>
      </c>
      <c r="K192" s="41">
        <v>46748</v>
      </c>
      <c r="L192" s="35">
        <v>25.51</v>
      </c>
      <c r="M192" s="35">
        <v>77.3</v>
      </c>
      <c r="N192" s="39">
        <v>39649.611100000002</v>
      </c>
      <c r="O192" s="43">
        <v>3.2083600696671951E-3</v>
      </c>
      <c r="P192" s="35">
        <v>109.44</v>
      </c>
      <c r="Q192" s="35">
        <v>109.09</v>
      </c>
    </row>
    <row r="193" spans="1:17" x14ac:dyDescent="0.15">
      <c r="A193" s="47">
        <v>192</v>
      </c>
      <c r="B193" s="35">
        <v>113609</v>
      </c>
      <c r="C193" s="35" t="s">
        <v>83</v>
      </c>
      <c r="D193" s="35">
        <v>109.51</v>
      </c>
      <c r="E193" s="35">
        <v>41.21</v>
      </c>
      <c r="F193" s="50">
        <v>150.72</v>
      </c>
      <c r="G193" s="35">
        <v>0.06</v>
      </c>
      <c r="H193" s="39">
        <v>7.3419299999999996</v>
      </c>
      <c r="I193" s="39">
        <v>2.1154000000000002</v>
      </c>
      <c r="J193" s="39">
        <v>4.4960000000000004</v>
      </c>
      <c r="K193" s="41">
        <v>46350</v>
      </c>
      <c r="L193" s="35">
        <v>16.48</v>
      </c>
      <c r="M193" s="35">
        <v>77.55</v>
      </c>
      <c r="N193" s="39">
        <v>811.25660000000005</v>
      </c>
      <c r="O193" s="43">
        <v>9.356939730299935E-3</v>
      </c>
      <c r="P193" s="35">
        <v>110.03</v>
      </c>
      <c r="Q193" s="35">
        <v>109.01</v>
      </c>
    </row>
    <row r="194" spans="1:17" x14ac:dyDescent="0.15">
      <c r="A194" s="47">
        <v>193</v>
      </c>
      <c r="B194" s="35">
        <v>123022</v>
      </c>
      <c r="C194" s="35" t="s">
        <v>1920</v>
      </c>
      <c r="D194" s="35">
        <v>150.5</v>
      </c>
      <c r="E194" s="35">
        <v>41.38</v>
      </c>
      <c r="F194" s="50">
        <v>191.88</v>
      </c>
      <c r="G194" s="35">
        <v>-2.15</v>
      </c>
      <c r="H194" s="39">
        <v>2.5627830000000005</v>
      </c>
      <c r="I194" s="39">
        <v>-9.7361000000000004</v>
      </c>
      <c r="J194" s="39">
        <v>2.8079999999999998</v>
      </c>
      <c r="K194" s="41">
        <v>45734</v>
      </c>
      <c r="L194" s="35">
        <v>6.05</v>
      </c>
      <c r="M194" s="35">
        <v>106.45</v>
      </c>
      <c r="N194" s="39">
        <v>48488.673641100002</v>
      </c>
      <c r="O194" s="43">
        <v>6.7427288880576045E-2</v>
      </c>
      <c r="P194" s="35">
        <v>159.79599999999999</v>
      </c>
      <c r="Q194" s="35">
        <v>149.702</v>
      </c>
    </row>
    <row r="195" spans="1:17" x14ac:dyDescent="0.15">
      <c r="A195" s="47">
        <v>194</v>
      </c>
      <c r="B195" s="35">
        <v>127021</v>
      </c>
      <c r="C195" s="35" t="s">
        <v>220</v>
      </c>
      <c r="D195" s="35">
        <v>114.199</v>
      </c>
      <c r="E195" s="35">
        <v>41.41</v>
      </c>
      <c r="F195" s="50">
        <v>155.60899999999998</v>
      </c>
      <c r="G195" s="35">
        <v>0.34</v>
      </c>
      <c r="H195" s="39">
        <v>4.1596460000000004</v>
      </c>
      <c r="I195" s="39">
        <v>-0.33389999999999997</v>
      </c>
      <c r="J195" s="39">
        <v>3.1970000000000001</v>
      </c>
      <c r="K195" s="41">
        <v>45876</v>
      </c>
      <c r="L195" s="35">
        <v>7.33</v>
      </c>
      <c r="M195" s="35">
        <v>80.760000000000005</v>
      </c>
      <c r="N195" s="39">
        <v>8153.3530618000004</v>
      </c>
      <c r="O195" s="43">
        <v>1.4875451104656261E-2</v>
      </c>
      <c r="P195" s="35">
        <v>115.3</v>
      </c>
      <c r="Q195" s="35">
        <v>113.61</v>
      </c>
    </row>
    <row r="196" spans="1:17" x14ac:dyDescent="0.15">
      <c r="A196" s="47">
        <v>195</v>
      </c>
      <c r="B196" s="35">
        <v>128033</v>
      </c>
      <c r="C196" s="35" t="s">
        <v>69</v>
      </c>
      <c r="D196" s="35">
        <v>116.6</v>
      </c>
      <c r="E196" s="35">
        <v>41.42</v>
      </c>
      <c r="F196" s="50">
        <v>158.01999999999998</v>
      </c>
      <c r="G196" s="35">
        <v>-0.22</v>
      </c>
      <c r="H196" s="39">
        <v>2.973023</v>
      </c>
      <c r="I196" s="39">
        <v>-5.0355999999999996</v>
      </c>
      <c r="J196" s="39">
        <v>1.5840000000000001</v>
      </c>
      <c r="K196" s="41">
        <v>45287</v>
      </c>
      <c r="L196" s="35">
        <v>8.26</v>
      </c>
      <c r="M196" s="35">
        <v>82.45</v>
      </c>
      <c r="N196" s="39">
        <v>1680.3286329999999</v>
      </c>
      <c r="O196" s="43">
        <v>1.1093911248709941E-2</v>
      </c>
      <c r="P196" s="35">
        <v>117.57</v>
      </c>
      <c r="Q196" s="35">
        <v>116.28</v>
      </c>
    </row>
    <row r="197" spans="1:17" x14ac:dyDescent="0.15">
      <c r="A197" s="47">
        <v>196</v>
      </c>
      <c r="B197" s="35">
        <v>127005</v>
      </c>
      <c r="C197" s="35" t="s">
        <v>1921</v>
      </c>
      <c r="D197" s="35">
        <v>112.026</v>
      </c>
      <c r="E197" s="35">
        <v>41.63</v>
      </c>
      <c r="F197" s="50">
        <v>153.65600000000001</v>
      </c>
      <c r="G197" s="35">
        <v>-0.33</v>
      </c>
      <c r="H197" s="39">
        <v>49.964184000000003</v>
      </c>
      <c r="I197" s="39">
        <v>-2.6514000000000002</v>
      </c>
      <c r="J197" s="39">
        <v>1.792</v>
      </c>
      <c r="K197" s="41">
        <v>45363</v>
      </c>
      <c r="L197" s="35">
        <v>7.13</v>
      </c>
      <c r="M197" s="35">
        <v>79.099999999999994</v>
      </c>
      <c r="N197" s="39">
        <v>3334.0816543999999</v>
      </c>
      <c r="O197" s="43">
        <v>1.5178571428571454E-2</v>
      </c>
      <c r="P197" s="35">
        <v>113.7</v>
      </c>
      <c r="Q197" s="35">
        <v>112</v>
      </c>
    </row>
    <row r="198" spans="1:17" x14ac:dyDescent="0.15">
      <c r="A198" s="47">
        <v>197</v>
      </c>
      <c r="B198" s="35">
        <v>127034</v>
      </c>
      <c r="C198" s="35" t="s">
        <v>204</v>
      </c>
      <c r="D198" s="35">
        <v>107.70099999999999</v>
      </c>
      <c r="E198" s="35">
        <v>41.99</v>
      </c>
      <c r="F198" s="50">
        <v>149.691</v>
      </c>
      <c r="G198" s="35">
        <v>-1.27</v>
      </c>
      <c r="H198" s="39">
        <v>7.1178169999999996</v>
      </c>
      <c r="I198" s="39">
        <v>2.0139</v>
      </c>
      <c r="J198" s="39">
        <v>4.9260000000000002</v>
      </c>
      <c r="K198" s="41">
        <v>46507</v>
      </c>
      <c r="L198" s="35">
        <v>12.38</v>
      </c>
      <c r="M198" s="35">
        <v>75.849999999999994</v>
      </c>
      <c r="N198" s="39">
        <v>13364.0928024</v>
      </c>
      <c r="O198" s="43">
        <v>1.7813599389460765E-2</v>
      </c>
      <c r="P198" s="35">
        <v>109.36</v>
      </c>
      <c r="Q198" s="35">
        <v>107.446</v>
      </c>
    </row>
    <row r="199" spans="1:17" x14ac:dyDescent="0.15">
      <c r="A199" s="47">
        <v>198</v>
      </c>
      <c r="B199" s="35">
        <v>127019</v>
      </c>
      <c r="C199" s="35" t="s">
        <v>176</v>
      </c>
      <c r="D199" s="35">
        <v>109.6</v>
      </c>
      <c r="E199" s="35">
        <v>42.3</v>
      </c>
      <c r="F199" s="50">
        <v>151.89999999999998</v>
      </c>
      <c r="G199" s="35">
        <v>0.24</v>
      </c>
      <c r="H199" s="39">
        <v>8.4978960000000008</v>
      </c>
      <c r="I199" s="39">
        <v>1.151</v>
      </c>
      <c r="J199" s="39">
        <v>4.1340000000000003</v>
      </c>
      <c r="K199" s="41">
        <v>46218</v>
      </c>
      <c r="L199" s="35">
        <v>21.06</v>
      </c>
      <c r="M199" s="35">
        <v>77.02</v>
      </c>
      <c r="N199" s="39">
        <v>3418.8401280000003</v>
      </c>
      <c r="O199" s="43">
        <v>9.2660550458716073E-3</v>
      </c>
      <c r="P199" s="35">
        <v>110.01</v>
      </c>
      <c r="Q199" s="35">
        <v>109</v>
      </c>
    </row>
    <row r="200" spans="1:17" x14ac:dyDescent="0.15">
      <c r="A200" s="47">
        <v>199</v>
      </c>
      <c r="B200" s="35">
        <v>113642</v>
      </c>
      <c r="C200" s="35" t="s">
        <v>1922</v>
      </c>
      <c r="D200" s="35">
        <v>131.94999999999999</v>
      </c>
      <c r="E200" s="35">
        <v>42.37</v>
      </c>
      <c r="F200" s="50">
        <v>174.32</v>
      </c>
      <c r="G200" s="35">
        <v>-0.74</v>
      </c>
      <c r="H200" s="39">
        <v>24.7</v>
      </c>
      <c r="I200" s="39">
        <v>-2.0825</v>
      </c>
      <c r="J200" s="39">
        <v>5.7640000000000002</v>
      </c>
      <c r="K200" s="41">
        <v>46813</v>
      </c>
      <c r="L200" s="35">
        <v>145.66</v>
      </c>
      <c r="M200" s="35">
        <v>92.68</v>
      </c>
      <c r="N200" s="39">
        <v>8994.6584999999995</v>
      </c>
      <c r="O200" s="43">
        <v>3.1578947368421165E-2</v>
      </c>
      <c r="P200" s="35">
        <v>135.24</v>
      </c>
      <c r="Q200" s="35">
        <v>131.1</v>
      </c>
    </row>
    <row r="201" spans="1:17" x14ac:dyDescent="0.15">
      <c r="A201" s="47">
        <v>200</v>
      </c>
      <c r="B201" s="35">
        <v>123110</v>
      </c>
      <c r="C201" s="35" t="s">
        <v>107</v>
      </c>
      <c r="D201" s="35">
        <v>123.45399999999999</v>
      </c>
      <c r="E201" s="35">
        <v>42.51</v>
      </c>
      <c r="F201" s="50">
        <v>165.964</v>
      </c>
      <c r="G201" s="35">
        <v>-0.21</v>
      </c>
      <c r="H201" s="39">
        <v>2.6979679999999999</v>
      </c>
      <c r="I201" s="39">
        <v>-0.42170000000000002</v>
      </c>
      <c r="J201" s="39">
        <v>4.8470000000000004</v>
      </c>
      <c r="K201" s="41">
        <v>46478</v>
      </c>
      <c r="L201" s="35">
        <v>18.7</v>
      </c>
      <c r="M201" s="35">
        <v>86.63</v>
      </c>
      <c r="N201" s="39">
        <v>4229.391361</v>
      </c>
      <c r="O201" s="43">
        <v>1.1773050801855546E-2</v>
      </c>
      <c r="P201" s="35">
        <v>124.09699999999999</v>
      </c>
      <c r="Q201" s="35">
        <v>122.65300000000001</v>
      </c>
    </row>
    <row r="202" spans="1:17" x14ac:dyDescent="0.15">
      <c r="A202" s="47">
        <v>201</v>
      </c>
      <c r="B202" s="35">
        <v>123002</v>
      </c>
      <c r="C202" s="35" t="s">
        <v>81</v>
      </c>
      <c r="D202" s="35">
        <v>115.78</v>
      </c>
      <c r="E202" s="35">
        <v>43.19</v>
      </c>
      <c r="F202" s="50">
        <v>158.97</v>
      </c>
      <c r="G202" s="35">
        <v>0.68</v>
      </c>
      <c r="H202" s="39">
        <v>2.5214889999999999</v>
      </c>
      <c r="I202" s="39">
        <v>-4.8826999999999998</v>
      </c>
      <c r="J202" s="39">
        <v>1.4930000000000001</v>
      </c>
      <c r="K202" s="41">
        <v>45254</v>
      </c>
      <c r="L202" s="35">
        <v>8.36</v>
      </c>
      <c r="M202" s="35">
        <v>80.86</v>
      </c>
      <c r="N202" s="39">
        <v>851.05212699999993</v>
      </c>
      <c r="O202" s="43">
        <v>1.256763833129689E-2</v>
      </c>
      <c r="P202" s="35">
        <v>116.02</v>
      </c>
      <c r="Q202" s="35">
        <v>114.58</v>
      </c>
    </row>
    <row r="203" spans="1:17" x14ac:dyDescent="0.15">
      <c r="A203" s="47">
        <v>202</v>
      </c>
      <c r="B203" s="35">
        <v>113601</v>
      </c>
      <c r="C203" s="35" t="s">
        <v>65</v>
      </c>
      <c r="D203" s="35">
        <v>114.44</v>
      </c>
      <c r="E203" s="35">
        <v>43.52</v>
      </c>
      <c r="F203" s="50">
        <v>157.96</v>
      </c>
      <c r="G203" s="35">
        <v>-0.48</v>
      </c>
      <c r="H203" s="39">
        <v>5.4290700000000003</v>
      </c>
      <c r="I203" s="39">
        <v>1.3149999999999999</v>
      </c>
      <c r="J203" s="39">
        <v>4.2359999999999998</v>
      </c>
      <c r="K203" s="41">
        <v>46255</v>
      </c>
      <c r="L203" s="35">
        <v>16.98</v>
      </c>
      <c r="M203" s="35">
        <v>79.739999999999995</v>
      </c>
      <c r="N203" s="39">
        <v>3625.9117999999999</v>
      </c>
      <c r="O203" s="43">
        <v>1.0073580939032987E-2</v>
      </c>
      <c r="P203" s="35">
        <v>115.31</v>
      </c>
      <c r="Q203" s="35">
        <v>114.16</v>
      </c>
    </row>
    <row r="204" spans="1:17" x14ac:dyDescent="0.15">
      <c r="A204" s="47">
        <v>203</v>
      </c>
      <c r="B204" s="35">
        <v>127017</v>
      </c>
      <c r="C204" s="35" t="s">
        <v>197</v>
      </c>
      <c r="D204" s="35">
        <v>122.188</v>
      </c>
      <c r="E204" s="35">
        <v>43.63</v>
      </c>
      <c r="F204" s="50">
        <v>165.81800000000001</v>
      </c>
      <c r="G204" s="35">
        <v>0.04</v>
      </c>
      <c r="H204" s="39">
        <v>9.9959550000000004</v>
      </c>
      <c r="I204" s="39">
        <v>-0.88190000000000002</v>
      </c>
      <c r="J204" s="39">
        <v>4.0190000000000001</v>
      </c>
      <c r="K204" s="41">
        <v>46176</v>
      </c>
      <c r="L204" s="35">
        <v>13.46</v>
      </c>
      <c r="M204" s="35">
        <v>85.07</v>
      </c>
      <c r="N204" s="39">
        <v>511.23878969999998</v>
      </c>
      <c r="O204" s="43">
        <v>9.2074975337060553E-3</v>
      </c>
      <c r="P204" s="35">
        <v>122.76</v>
      </c>
      <c r="Q204" s="35">
        <v>121.64</v>
      </c>
    </row>
    <row r="205" spans="1:17" x14ac:dyDescent="0.15">
      <c r="A205" s="47">
        <v>204</v>
      </c>
      <c r="B205" s="35">
        <v>111004</v>
      </c>
      <c r="C205" s="35" t="s">
        <v>816</v>
      </c>
      <c r="D205" s="35">
        <v>122.188</v>
      </c>
      <c r="E205" s="35">
        <v>43.63</v>
      </c>
      <c r="F205" s="50">
        <v>165.81800000000001</v>
      </c>
      <c r="G205" s="35">
        <v>0.04</v>
      </c>
      <c r="H205" s="39">
        <v>9.9959550000000004</v>
      </c>
      <c r="I205" s="39">
        <v>-0.88190000000000002</v>
      </c>
      <c r="J205" s="39">
        <v>4.0190000000000001</v>
      </c>
      <c r="K205" s="41">
        <v>46176</v>
      </c>
      <c r="L205" s="35">
        <v>13.46</v>
      </c>
      <c r="M205" s="35">
        <v>85.07</v>
      </c>
      <c r="N205" s="39">
        <v>511.23878969999998</v>
      </c>
      <c r="O205" s="43">
        <v>9.2074975337060553E-3</v>
      </c>
      <c r="P205" s="35">
        <v>122.76</v>
      </c>
      <c r="Q205" s="35">
        <v>121.64</v>
      </c>
    </row>
    <row r="206" spans="1:17" x14ac:dyDescent="0.15">
      <c r="A206" s="47">
        <v>205</v>
      </c>
      <c r="B206" s="35">
        <v>123145</v>
      </c>
      <c r="C206" s="35" t="s">
        <v>1923</v>
      </c>
      <c r="D206" s="35">
        <v>126.77</v>
      </c>
      <c r="E206" s="35">
        <v>43.99</v>
      </c>
      <c r="F206" s="50">
        <v>170.76</v>
      </c>
      <c r="G206" s="35">
        <v>0.4</v>
      </c>
      <c r="H206" s="39">
        <v>11.5</v>
      </c>
      <c r="I206" s="39">
        <v>-1.649</v>
      </c>
      <c r="J206" s="39">
        <v>5.9009999999999998</v>
      </c>
      <c r="K206" s="41">
        <v>46863</v>
      </c>
      <c r="L206" s="35">
        <v>92.98</v>
      </c>
      <c r="M206" s="35">
        <v>88.04</v>
      </c>
      <c r="N206" s="39">
        <v>71792.914238099998</v>
      </c>
      <c r="O206" s="43">
        <v>4.6006841106957859E-2</v>
      </c>
      <c r="P206" s="35">
        <v>131.80000000000001</v>
      </c>
      <c r="Q206" s="35">
        <v>126.003</v>
      </c>
    </row>
    <row r="207" spans="1:17" x14ac:dyDescent="0.15">
      <c r="A207" s="47">
        <v>206</v>
      </c>
      <c r="B207" s="35">
        <v>113629</v>
      </c>
      <c r="C207" s="35" t="s">
        <v>80</v>
      </c>
      <c r="D207" s="35">
        <v>133.84</v>
      </c>
      <c r="E207" s="35">
        <v>44.04</v>
      </c>
      <c r="F207" s="50">
        <v>177.88</v>
      </c>
      <c r="G207" s="35">
        <v>-2.38</v>
      </c>
      <c r="H207" s="39">
        <v>6.1978400000000002</v>
      </c>
      <c r="I207" s="39">
        <v>-1.9207000000000001</v>
      </c>
      <c r="J207" s="39">
        <v>5.3010000000000002</v>
      </c>
      <c r="K207" s="41">
        <v>46644</v>
      </c>
      <c r="L207" s="35">
        <v>23.03</v>
      </c>
      <c r="M207" s="35">
        <v>92.92</v>
      </c>
      <c r="N207" s="39">
        <v>37823.111100000002</v>
      </c>
      <c r="O207" s="43">
        <v>6.1587110374943591E-2</v>
      </c>
      <c r="P207" s="35">
        <v>141</v>
      </c>
      <c r="Q207" s="35">
        <v>132.82</v>
      </c>
    </row>
    <row r="208" spans="1:17" x14ac:dyDescent="0.15">
      <c r="A208" s="47">
        <v>207</v>
      </c>
      <c r="B208" s="35">
        <v>113546</v>
      </c>
      <c r="C208" s="35" t="s">
        <v>87</v>
      </c>
      <c r="D208" s="35">
        <v>126.48</v>
      </c>
      <c r="E208" s="35">
        <v>44.48</v>
      </c>
      <c r="F208" s="50">
        <v>170.96</v>
      </c>
      <c r="G208" s="35">
        <v>8.58</v>
      </c>
      <c r="H208" s="39">
        <v>2.29684</v>
      </c>
      <c r="I208" s="39">
        <v>-1.6121000000000001</v>
      </c>
      <c r="J208" s="39">
        <v>3.4079999999999999</v>
      </c>
      <c r="K208" s="41">
        <v>45953</v>
      </c>
      <c r="L208" s="35">
        <v>13.8</v>
      </c>
      <c r="M208" s="35">
        <v>87.54</v>
      </c>
      <c r="N208" s="39">
        <v>525826.71499999997</v>
      </c>
      <c r="O208" s="43">
        <v>0.18730104103931855</v>
      </c>
      <c r="P208" s="35">
        <v>138</v>
      </c>
      <c r="Q208" s="35">
        <v>116.23</v>
      </c>
    </row>
    <row r="209" spans="1:17" x14ac:dyDescent="0.15">
      <c r="A209" s="47">
        <v>208</v>
      </c>
      <c r="B209" s="35">
        <v>123050</v>
      </c>
      <c r="C209" s="35" t="s">
        <v>68</v>
      </c>
      <c r="D209" s="35">
        <v>119.502</v>
      </c>
      <c r="E209" s="35">
        <v>44.89</v>
      </c>
      <c r="F209" s="50">
        <v>164.392</v>
      </c>
      <c r="G209" s="35">
        <v>0.26</v>
      </c>
      <c r="H209" s="39">
        <v>3.7459980000000006</v>
      </c>
      <c r="I209" s="39">
        <v>0.7591</v>
      </c>
      <c r="J209" s="39">
        <v>3.8820000000000001</v>
      </c>
      <c r="K209" s="41">
        <v>46126</v>
      </c>
      <c r="L209" s="35">
        <v>5.08</v>
      </c>
      <c r="M209" s="35">
        <v>82.48</v>
      </c>
      <c r="N209" s="39">
        <v>349.80441999999999</v>
      </c>
      <c r="O209" s="43">
        <v>1.2582848299296919E-2</v>
      </c>
      <c r="P209" s="35">
        <v>120.38800000000001</v>
      </c>
      <c r="Q209" s="35">
        <v>118.892</v>
      </c>
    </row>
    <row r="210" spans="1:17" x14ac:dyDescent="0.15">
      <c r="A210" s="47">
        <v>209</v>
      </c>
      <c r="B210" s="35">
        <v>113579</v>
      </c>
      <c r="C210" s="35" t="s">
        <v>108</v>
      </c>
      <c r="D210" s="35">
        <v>123.57</v>
      </c>
      <c r="E210" s="35">
        <v>44.95</v>
      </c>
      <c r="F210" s="50">
        <v>168.51999999999998</v>
      </c>
      <c r="G210" s="35">
        <v>-0.2</v>
      </c>
      <c r="H210" s="39">
        <v>5.0250300000000001</v>
      </c>
      <c r="I210" s="39">
        <v>-2.2328999999999999</v>
      </c>
      <c r="J210" s="39">
        <v>3.907</v>
      </c>
      <c r="K210" s="41">
        <v>46135</v>
      </c>
      <c r="L210" s="35">
        <v>32.200000000000003</v>
      </c>
      <c r="M210" s="35">
        <v>85.25</v>
      </c>
      <c r="N210" s="39">
        <v>1430.0708</v>
      </c>
      <c r="O210" s="43">
        <v>4.5195439739413659E-2</v>
      </c>
      <c r="P210" s="35">
        <v>128.35</v>
      </c>
      <c r="Q210" s="35">
        <v>122.8</v>
      </c>
    </row>
    <row r="211" spans="1:17" x14ac:dyDescent="0.15">
      <c r="A211" s="47">
        <v>210</v>
      </c>
      <c r="B211" s="35">
        <v>127025</v>
      </c>
      <c r="C211" s="35" t="s">
        <v>1924</v>
      </c>
      <c r="D211" s="35">
        <v>111.75</v>
      </c>
      <c r="E211" s="35">
        <v>45</v>
      </c>
      <c r="F211" s="50">
        <v>156.75</v>
      </c>
      <c r="G211" s="35">
        <v>-0.36</v>
      </c>
      <c r="H211" s="39">
        <v>17.764559999999999</v>
      </c>
      <c r="I211" s="39">
        <v>-0.38080000000000003</v>
      </c>
      <c r="J211" s="39">
        <v>4.444</v>
      </c>
      <c r="K211" s="41">
        <v>46331</v>
      </c>
      <c r="L211" s="35">
        <v>13.26</v>
      </c>
      <c r="M211" s="35">
        <v>77.069999999999993</v>
      </c>
      <c r="N211" s="39">
        <v>1097.8375771999999</v>
      </c>
      <c r="O211" s="43">
        <v>1.3504504504504461E-2</v>
      </c>
      <c r="P211" s="35">
        <v>112.499</v>
      </c>
      <c r="Q211" s="35">
        <v>111</v>
      </c>
    </row>
    <row r="212" spans="1:17" x14ac:dyDescent="0.15">
      <c r="A212" s="47">
        <v>211</v>
      </c>
      <c r="B212" s="35">
        <v>123010</v>
      </c>
      <c r="C212" s="35" t="s">
        <v>198</v>
      </c>
      <c r="D212" s="35">
        <v>111.3</v>
      </c>
      <c r="E212" s="35">
        <v>45.15</v>
      </c>
      <c r="F212" s="50">
        <v>156.44999999999999</v>
      </c>
      <c r="G212" s="35">
        <v>-0.2</v>
      </c>
      <c r="H212" s="39">
        <v>4.2960060000000002</v>
      </c>
      <c r="I212" s="39">
        <v>0</v>
      </c>
      <c r="J212" s="39">
        <v>2.1070000000000002</v>
      </c>
      <c r="K212" s="41">
        <v>45478</v>
      </c>
      <c r="L212" s="35">
        <v>7.72</v>
      </c>
      <c r="M212" s="35">
        <v>76.680000000000007</v>
      </c>
      <c r="N212" s="39">
        <v>490.12303490000005</v>
      </c>
      <c r="O212" s="43">
        <v>7.1890596565827806E-3</v>
      </c>
      <c r="P212" s="35">
        <v>111.8</v>
      </c>
      <c r="Q212" s="35">
        <v>111.002</v>
      </c>
    </row>
    <row r="213" spans="1:17" x14ac:dyDescent="0.15">
      <c r="A213" s="47">
        <v>212</v>
      </c>
      <c r="B213" s="35">
        <v>123118</v>
      </c>
      <c r="C213" s="35" t="s">
        <v>241</v>
      </c>
      <c r="D213" s="35">
        <v>114.565</v>
      </c>
      <c r="E213" s="35">
        <v>45.2</v>
      </c>
      <c r="F213" s="50">
        <v>159.76499999999999</v>
      </c>
      <c r="G213" s="35">
        <v>0.53</v>
      </c>
      <c r="H213" s="39">
        <v>3.1992880000000001</v>
      </c>
      <c r="I213" s="39">
        <v>1.2181999999999999</v>
      </c>
      <c r="J213" s="39">
        <v>5.1120000000000001</v>
      </c>
      <c r="K213" s="41">
        <v>46575</v>
      </c>
      <c r="L213" s="35">
        <v>17.11</v>
      </c>
      <c r="M213" s="35">
        <v>78.900000000000006</v>
      </c>
      <c r="N213" s="39">
        <v>669.70408499999996</v>
      </c>
      <c r="O213" s="43">
        <v>1.0109890109890159E-2</v>
      </c>
      <c r="P213" s="35">
        <v>114.9</v>
      </c>
      <c r="Q213" s="35">
        <v>113.75</v>
      </c>
    </row>
    <row r="214" spans="1:17" x14ac:dyDescent="0.15">
      <c r="A214" s="47">
        <v>213</v>
      </c>
      <c r="B214" s="35">
        <v>113054</v>
      </c>
      <c r="C214" s="35" t="s">
        <v>1925</v>
      </c>
      <c r="D214" s="35">
        <v>108.81</v>
      </c>
      <c r="E214" s="35">
        <v>45.57</v>
      </c>
      <c r="F214" s="50">
        <v>154.38</v>
      </c>
      <c r="G214" s="35">
        <v>0.39</v>
      </c>
      <c r="H214" s="39">
        <v>23.6</v>
      </c>
      <c r="I214" s="39">
        <v>0.74680000000000002</v>
      </c>
      <c r="J214" s="39">
        <v>5.7510000000000003</v>
      </c>
      <c r="K214" s="41">
        <v>46808</v>
      </c>
      <c r="L214" s="35">
        <v>9.82</v>
      </c>
      <c r="M214" s="35">
        <v>74.75</v>
      </c>
      <c r="N214" s="39">
        <v>1741.5663999999999</v>
      </c>
      <c r="O214" s="43">
        <v>7.6624815361891856E-3</v>
      </c>
      <c r="P214" s="35">
        <v>109.15</v>
      </c>
      <c r="Q214" s="35">
        <v>108.32</v>
      </c>
    </row>
    <row r="215" spans="1:17" x14ac:dyDescent="0.15">
      <c r="A215" s="47">
        <v>214</v>
      </c>
      <c r="B215" s="35">
        <v>128097</v>
      </c>
      <c r="C215" s="35" t="s">
        <v>111</v>
      </c>
      <c r="D215" s="35">
        <v>115.4</v>
      </c>
      <c r="E215" s="35">
        <v>45.69</v>
      </c>
      <c r="F215" s="50">
        <v>161.09</v>
      </c>
      <c r="G215" s="35">
        <v>-0.13</v>
      </c>
      <c r="H215" s="39">
        <v>4.5857140000000003</v>
      </c>
      <c r="I215" s="39">
        <v>-0.2596</v>
      </c>
      <c r="J215" s="39">
        <v>3.7509999999999999</v>
      </c>
      <c r="K215" s="41">
        <v>46078</v>
      </c>
      <c r="L215" s="35">
        <v>10.39</v>
      </c>
      <c r="M215" s="35">
        <v>79.209999999999994</v>
      </c>
      <c r="N215" s="39">
        <v>983.10841999999991</v>
      </c>
      <c r="O215" s="43">
        <v>1.0153605831814646E-2</v>
      </c>
      <c r="P215" s="35">
        <v>116.4</v>
      </c>
      <c r="Q215" s="35">
        <v>115.23</v>
      </c>
    </row>
    <row r="216" spans="1:17" x14ac:dyDescent="0.15">
      <c r="A216" s="47">
        <v>215</v>
      </c>
      <c r="B216" s="35">
        <v>127054</v>
      </c>
      <c r="C216" s="35" t="s">
        <v>785</v>
      </c>
      <c r="D216" s="35">
        <v>113.05</v>
      </c>
      <c r="E216" s="35">
        <v>45.76</v>
      </c>
      <c r="F216" s="50">
        <v>158.81</v>
      </c>
      <c r="G216" s="35">
        <v>0.06</v>
      </c>
      <c r="H216" s="39">
        <v>5.1364000000000001</v>
      </c>
      <c r="I216" s="39">
        <v>0.62849999999999995</v>
      </c>
      <c r="J216" s="39">
        <v>5.7119999999999997</v>
      </c>
      <c r="K216" s="41">
        <v>46794</v>
      </c>
      <c r="L216" s="35">
        <v>7.71</v>
      </c>
      <c r="M216" s="35">
        <v>77.56</v>
      </c>
      <c r="N216" s="39">
        <v>420.74630580000002</v>
      </c>
      <c r="O216" s="43">
        <v>7.2390482780646413E-3</v>
      </c>
      <c r="P216" s="35">
        <v>113.538</v>
      </c>
      <c r="Q216" s="35">
        <v>112.72199999999999</v>
      </c>
    </row>
    <row r="217" spans="1:17" x14ac:dyDescent="0.15">
      <c r="A217" s="47">
        <v>216</v>
      </c>
      <c r="B217" s="35">
        <v>113602</v>
      </c>
      <c r="C217" s="35" t="s">
        <v>1926</v>
      </c>
      <c r="D217" s="35">
        <v>115.3</v>
      </c>
      <c r="E217" s="35">
        <v>45.86</v>
      </c>
      <c r="F217" s="50">
        <v>161.16</v>
      </c>
      <c r="G217" s="35">
        <v>-0.47</v>
      </c>
      <c r="H217" s="39">
        <v>17.798739999999999</v>
      </c>
      <c r="I217" s="39">
        <v>-0.50480000000000003</v>
      </c>
      <c r="J217" s="39">
        <v>4.2439999999999998</v>
      </c>
      <c r="K217" s="41">
        <v>46258</v>
      </c>
      <c r="L217" s="35">
        <v>27.4</v>
      </c>
      <c r="M217" s="35">
        <v>79.05</v>
      </c>
      <c r="N217" s="39">
        <v>2427.0518999999999</v>
      </c>
      <c r="O217" s="43">
        <v>2.0611353711790389E-2</v>
      </c>
      <c r="P217" s="35">
        <v>116.86</v>
      </c>
      <c r="Q217" s="35">
        <v>114.5</v>
      </c>
    </row>
    <row r="218" spans="1:17" x14ac:dyDescent="0.15">
      <c r="A218" s="47">
        <v>217</v>
      </c>
      <c r="B218" s="35">
        <v>113565</v>
      </c>
      <c r="C218" s="35" t="s">
        <v>123</v>
      </c>
      <c r="D218" s="35">
        <v>121.87</v>
      </c>
      <c r="E218" s="35">
        <v>45.93</v>
      </c>
      <c r="F218" s="50">
        <v>167.8</v>
      </c>
      <c r="G218" s="35">
        <v>1.23</v>
      </c>
      <c r="H218" s="39">
        <v>2.24926</v>
      </c>
      <c r="I218" s="39">
        <v>-1.1008</v>
      </c>
      <c r="J218" s="39">
        <v>3.7530000000000001</v>
      </c>
      <c r="K218" s="41">
        <v>46079</v>
      </c>
      <c r="L218" s="35">
        <v>7.64</v>
      </c>
      <c r="M218" s="35">
        <v>83.51</v>
      </c>
      <c r="N218" s="39">
        <v>9253.8366000000005</v>
      </c>
      <c r="O218" s="43">
        <v>1.995012468827935E-2</v>
      </c>
      <c r="P218" s="35">
        <v>122.7</v>
      </c>
      <c r="Q218" s="35">
        <v>120.3</v>
      </c>
    </row>
    <row r="219" spans="1:17" x14ac:dyDescent="0.15">
      <c r="A219" s="47">
        <v>218</v>
      </c>
      <c r="B219" s="35">
        <v>128137</v>
      </c>
      <c r="C219" s="35" t="s">
        <v>1928</v>
      </c>
      <c r="D219" s="35">
        <v>120.59399999999999</v>
      </c>
      <c r="E219" s="35">
        <v>46.02</v>
      </c>
      <c r="F219" s="50">
        <v>166.614</v>
      </c>
      <c r="G219" s="35">
        <v>0</v>
      </c>
      <c r="H219" s="39">
        <v>5.9940730000000002</v>
      </c>
      <c r="I219" s="39">
        <v>-0.71140000000000003</v>
      </c>
      <c r="J219" s="39">
        <v>4.4409999999999998</v>
      </c>
      <c r="K219" s="41">
        <v>46330</v>
      </c>
      <c r="L219" s="35">
        <v>27.63</v>
      </c>
      <c r="M219" s="35">
        <v>82.59</v>
      </c>
      <c r="N219" s="39">
        <v>561.48247500000002</v>
      </c>
      <c r="O219" s="43">
        <v>1.9289357049254156E-2</v>
      </c>
      <c r="P219" s="35">
        <v>122.11799999999999</v>
      </c>
      <c r="Q219" s="35">
        <v>119.807</v>
      </c>
    </row>
    <row r="220" spans="1:17" x14ac:dyDescent="0.15">
      <c r="A220" s="47">
        <v>219</v>
      </c>
      <c r="B220" s="35">
        <v>113641</v>
      </c>
      <c r="C220" s="35" t="s">
        <v>1927</v>
      </c>
      <c r="D220" s="35">
        <v>118.93</v>
      </c>
      <c r="E220" s="35">
        <v>46.02</v>
      </c>
      <c r="F220" s="50">
        <v>164.95000000000002</v>
      </c>
      <c r="G220" s="35">
        <v>0.1</v>
      </c>
      <c r="H220" s="39">
        <v>76</v>
      </c>
      <c r="I220" s="39">
        <v>-0.97550000000000003</v>
      </c>
      <c r="J220" s="39">
        <v>5.7480000000000002</v>
      </c>
      <c r="K220" s="41">
        <v>46807</v>
      </c>
      <c r="L220" s="35">
        <v>110.26</v>
      </c>
      <c r="M220" s="35">
        <v>81.45</v>
      </c>
      <c r="N220" s="39">
        <v>9695.7634999999991</v>
      </c>
      <c r="O220" s="43">
        <v>1.3647851727042883E-2</v>
      </c>
      <c r="P220" s="35">
        <v>120.32</v>
      </c>
      <c r="Q220" s="35">
        <v>118.7</v>
      </c>
    </row>
    <row r="221" spans="1:17" x14ac:dyDescent="0.15">
      <c r="A221" s="47">
        <v>220</v>
      </c>
      <c r="B221" s="35">
        <v>113643</v>
      </c>
      <c r="C221" s="35" t="s">
        <v>817</v>
      </c>
      <c r="D221" s="35">
        <v>124.62</v>
      </c>
      <c r="E221" s="35">
        <v>46.04</v>
      </c>
      <c r="F221" s="50">
        <v>170.66</v>
      </c>
      <c r="G221" s="35">
        <v>-0.39</v>
      </c>
      <c r="H221" s="39">
        <v>5</v>
      </c>
      <c r="I221" s="39">
        <v>-0.61299999999999999</v>
      </c>
      <c r="J221" s="39">
        <v>5.83</v>
      </c>
      <c r="K221" s="41">
        <v>46837</v>
      </c>
      <c r="L221" s="35">
        <v>22.15</v>
      </c>
      <c r="M221" s="35">
        <v>85.33</v>
      </c>
      <c r="N221" s="39">
        <v>72062.415699999998</v>
      </c>
      <c r="O221" s="43">
        <v>2.2348178137651862E-2</v>
      </c>
      <c r="P221" s="35">
        <v>126.26</v>
      </c>
      <c r="Q221" s="35">
        <v>123.5</v>
      </c>
    </row>
    <row r="222" spans="1:17" x14ac:dyDescent="0.15">
      <c r="A222" s="47">
        <v>221</v>
      </c>
      <c r="B222" s="35">
        <v>123027</v>
      </c>
      <c r="C222" s="35" t="s">
        <v>1929</v>
      </c>
      <c r="D222" s="35">
        <v>374.50099999999998</v>
      </c>
      <c r="E222" s="35">
        <v>46.16</v>
      </c>
      <c r="F222" s="50">
        <v>420.66099999999994</v>
      </c>
      <c r="G222" s="35">
        <v>-5.78</v>
      </c>
      <c r="H222" s="39">
        <v>1.06755</v>
      </c>
      <c r="I222" s="39">
        <v>-31.950900000000001</v>
      </c>
      <c r="J222" s="39">
        <v>3.0409999999999999</v>
      </c>
      <c r="K222" s="41">
        <v>45819</v>
      </c>
      <c r="L222" s="35">
        <v>29.03</v>
      </c>
      <c r="M222" s="35">
        <v>256.22000000000003</v>
      </c>
      <c r="N222" s="39">
        <v>170323.83050940002</v>
      </c>
      <c r="O222" s="43">
        <v>0.11758524709826988</v>
      </c>
      <c r="P222" s="35">
        <v>417.97800000000001</v>
      </c>
      <c r="Q222" s="35">
        <v>374.00099999999998</v>
      </c>
    </row>
    <row r="223" spans="1:17" x14ac:dyDescent="0.15">
      <c r="A223" s="47">
        <v>222</v>
      </c>
      <c r="B223" s="35">
        <v>123048</v>
      </c>
      <c r="C223" s="35" t="s">
        <v>236</v>
      </c>
      <c r="D223" s="35">
        <v>123</v>
      </c>
      <c r="E223" s="35">
        <v>46.22</v>
      </c>
      <c r="F223" s="50">
        <v>169.22</v>
      </c>
      <c r="G223" s="35">
        <v>0.99</v>
      </c>
      <c r="H223" s="39">
        <v>3.7914160000000008</v>
      </c>
      <c r="I223" s="39">
        <v>-2.3628</v>
      </c>
      <c r="J223" s="39">
        <v>3.871</v>
      </c>
      <c r="K223" s="41">
        <v>46122</v>
      </c>
      <c r="L223" s="35">
        <v>8.8800000000000008</v>
      </c>
      <c r="M223" s="35">
        <v>84.12</v>
      </c>
      <c r="N223" s="39">
        <v>10571.837981000001</v>
      </c>
      <c r="O223" s="43">
        <v>2.1669454308760848E-2</v>
      </c>
      <c r="P223" s="35">
        <v>123.999</v>
      </c>
      <c r="Q223" s="35">
        <v>121.369</v>
      </c>
    </row>
    <row r="224" spans="1:17" x14ac:dyDescent="0.15">
      <c r="A224" s="47">
        <v>223</v>
      </c>
      <c r="B224" s="35">
        <v>128133</v>
      </c>
      <c r="C224" s="35" t="s">
        <v>226</v>
      </c>
      <c r="D224" s="35">
        <v>118.361</v>
      </c>
      <c r="E224" s="35">
        <v>46.85</v>
      </c>
      <c r="F224" s="50">
        <v>165.21100000000001</v>
      </c>
      <c r="G224" s="35">
        <v>0.32</v>
      </c>
      <c r="H224" s="39">
        <v>7.9943970000000002</v>
      </c>
      <c r="I224" s="39">
        <v>-0.29260000000000003</v>
      </c>
      <c r="J224" s="39">
        <v>4.3230000000000004</v>
      </c>
      <c r="K224" s="41">
        <v>46287</v>
      </c>
      <c r="L224" s="35">
        <v>29.79</v>
      </c>
      <c r="M224" s="35">
        <v>80.599999999999994</v>
      </c>
      <c r="N224" s="39">
        <v>4351.2649953</v>
      </c>
      <c r="O224" s="43">
        <v>6.7711864406780221E-3</v>
      </c>
      <c r="P224" s="35">
        <v>118.79900000000001</v>
      </c>
      <c r="Q224" s="35">
        <v>118</v>
      </c>
    </row>
    <row r="225" spans="1:17" x14ac:dyDescent="0.15">
      <c r="A225" s="47">
        <v>224</v>
      </c>
      <c r="B225" s="35">
        <v>110060</v>
      </c>
      <c r="C225" s="35" t="s">
        <v>215</v>
      </c>
      <c r="D225" s="35">
        <v>118.74</v>
      </c>
      <c r="E225" s="35">
        <v>46.97</v>
      </c>
      <c r="F225" s="50">
        <v>165.70999999999998</v>
      </c>
      <c r="G225" s="35">
        <v>1.23</v>
      </c>
      <c r="H225" s="39">
        <v>7.0625299999999998</v>
      </c>
      <c r="I225" s="39">
        <v>-1.1288</v>
      </c>
      <c r="J225" s="39">
        <v>3.4220000000000002</v>
      </c>
      <c r="K225" s="41">
        <v>45958</v>
      </c>
      <c r="L225" s="35">
        <v>7.08</v>
      </c>
      <c r="M225" s="35">
        <v>80.790000000000006</v>
      </c>
      <c r="N225" s="39">
        <v>1543.7154</v>
      </c>
      <c r="O225" s="43">
        <v>1.7941050832977434E-2</v>
      </c>
      <c r="P225" s="35">
        <v>119.15</v>
      </c>
      <c r="Q225" s="35">
        <v>117.05</v>
      </c>
    </row>
    <row r="226" spans="1:17" x14ac:dyDescent="0.15">
      <c r="A226" s="47">
        <v>225</v>
      </c>
      <c r="B226" s="35">
        <v>113628</v>
      </c>
      <c r="C226" s="35" t="s">
        <v>229</v>
      </c>
      <c r="D226" s="35">
        <v>107.27</v>
      </c>
      <c r="E226" s="35">
        <v>47.01</v>
      </c>
      <c r="F226" s="50">
        <v>154.28</v>
      </c>
      <c r="G226" s="35">
        <v>-0.33</v>
      </c>
      <c r="H226" s="39">
        <v>4.1498299999999997</v>
      </c>
      <c r="I226" s="39">
        <v>2.4967000000000001</v>
      </c>
      <c r="J226" s="39">
        <v>5.2409999999999997</v>
      </c>
      <c r="K226" s="41">
        <v>46622</v>
      </c>
      <c r="L226" s="35">
        <v>13.06</v>
      </c>
      <c r="M226" s="35">
        <v>72.97</v>
      </c>
      <c r="N226" s="39">
        <v>1085.9473</v>
      </c>
      <c r="O226" s="43">
        <v>7.6478268979668666E-3</v>
      </c>
      <c r="P226" s="35">
        <v>108.04</v>
      </c>
      <c r="Q226" s="35">
        <v>107.22</v>
      </c>
    </row>
    <row r="227" spans="1:17" x14ac:dyDescent="0.15">
      <c r="A227" s="47">
        <v>226</v>
      </c>
      <c r="B227" s="35">
        <v>123100</v>
      </c>
      <c r="C227" s="35" t="s">
        <v>104</v>
      </c>
      <c r="D227" s="35">
        <v>114.17</v>
      </c>
      <c r="E227" s="35">
        <v>47.28</v>
      </c>
      <c r="F227" s="50">
        <v>161.44999999999999</v>
      </c>
      <c r="G227" s="35">
        <v>-0.49</v>
      </c>
      <c r="H227" s="39">
        <v>3.7985370000000001</v>
      </c>
      <c r="I227" s="39">
        <v>0.55000000000000004</v>
      </c>
      <c r="J227" s="39">
        <v>4.7069999999999999</v>
      </c>
      <c r="K227" s="41">
        <v>46427</v>
      </c>
      <c r="L227" s="35">
        <v>11.61</v>
      </c>
      <c r="M227" s="35">
        <v>77.52</v>
      </c>
      <c r="N227" s="39">
        <v>1631.4687667999999</v>
      </c>
      <c r="O227" s="43">
        <v>3.2593882162608862E-2</v>
      </c>
      <c r="P227" s="35">
        <v>117.44</v>
      </c>
      <c r="Q227" s="35">
        <v>113.733</v>
      </c>
    </row>
    <row r="228" spans="1:17" x14ac:dyDescent="0.15">
      <c r="A228" s="47">
        <v>227</v>
      </c>
      <c r="B228" s="35">
        <v>113037</v>
      </c>
      <c r="C228" s="35" t="s">
        <v>1930</v>
      </c>
      <c r="D228" s="35">
        <v>104.22</v>
      </c>
      <c r="E228" s="35">
        <v>47.58</v>
      </c>
      <c r="F228" s="50">
        <v>151.80000000000001</v>
      </c>
      <c r="G228" s="35">
        <v>-0.08</v>
      </c>
      <c r="H228" s="39">
        <v>44.99624</v>
      </c>
      <c r="I228" s="39">
        <v>2.5884</v>
      </c>
      <c r="J228" s="39">
        <v>4.1559999999999997</v>
      </c>
      <c r="K228" s="41">
        <v>46226</v>
      </c>
      <c r="L228" s="35">
        <v>4.05</v>
      </c>
      <c r="M228" s="35">
        <v>70.62</v>
      </c>
      <c r="N228" s="39">
        <v>1287.8081999999999</v>
      </c>
      <c r="O228" s="43">
        <v>3.9373859598579742E-3</v>
      </c>
      <c r="P228" s="35">
        <v>104.54</v>
      </c>
      <c r="Q228" s="35">
        <v>104.13</v>
      </c>
    </row>
    <row r="229" spans="1:17" x14ac:dyDescent="0.15">
      <c r="A229" s="47">
        <v>228</v>
      </c>
      <c r="B229" s="35">
        <v>123144</v>
      </c>
      <c r="C229" s="35" t="s">
        <v>1931</v>
      </c>
      <c r="D229" s="35">
        <v>118.983</v>
      </c>
      <c r="E229" s="35">
        <v>47.71</v>
      </c>
      <c r="F229" s="50">
        <v>166.69300000000001</v>
      </c>
      <c r="G229" s="35">
        <v>0.75</v>
      </c>
      <c r="H229" s="39">
        <v>6</v>
      </c>
      <c r="I229" s="39">
        <v>0.1905</v>
      </c>
      <c r="J229" s="39">
        <v>5.8769999999999998</v>
      </c>
      <c r="K229" s="41">
        <v>46854</v>
      </c>
      <c r="L229" s="35">
        <v>14.24</v>
      </c>
      <c r="M229" s="35">
        <v>80.55</v>
      </c>
      <c r="N229" s="39">
        <v>2127.1679955999998</v>
      </c>
      <c r="O229" s="43">
        <v>2.3792838218955573E-2</v>
      </c>
      <c r="P229" s="35">
        <v>119.794</v>
      </c>
      <c r="Q229" s="35">
        <v>117.01</v>
      </c>
    </row>
    <row r="230" spans="1:17" x14ac:dyDescent="0.15">
      <c r="A230" s="47">
        <v>229</v>
      </c>
      <c r="B230" s="35">
        <v>123044</v>
      </c>
      <c r="C230" s="35" t="s">
        <v>170</v>
      </c>
      <c r="D230" s="35">
        <v>115.63500000000001</v>
      </c>
      <c r="E230" s="35">
        <v>47.87</v>
      </c>
      <c r="F230" s="50">
        <v>163.505</v>
      </c>
      <c r="G230" s="35">
        <v>0.54</v>
      </c>
      <c r="H230" s="39">
        <v>5.4958999999999998</v>
      </c>
      <c r="I230" s="39">
        <v>1.9469000000000001</v>
      </c>
      <c r="J230" s="39">
        <v>3.7919999999999998</v>
      </c>
      <c r="K230" s="41">
        <v>46093</v>
      </c>
      <c r="L230" s="35">
        <v>18.670000000000002</v>
      </c>
      <c r="M230" s="35">
        <v>78.2</v>
      </c>
      <c r="N230" s="39">
        <v>1334.968014</v>
      </c>
      <c r="O230" s="43">
        <v>1.2195121951219561E-2</v>
      </c>
      <c r="P230" s="35">
        <v>116.2</v>
      </c>
      <c r="Q230" s="35">
        <v>114.8</v>
      </c>
    </row>
    <row r="231" spans="1:17" x14ac:dyDescent="0.15">
      <c r="A231" s="47">
        <v>230</v>
      </c>
      <c r="B231" s="35">
        <v>113619</v>
      </c>
      <c r="C231" s="35" t="s">
        <v>230</v>
      </c>
      <c r="D231" s="35">
        <v>121.91</v>
      </c>
      <c r="E231" s="35">
        <v>47.9</v>
      </c>
      <c r="F231" s="50">
        <v>169.81</v>
      </c>
      <c r="G231" s="35">
        <v>-0.2</v>
      </c>
      <c r="H231" s="39">
        <v>9.9967699999999997</v>
      </c>
      <c r="I231" s="39">
        <v>-1.2882</v>
      </c>
      <c r="J231" s="39">
        <v>4.6520000000000001</v>
      </c>
      <c r="K231" s="41">
        <v>46407</v>
      </c>
      <c r="L231" s="35">
        <v>19.920000000000002</v>
      </c>
      <c r="M231" s="35">
        <v>82.43</v>
      </c>
      <c r="N231" s="39">
        <v>2169.0455999999999</v>
      </c>
      <c r="O231" s="43">
        <v>1.549876339653759E-2</v>
      </c>
      <c r="P231" s="35">
        <v>123.18</v>
      </c>
      <c r="Q231" s="35">
        <v>121.3</v>
      </c>
    </row>
    <row r="232" spans="1:17" x14ac:dyDescent="0.15">
      <c r="A232" s="47">
        <v>231</v>
      </c>
      <c r="B232" s="35">
        <v>113606</v>
      </c>
      <c r="C232" s="35" t="s">
        <v>212</v>
      </c>
      <c r="D232" s="35">
        <v>110.55</v>
      </c>
      <c r="E232" s="35">
        <v>48.13</v>
      </c>
      <c r="F232" s="50">
        <v>158.68</v>
      </c>
      <c r="G232" s="35">
        <v>-0.32</v>
      </c>
      <c r="H232" s="39">
        <v>5.9988799999999998</v>
      </c>
      <c r="I232" s="39">
        <v>2.0474000000000001</v>
      </c>
      <c r="J232" s="39">
        <v>4.4269999999999996</v>
      </c>
      <c r="K232" s="41">
        <v>46325</v>
      </c>
      <c r="L232" s="35">
        <v>32.83</v>
      </c>
      <c r="M232" s="35">
        <v>74.63</v>
      </c>
      <c r="N232" s="39">
        <v>795.34789999999998</v>
      </c>
      <c r="O232" s="43">
        <v>7.2476897988767112E-3</v>
      </c>
      <c r="P232" s="35">
        <v>111.18</v>
      </c>
      <c r="Q232" s="35">
        <v>110.38</v>
      </c>
    </row>
    <row r="233" spans="1:17" x14ac:dyDescent="0.15">
      <c r="A233" s="47">
        <v>232</v>
      </c>
      <c r="B233" s="35">
        <v>113524</v>
      </c>
      <c r="C233" s="35" t="s">
        <v>222</v>
      </c>
      <c r="D233" s="35">
        <v>115.5</v>
      </c>
      <c r="E233" s="35">
        <v>48.5</v>
      </c>
      <c r="F233" s="50">
        <v>164</v>
      </c>
      <c r="G233" s="35">
        <v>0.36</v>
      </c>
      <c r="H233" s="39">
        <v>3.2980100000000001</v>
      </c>
      <c r="I233" s="39">
        <v>0.2752</v>
      </c>
      <c r="J233" s="39">
        <v>2.5510000000000002</v>
      </c>
      <c r="K233" s="41">
        <v>45640</v>
      </c>
      <c r="L233" s="35">
        <v>13.68</v>
      </c>
      <c r="M233" s="35">
        <v>77.78</v>
      </c>
      <c r="N233" s="39">
        <v>791.20259999999996</v>
      </c>
      <c r="O233" s="43">
        <v>1.4948722405701362E-2</v>
      </c>
      <c r="P233" s="35">
        <v>116.78</v>
      </c>
      <c r="Q233" s="35">
        <v>115.06</v>
      </c>
    </row>
    <row r="234" spans="1:17" x14ac:dyDescent="0.15">
      <c r="A234" s="47">
        <v>233</v>
      </c>
      <c r="B234" s="35">
        <v>128053</v>
      </c>
      <c r="C234" s="35" t="s">
        <v>61</v>
      </c>
      <c r="D234" s="35">
        <v>134.499</v>
      </c>
      <c r="E234" s="35">
        <v>48.5</v>
      </c>
      <c r="F234" s="50">
        <v>182.999</v>
      </c>
      <c r="G234" s="35">
        <v>2.95</v>
      </c>
      <c r="H234" s="39">
        <v>1.9004799999999999</v>
      </c>
      <c r="I234" s="39">
        <v>-6.1928999999999998</v>
      </c>
      <c r="J234" s="39">
        <v>2.7210000000000001</v>
      </c>
      <c r="K234" s="41">
        <v>45702</v>
      </c>
      <c r="L234" s="35">
        <v>4.88</v>
      </c>
      <c r="M234" s="35">
        <v>90.57</v>
      </c>
      <c r="N234" s="39">
        <v>108793.9377467</v>
      </c>
      <c r="O234" s="43">
        <v>8.5698961805156515E-2</v>
      </c>
      <c r="P234" s="35">
        <v>141.69999999999999</v>
      </c>
      <c r="Q234" s="35">
        <v>130.51499999999999</v>
      </c>
    </row>
    <row r="235" spans="1:17" x14ac:dyDescent="0.15">
      <c r="A235" s="47">
        <v>234</v>
      </c>
      <c r="B235" s="35">
        <v>123062</v>
      </c>
      <c r="C235" s="35" t="s">
        <v>103</v>
      </c>
      <c r="D235" s="35">
        <v>119.218</v>
      </c>
      <c r="E235" s="35">
        <v>48.52</v>
      </c>
      <c r="F235" s="50">
        <v>167.738</v>
      </c>
      <c r="G235" s="35">
        <v>0.59</v>
      </c>
      <c r="H235" s="39">
        <v>1.947703</v>
      </c>
      <c r="I235" s="39">
        <v>-3.7000000000000002E-3</v>
      </c>
      <c r="J235" s="39">
        <v>4.1669999999999998</v>
      </c>
      <c r="K235" s="41">
        <v>46230</v>
      </c>
      <c r="L235" s="35">
        <v>17.13</v>
      </c>
      <c r="M235" s="35">
        <v>80.27</v>
      </c>
      <c r="N235" s="39">
        <v>649.19392699999992</v>
      </c>
      <c r="O235" s="43">
        <v>8.700059126615433E-3</v>
      </c>
      <c r="P235" s="35">
        <v>119.42</v>
      </c>
      <c r="Q235" s="35">
        <v>118.39</v>
      </c>
    </row>
    <row r="236" spans="1:17" x14ac:dyDescent="0.15">
      <c r="A236" s="47">
        <v>235</v>
      </c>
      <c r="B236" s="35">
        <v>110072</v>
      </c>
      <c r="C236" s="35" t="s">
        <v>1932</v>
      </c>
      <c r="D236" s="35">
        <v>99.03</v>
      </c>
      <c r="E236" s="35">
        <v>48.92</v>
      </c>
      <c r="F236" s="50">
        <v>147.94999999999999</v>
      </c>
      <c r="G236" s="35">
        <v>-0.78</v>
      </c>
      <c r="H236" s="39">
        <v>33.663229999999999</v>
      </c>
      <c r="I236" s="39">
        <v>3.5112999999999999</v>
      </c>
      <c r="J236" s="39">
        <v>4.2270000000000003</v>
      </c>
      <c r="K236" s="41">
        <v>46252</v>
      </c>
      <c r="L236" s="35">
        <v>4.03</v>
      </c>
      <c r="M236" s="35">
        <v>66.5</v>
      </c>
      <c r="N236" s="39">
        <v>63753.423699999999</v>
      </c>
      <c r="O236" s="43">
        <v>1.4668689934243834E-2</v>
      </c>
      <c r="P236" s="35">
        <v>100.3</v>
      </c>
      <c r="Q236" s="35">
        <v>98.85</v>
      </c>
    </row>
    <row r="237" spans="1:17" x14ac:dyDescent="0.15">
      <c r="A237" s="47">
        <v>236</v>
      </c>
      <c r="B237" s="35">
        <v>113056</v>
      </c>
      <c r="C237" s="35" t="s">
        <v>1933</v>
      </c>
      <c r="D237" s="35">
        <v>101.49</v>
      </c>
      <c r="E237" s="35">
        <v>49.05</v>
      </c>
      <c r="F237" s="50">
        <v>150.54</v>
      </c>
      <c r="G237" s="35">
        <v>-0.03</v>
      </c>
      <c r="H237" s="39">
        <v>130</v>
      </c>
      <c r="I237" s="39">
        <v>2.3307000000000002</v>
      </c>
      <c r="J237" s="39">
        <v>5.8250000000000002</v>
      </c>
      <c r="K237" s="41">
        <v>46835</v>
      </c>
      <c r="L237" s="35">
        <v>11.28</v>
      </c>
      <c r="M237" s="35">
        <v>68.09</v>
      </c>
      <c r="N237" s="39">
        <v>6800.6525000000001</v>
      </c>
      <c r="O237" s="43">
        <v>2.8596785326891459E-3</v>
      </c>
      <c r="P237" s="35">
        <v>101.7</v>
      </c>
      <c r="Q237" s="35">
        <v>101.41</v>
      </c>
    </row>
    <row r="238" spans="1:17" x14ac:dyDescent="0.15">
      <c r="A238" s="47">
        <v>237</v>
      </c>
      <c r="B238" s="35">
        <v>128049</v>
      </c>
      <c r="C238" s="35" t="s">
        <v>205</v>
      </c>
      <c r="D238" s="35">
        <v>110.47</v>
      </c>
      <c r="E238" s="35">
        <v>49.12</v>
      </c>
      <c r="F238" s="50">
        <v>159.59</v>
      </c>
      <c r="G238" s="35">
        <v>0.22</v>
      </c>
      <c r="H238" s="39">
        <v>3.6314389999999999</v>
      </c>
      <c r="I238" s="39">
        <v>1.105</v>
      </c>
      <c r="J238" s="39">
        <v>2.504</v>
      </c>
      <c r="K238" s="41">
        <v>45623</v>
      </c>
      <c r="L238" s="35">
        <v>7.37</v>
      </c>
      <c r="M238" s="35">
        <v>74.08</v>
      </c>
      <c r="N238" s="39">
        <v>354.4496378</v>
      </c>
      <c r="O238" s="43">
        <v>5.7246706042708741E-3</v>
      </c>
      <c r="P238" s="35">
        <v>110.68</v>
      </c>
      <c r="Q238" s="35">
        <v>110.05</v>
      </c>
    </row>
    <row r="239" spans="1:17" x14ac:dyDescent="0.15">
      <c r="A239" s="47">
        <v>238</v>
      </c>
      <c r="B239" s="35">
        <v>127056</v>
      </c>
      <c r="C239" s="35" t="s">
        <v>1934</v>
      </c>
      <c r="D239" s="35">
        <v>113.1</v>
      </c>
      <c r="E239" s="35">
        <v>49.15</v>
      </c>
      <c r="F239" s="50">
        <v>162.25</v>
      </c>
      <c r="G239" s="35">
        <v>1.4</v>
      </c>
      <c r="H239" s="39">
        <v>50</v>
      </c>
      <c r="I239" s="39">
        <v>-0.4254</v>
      </c>
      <c r="J239" s="39">
        <v>5.7510000000000003</v>
      </c>
      <c r="K239" s="41">
        <v>46808</v>
      </c>
      <c r="L239" s="35">
        <v>24.2</v>
      </c>
      <c r="M239" s="35">
        <v>75.83</v>
      </c>
      <c r="N239" s="39">
        <v>5595.3794538000002</v>
      </c>
      <c r="O239" s="43">
        <v>2.0638521055415526E-2</v>
      </c>
      <c r="P239" s="35">
        <v>113.84099999999999</v>
      </c>
      <c r="Q239" s="35">
        <v>111.539</v>
      </c>
    </row>
    <row r="240" spans="1:17" x14ac:dyDescent="0.15">
      <c r="A240" s="47">
        <v>239</v>
      </c>
      <c r="B240" s="35">
        <v>110045</v>
      </c>
      <c r="C240" s="35" t="s">
        <v>1935</v>
      </c>
      <c r="D240" s="35">
        <v>107.65</v>
      </c>
      <c r="E240" s="35">
        <v>49.18</v>
      </c>
      <c r="F240" s="50">
        <v>156.83000000000001</v>
      </c>
      <c r="G240" s="35">
        <v>-0.01</v>
      </c>
      <c r="H240" s="39">
        <v>29.496200000000002</v>
      </c>
      <c r="I240" s="39">
        <v>1.1640999999999999</v>
      </c>
      <c r="J240" s="39">
        <v>2.129</v>
      </c>
      <c r="K240" s="41">
        <v>45486</v>
      </c>
      <c r="L240" s="35">
        <v>7.04</v>
      </c>
      <c r="M240" s="35">
        <v>72.16</v>
      </c>
      <c r="N240" s="39">
        <v>1543.0399</v>
      </c>
      <c r="O240" s="43">
        <v>4.1856571481721574E-3</v>
      </c>
      <c r="P240" s="35">
        <v>107.96</v>
      </c>
      <c r="Q240" s="35">
        <v>107.51</v>
      </c>
    </row>
    <row r="241" spans="1:17" x14ac:dyDescent="0.15">
      <c r="A241" s="47">
        <v>240</v>
      </c>
      <c r="B241" s="35">
        <v>128101</v>
      </c>
      <c r="C241" s="35" t="s">
        <v>1936</v>
      </c>
      <c r="D241" s="35">
        <v>134</v>
      </c>
      <c r="E241" s="35">
        <v>49.35</v>
      </c>
      <c r="F241" s="50">
        <v>183.35</v>
      </c>
      <c r="G241" s="35">
        <v>-0.37</v>
      </c>
      <c r="H241" s="39">
        <v>2.994631</v>
      </c>
      <c r="I241" s="39">
        <v>-4.1623999999999999</v>
      </c>
      <c r="J241" s="39">
        <v>3.8029999999999999</v>
      </c>
      <c r="K241" s="41">
        <v>46097</v>
      </c>
      <c r="L241" s="35">
        <v>13.72</v>
      </c>
      <c r="M241" s="35">
        <v>89.72</v>
      </c>
      <c r="N241" s="39">
        <v>7613.5767959999994</v>
      </c>
      <c r="O241" s="43">
        <v>3.042696629213492E-2</v>
      </c>
      <c r="P241" s="35">
        <v>137.56200000000001</v>
      </c>
      <c r="Q241" s="35">
        <v>133.5</v>
      </c>
    </row>
    <row r="242" spans="1:17" x14ac:dyDescent="0.15">
      <c r="A242" s="47">
        <v>241</v>
      </c>
      <c r="B242" s="35">
        <v>127037</v>
      </c>
      <c r="C242" s="35" t="s">
        <v>233</v>
      </c>
      <c r="D242" s="35">
        <v>118.8</v>
      </c>
      <c r="E242" s="35">
        <v>49.47</v>
      </c>
      <c r="F242" s="50">
        <v>168.26999999999998</v>
      </c>
      <c r="G242" s="35">
        <v>-1.1299999999999999</v>
      </c>
      <c r="H242" s="39">
        <v>6.9976070000000012</v>
      </c>
      <c r="I242" s="39">
        <v>-0.63900000000000001</v>
      </c>
      <c r="J242" s="39">
        <v>5.03</v>
      </c>
      <c r="K242" s="41">
        <v>46545</v>
      </c>
      <c r="L242" s="35">
        <v>10.77</v>
      </c>
      <c r="M242" s="35">
        <v>79.48</v>
      </c>
      <c r="N242" s="39">
        <v>1861.1437118000001</v>
      </c>
      <c r="O242" s="43">
        <v>2.7212095017754376E-2</v>
      </c>
      <c r="P242" s="35">
        <v>121.21</v>
      </c>
      <c r="Q242" s="35">
        <v>117.999</v>
      </c>
    </row>
    <row r="243" spans="1:17" x14ac:dyDescent="0.15">
      <c r="A243" s="47">
        <v>242</v>
      </c>
      <c r="B243" s="35">
        <v>128056</v>
      </c>
      <c r="C243" s="35" t="s">
        <v>79</v>
      </c>
      <c r="D243" s="35">
        <v>119.78100000000001</v>
      </c>
      <c r="E243" s="35">
        <v>49.5</v>
      </c>
      <c r="F243" s="50">
        <v>169.28100000000001</v>
      </c>
      <c r="G243" s="35">
        <v>0.27</v>
      </c>
      <c r="H243" s="39">
        <v>1.7224740000000003</v>
      </c>
      <c r="I243" s="39">
        <v>-0.24079999999999999</v>
      </c>
      <c r="J243" s="39">
        <v>2.7589999999999999</v>
      </c>
      <c r="K243" s="41">
        <v>45716</v>
      </c>
      <c r="L243" s="35">
        <v>6.69</v>
      </c>
      <c r="M243" s="35">
        <v>80.12</v>
      </c>
      <c r="N243" s="39">
        <v>611.03401819999999</v>
      </c>
      <c r="O243" s="43">
        <v>8.6875425345107667E-3</v>
      </c>
      <c r="P243" s="35">
        <v>120.05500000000001</v>
      </c>
      <c r="Q243" s="35">
        <v>119.021</v>
      </c>
    </row>
    <row r="244" spans="1:17" x14ac:dyDescent="0.15">
      <c r="A244" s="47">
        <v>243</v>
      </c>
      <c r="B244" s="35">
        <v>110056</v>
      </c>
      <c r="C244" s="35" t="s">
        <v>1937</v>
      </c>
      <c r="D244" s="35">
        <v>120.45</v>
      </c>
      <c r="E244" s="35">
        <v>49.81</v>
      </c>
      <c r="F244" s="50">
        <v>170.26</v>
      </c>
      <c r="G244" s="35">
        <v>-0.13</v>
      </c>
      <c r="H244" s="39">
        <v>17.100950000000001</v>
      </c>
      <c r="I244" s="39">
        <v>-2.1833999999999998</v>
      </c>
      <c r="J244" s="39">
        <v>2.8109999999999999</v>
      </c>
      <c r="K244" s="41">
        <v>45735</v>
      </c>
      <c r="L244" s="35">
        <v>14.95</v>
      </c>
      <c r="M244" s="35">
        <v>80.400000000000006</v>
      </c>
      <c r="N244" s="39">
        <v>1514.3219999999999</v>
      </c>
      <c r="O244" s="43">
        <v>2.2543881540637287E-2</v>
      </c>
      <c r="P244" s="35">
        <v>122.92</v>
      </c>
      <c r="Q244" s="35">
        <v>120.21</v>
      </c>
    </row>
    <row r="245" spans="1:17" x14ac:dyDescent="0.15">
      <c r="A245" s="47">
        <v>244</v>
      </c>
      <c r="B245" s="35">
        <v>123014</v>
      </c>
      <c r="C245" s="35" t="s">
        <v>55</v>
      </c>
      <c r="D245" s="35">
        <v>137.98500000000001</v>
      </c>
      <c r="E245" s="35">
        <v>50.1</v>
      </c>
      <c r="F245" s="50">
        <v>188.08500000000001</v>
      </c>
      <c r="G245" s="35">
        <v>0.72</v>
      </c>
      <c r="H245" s="39">
        <v>1.1603950000000001</v>
      </c>
      <c r="I245" s="39">
        <v>-19.4453</v>
      </c>
      <c r="J245" s="39">
        <v>1.1639999999999999</v>
      </c>
      <c r="K245" s="41">
        <v>45134</v>
      </c>
      <c r="L245" s="35">
        <v>8.0500000000000007</v>
      </c>
      <c r="M245" s="35">
        <v>91.93</v>
      </c>
      <c r="N245" s="39">
        <v>14617.632764599999</v>
      </c>
      <c r="O245" s="43">
        <v>2.3250031082929272E-2</v>
      </c>
      <c r="P245" s="35">
        <v>139.91</v>
      </c>
      <c r="Q245" s="35">
        <v>136.73099999999999</v>
      </c>
    </row>
    <row r="246" spans="1:17" x14ac:dyDescent="0.15">
      <c r="A246" s="47">
        <v>245</v>
      </c>
      <c r="B246" s="35">
        <v>127047</v>
      </c>
      <c r="C246" s="35" t="s">
        <v>1938</v>
      </c>
      <c r="D246" s="35">
        <v>104.851</v>
      </c>
      <c r="E246" s="35">
        <v>50.28</v>
      </c>
      <c r="F246" s="50">
        <v>155.131</v>
      </c>
      <c r="G246" s="35">
        <v>-0.05</v>
      </c>
      <c r="H246" s="39">
        <v>14.999606999999999</v>
      </c>
      <c r="I246" s="39">
        <v>2.6355</v>
      </c>
      <c r="J246" s="39">
        <v>5.4139999999999997</v>
      </c>
      <c r="K246" s="41">
        <v>46685</v>
      </c>
      <c r="L246" s="35">
        <v>13.53</v>
      </c>
      <c r="M246" s="35">
        <v>69.77</v>
      </c>
      <c r="N246" s="39">
        <v>2131.5922329999999</v>
      </c>
      <c r="O246" s="43">
        <v>6.4715947653687707E-3</v>
      </c>
      <c r="P246" s="35">
        <v>105.288</v>
      </c>
      <c r="Q246" s="35">
        <v>104.611</v>
      </c>
    </row>
    <row r="247" spans="1:17" x14ac:dyDescent="0.15">
      <c r="A247" s="47">
        <v>246</v>
      </c>
      <c r="B247" s="35">
        <v>113600</v>
      </c>
      <c r="C247" s="35" t="s">
        <v>275</v>
      </c>
      <c r="D247" s="35">
        <v>120.64</v>
      </c>
      <c r="E247" s="35">
        <v>50.41</v>
      </c>
      <c r="F247" s="50">
        <v>171.05</v>
      </c>
      <c r="G247" s="35">
        <v>-0.17</v>
      </c>
      <c r="H247" s="39">
        <v>4.5331000000000001</v>
      </c>
      <c r="I247" s="39">
        <v>0.98070000000000002</v>
      </c>
      <c r="J247" s="39">
        <v>4.2140000000000004</v>
      </c>
      <c r="K247" s="41">
        <v>46247</v>
      </c>
      <c r="L247" s="35">
        <v>23.85</v>
      </c>
      <c r="M247" s="35">
        <v>80.209999999999994</v>
      </c>
      <c r="N247" s="39">
        <v>388.71559999999999</v>
      </c>
      <c r="O247" s="43">
        <v>1.541538205149566E-2</v>
      </c>
      <c r="P247" s="35">
        <v>121.86</v>
      </c>
      <c r="Q247" s="35">
        <v>120.01</v>
      </c>
    </row>
    <row r="248" spans="1:17" x14ac:dyDescent="0.15">
      <c r="A248" s="47">
        <v>247</v>
      </c>
      <c r="B248" s="35">
        <v>123031</v>
      </c>
      <c r="C248" s="35" t="s">
        <v>1939</v>
      </c>
      <c r="D248" s="35">
        <v>362.93599999999998</v>
      </c>
      <c r="E248" s="35">
        <v>50.78</v>
      </c>
      <c r="F248" s="50">
        <v>413.71600000000001</v>
      </c>
      <c r="G248" s="35">
        <v>-2.99</v>
      </c>
      <c r="H248" s="39">
        <v>0.53005000000000002</v>
      </c>
      <c r="I248" s="39">
        <v>-30.021799999999999</v>
      </c>
      <c r="J248" s="39">
        <v>3.258</v>
      </c>
      <c r="K248" s="41">
        <v>45898</v>
      </c>
      <c r="L248" s="35">
        <v>10.66</v>
      </c>
      <c r="M248" s="35">
        <v>240.71</v>
      </c>
      <c r="N248" s="39">
        <v>18671.345652</v>
      </c>
      <c r="O248" s="43">
        <v>6.0793087486499059E-2</v>
      </c>
      <c r="P248" s="35">
        <v>385</v>
      </c>
      <c r="Q248" s="35">
        <v>362.93599999999998</v>
      </c>
    </row>
    <row r="249" spans="1:17" x14ac:dyDescent="0.15">
      <c r="A249" s="47">
        <v>248</v>
      </c>
      <c r="B249" s="35">
        <v>128120</v>
      </c>
      <c r="C249" s="35" t="s">
        <v>117</v>
      </c>
      <c r="D249" s="35">
        <v>116.431</v>
      </c>
      <c r="E249" s="35">
        <v>51.03</v>
      </c>
      <c r="F249" s="50">
        <v>167.46100000000001</v>
      </c>
      <c r="G249" s="35">
        <v>0.56000000000000005</v>
      </c>
      <c r="H249" s="39">
        <v>2.5996240000000004</v>
      </c>
      <c r="I249" s="39">
        <v>0.31090000000000001</v>
      </c>
      <c r="J249" s="39">
        <v>4.1399999999999997</v>
      </c>
      <c r="K249" s="41">
        <v>46220</v>
      </c>
      <c r="L249" s="35">
        <v>18.07</v>
      </c>
      <c r="M249" s="35">
        <v>77.09</v>
      </c>
      <c r="N249" s="39">
        <v>1103.5291798000001</v>
      </c>
      <c r="O249" s="43">
        <v>1.7139889196675934E-2</v>
      </c>
      <c r="P249" s="35">
        <v>117.5</v>
      </c>
      <c r="Q249" s="35">
        <v>115.52</v>
      </c>
    </row>
    <row r="250" spans="1:17" x14ac:dyDescent="0.15">
      <c r="A250" s="47">
        <v>249</v>
      </c>
      <c r="B250" s="35">
        <v>128078</v>
      </c>
      <c r="C250" s="35" t="s">
        <v>1940</v>
      </c>
      <c r="D250" s="35">
        <v>120.49</v>
      </c>
      <c r="E250" s="35">
        <v>51.2</v>
      </c>
      <c r="F250" s="50">
        <v>171.69</v>
      </c>
      <c r="G250" s="35">
        <v>0.37</v>
      </c>
      <c r="H250" s="39">
        <v>9.5993570000000012</v>
      </c>
      <c r="I250" s="39">
        <v>-1.0544</v>
      </c>
      <c r="J250" s="39">
        <v>3.403</v>
      </c>
      <c r="K250" s="41">
        <v>45951</v>
      </c>
      <c r="L250" s="35">
        <v>22.21</v>
      </c>
      <c r="M250" s="35">
        <v>79.69</v>
      </c>
      <c r="N250" s="39">
        <v>237.20292689999999</v>
      </c>
      <c r="O250" s="43">
        <v>1.0798489209830134E-2</v>
      </c>
      <c r="P250" s="35">
        <v>121.5</v>
      </c>
      <c r="Q250" s="35">
        <v>120.202</v>
      </c>
    </row>
    <row r="251" spans="1:17" x14ac:dyDescent="0.15">
      <c r="A251" s="47">
        <v>250</v>
      </c>
      <c r="B251" s="35">
        <v>123133</v>
      </c>
      <c r="C251" s="35" t="s">
        <v>278</v>
      </c>
      <c r="D251" s="35">
        <v>118.6</v>
      </c>
      <c r="E251" s="35">
        <v>51.31</v>
      </c>
      <c r="F251" s="50">
        <v>169.91</v>
      </c>
      <c r="G251" s="35">
        <v>0.49</v>
      </c>
      <c r="H251" s="39">
        <v>7.2</v>
      </c>
      <c r="I251" s="39">
        <v>0.29089999999999999</v>
      </c>
      <c r="J251" s="39">
        <v>5.5730000000000004</v>
      </c>
      <c r="K251" s="41">
        <v>46743</v>
      </c>
      <c r="L251" s="35">
        <v>19.89</v>
      </c>
      <c r="M251" s="35">
        <v>78.38</v>
      </c>
      <c r="N251" s="39">
        <v>440.83421399999997</v>
      </c>
      <c r="O251" s="43">
        <v>6.5705807545569433E-3</v>
      </c>
      <c r="P251" s="35">
        <v>118.72499999999999</v>
      </c>
      <c r="Q251" s="35">
        <v>117.95</v>
      </c>
    </row>
    <row r="252" spans="1:17" x14ac:dyDescent="0.15">
      <c r="A252" s="47">
        <v>251</v>
      </c>
      <c r="B252" s="35">
        <v>127006</v>
      </c>
      <c r="C252" s="35" t="s">
        <v>1941</v>
      </c>
      <c r="D252" s="35">
        <v>107.51</v>
      </c>
      <c r="E252" s="35">
        <v>51.49</v>
      </c>
      <c r="F252" s="50">
        <v>159</v>
      </c>
      <c r="G252" s="35">
        <v>0</v>
      </c>
      <c r="H252" s="39">
        <v>24.072263</v>
      </c>
      <c r="I252" s="39">
        <v>-0.4758</v>
      </c>
      <c r="J252" s="39">
        <v>1.7949999999999999</v>
      </c>
      <c r="K252" s="41">
        <v>45364</v>
      </c>
      <c r="L252" s="35">
        <v>20.22</v>
      </c>
      <c r="M252" s="35">
        <v>70.97</v>
      </c>
      <c r="N252" s="39">
        <v>3640.3530920000003</v>
      </c>
      <c r="O252" s="43">
        <v>6.5128951591834393E-3</v>
      </c>
      <c r="P252" s="35">
        <v>107.87</v>
      </c>
      <c r="Q252" s="35">
        <v>107.172</v>
      </c>
    </row>
    <row r="253" spans="1:17" x14ac:dyDescent="0.15">
      <c r="A253" s="47">
        <v>252</v>
      </c>
      <c r="B253" s="35">
        <v>113648</v>
      </c>
      <c r="C253" s="35" t="s">
        <v>1942</v>
      </c>
      <c r="D253" s="35">
        <v>117.67</v>
      </c>
      <c r="E253" s="35">
        <v>51.62</v>
      </c>
      <c r="F253" s="50">
        <v>169.29</v>
      </c>
      <c r="G253" s="35">
        <v>1.1399999999999999</v>
      </c>
      <c r="H253" s="39">
        <v>10</v>
      </c>
      <c r="I253" s="39">
        <v>0.1215</v>
      </c>
      <c r="J253" s="39">
        <v>5.915</v>
      </c>
      <c r="K253" s="41">
        <v>46868</v>
      </c>
      <c r="L253" s="35">
        <v>25.24</v>
      </c>
      <c r="M253" s="35">
        <v>77.61</v>
      </c>
      <c r="N253" s="39">
        <v>32614.037199999999</v>
      </c>
      <c r="O253" s="43">
        <v>2.0711080428029046E-2</v>
      </c>
      <c r="P253" s="35">
        <v>118.28</v>
      </c>
      <c r="Q253" s="35">
        <v>115.88</v>
      </c>
    </row>
    <row r="254" spans="1:17" x14ac:dyDescent="0.15">
      <c r="A254" s="47">
        <v>253</v>
      </c>
      <c r="B254" s="35">
        <v>113621</v>
      </c>
      <c r="C254" s="35" t="s">
        <v>248</v>
      </c>
      <c r="D254" s="35">
        <v>126.4</v>
      </c>
      <c r="E254" s="35">
        <v>51.65</v>
      </c>
      <c r="F254" s="50">
        <v>178.05</v>
      </c>
      <c r="G254" s="35">
        <v>-0.56999999999999995</v>
      </c>
      <c r="H254" s="39">
        <v>5.3671432979999993</v>
      </c>
      <c r="I254" s="39">
        <v>-2.0762</v>
      </c>
      <c r="J254" s="39">
        <v>4.6680000000000001</v>
      </c>
      <c r="K254" s="41">
        <v>46413</v>
      </c>
      <c r="L254" s="35">
        <v>32.619999999999997</v>
      </c>
      <c r="M254" s="35">
        <v>83.35</v>
      </c>
      <c r="N254" s="39">
        <v>3516.2318</v>
      </c>
      <c r="O254" s="43">
        <v>2.4481064807479032E-2</v>
      </c>
      <c r="P254" s="35">
        <v>129.31</v>
      </c>
      <c r="Q254" s="35">
        <v>126.22</v>
      </c>
    </row>
    <row r="255" spans="1:17" x14ac:dyDescent="0.15">
      <c r="A255" s="47">
        <v>254</v>
      </c>
      <c r="B255" s="35">
        <v>123131</v>
      </c>
      <c r="C255" s="35" t="s">
        <v>250</v>
      </c>
      <c r="D255" s="35">
        <v>124.7</v>
      </c>
      <c r="E255" s="35">
        <v>52.97</v>
      </c>
      <c r="F255" s="50">
        <v>177.67000000000002</v>
      </c>
      <c r="G255" s="35">
        <v>0.16</v>
      </c>
      <c r="H255" s="39">
        <v>6.35</v>
      </c>
      <c r="I255" s="39">
        <v>-0.44990000000000002</v>
      </c>
      <c r="J255" s="39">
        <v>5.5209999999999999</v>
      </c>
      <c r="K255" s="41">
        <v>46724</v>
      </c>
      <c r="L255" s="35">
        <v>22.02</v>
      </c>
      <c r="M255" s="35">
        <v>81.52</v>
      </c>
      <c r="N255" s="39">
        <v>1920.8167197999999</v>
      </c>
      <c r="O255" s="43">
        <v>1.0071977199169047E-2</v>
      </c>
      <c r="P255" s="35">
        <v>125.45699999999999</v>
      </c>
      <c r="Q255" s="35">
        <v>124.206</v>
      </c>
    </row>
    <row r="256" spans="1:17" x14ac:dyDescent="0.15">
      <c r="A256" s="47">
        <v>255</v>
      </c>
      <c r="B256" s="35">
        <v>113561</v>
      </c>
      <c r="C256" s="35" t="s">
        <v>86</v>
      </c>
      <c r="D256" s="35">
        <v>118.38</v>
      </c>
      <c r="E256" s="35">
        <v>53.18</v>
      </c>
      <c r="F256" s="50">
        <v>171.56</v>
      </c>
      <c r="G256" s="35">
        <v>0.48</v>
      </c>
      <c r="H256" s="39">
        <v>1.4991000000000001</v>
      </c>
      <c r="I256" s="39">
        <v>-0.28420000000000001</v>
      </c>
      <c r="J256" s="39">
        <v>3.597</v>
      </c>
      <c r="K256" s="41">
        <v>46022</v>
      </c>
      <c r="L256" s="35">
        <v>10.08</v>
      </c>
      <c r="M256" s="35">
        <v>77.28</v>
      </c>
      <c r="N256" s="39">
        <v>716.36130000000003</v>
      </c>
      <c r="O256" s="43">
        <v>1.0301379192916805E-2</v>
      </c>
      <c r="P256" s="35">
        <v>118.67</v>
      </c>
      <c r="Q256" s="35">
        <v>117.46</v>
      </c>
    </row>
    <row r="257" spans="1:17" x14ac:dyDescent="0.15">
      <c r="A257" s="47">
        <v>256</v>
      </c>
      <c r="B257" s="35">
        <v>123132</v>
      </c>
      <c r="C257" s="35" t="s">
        <v>254</v>
      </c>
      <c r="D257" s="35">
        <v>116.67</v>
      </c>
      <c r="E257" s="35">
        <v>53.43</v>
      </c>
      <c r="F257" s="50">
        <v>170.1</v>
      </c>
      <c r="G257" s="35">
        <v>1</v>
      </c>
      <c r="H257" s="39">
        <v>7</v>
      </c>
      <c r="I257" s="39">
        <v>0.6704</v>
      </c>
      <c r="J257" s="39">
        <v>5.5590000000000002</v>
      </c>
      <c r="K257" s="41">
        <v>46738</v>
      </c>
      <c r="L257" s="35">
        <v>28</v>
      </c>
      <c r="M257" s="35">
        <v>76.040000000000006</v>
      </c>
      <c r="N257" s="39">
        <v>8158.5525246000007</v>
      </c>
      <c r="O257" s="43">
        <v>2.5596529284164882E-2</v>
      </c>
      <c r="P257" s="35">
        <v>118.2</v>
      </c>
      <c r="Q257" s="35">
        <v>115.25</v>
      </c>
    </row>
    <row r="258" spans="1:17" x14ac:dyDescent="0.15">
      <c r="A258" s="47">
        <v>257</v>
      </c>
      <c r="B258" s="35">
        <v>127026</v>
      </c>
      <c r="C258" s="35" t="s">
        <v>235</v>
      </c>
      <c r="D258" s="35">
        <v>111.17100000000001</v>
      </c>
      <c r="E258" s="35">
        <v>53.7</v>
      </c>
      <c r="F258" s="50">
        <v>164.87100000000001</v>
      </c>
      <c r="G258" s="35">
        <v>-0.22</v>
      </c>
      <c r="H258" s="39">
        <v>6.9971039999999984</v>
      </c>
      <c r="I258" s="39">
        <v>0.32740000000000002</v>
      </c>
      <c r="J258" s="39">
        <v>4.5339999999999998</v>
      </c>
      <c r="K258" s="41">
        <v>46364</v>
      </c>
      <c r="L258" s="35">
        <v>12.72</v>
      </c>
      <c r="M258" s="35">
        <v>72.33</v>
      </c>
      <c r="N258" s="39">
        <v>747.65001810000001</v>
      </c>
      <c r="O258" s="43">
        <v>1.1592011592011562E-2</v>
      </c>
      <c r="P258" s="35">
        <v>112.399</v>
      </c>
      <c r="Q258" s="35">
        <v>111.111</v>
      </c>
    </row>
    <row r="259" spans="1:17" x14ac:dyDescent="0.15">
      <c r="A259" s="47">
        <v>258</v>
      </c>
      <c r="B259" s="35">
        <v>113644</v>
      </c>
      <c r="C259" s="35" t="s">
        <v>1943</v>
      </c>
      <c r="D259" s="35">
        <v>112.78</v>
      </c>
      <c r="E259" s="35">
        <v>54.41</v>
      </c>
      <c r="F259" s="50">
        <v>167.19</v>
      </c>
      <c r="G259" s="35">
        <v>0.93</v>
      </c>
      <c r="H259" s="39">
        <v>10</v>
      </c>
      <c r="I259" s="39">
        <v>1.1205000000000001</v>
      </c>
      <c r="J259" s="39">
        <v>5.8879999999999999</v>
      </c>
      <c r="K259" s="41">
        <v>46858</v>
      </c>
      <c r="L259" s="35">
        <v>23.96</v>
      </c>
      <c r="M259" s="35">
        <v>73.040000000000006</v>
      </c>
      <c r="N259" s="39">
        <v>6023.0998</v>
      </c>
      <c r="O259" s="43">
        <v>8.4745762711864667E-3</v>
      </c>
      <c r="P259" s="35">
        <v>113.05</v>
      </c>
      <c r="Q259" s="35">
        <v>112.1</v>
      </c>
    </row>
    <row r="260" spans="1:17" x14ac:dyDescent="0.15">
      <c r="A260" s="47">
        <v>259</v>
      </c>
      <c r="B260" s="35">
        <v>123142</v>
      </c>
      <c r="C260" s="35" t="s">
        <v>782</v>
      </c>
      <c r="D260" s="35">
        <v>116.794</v>
      </c>
      <c r="E260" s="35">
        <v>54.65</v>
      </c>
      <c r="F260" s="50">
        <v>171.44399999999999</v>
      </c>
      <c r="G260" s="35">
        <v>-0.43</v>
      </c>
      <c r="H260" s="39">
        <v>5.5</v>
      </c>
      <c r="I260" s="39">
        <v>-0.1195</v>
      </c>
      <c r="J260" s="39">
        <v>5.8109999999999999</v>
      </c>
      <c r="K260" s="41">
        <v>46830</v>
      </c>
      <c r="L260" s="35">
        <v>34.11</v>
      </c>
      <c r="M260" s="35">
        <v>75.52</v>
      </c>
      <c r="N260" s="39">
        <v>2012.2426995000001</v>
      </c>
      <c r="O260" s="43">
        <v>1.5935227682945689E-2</v>
      </c>
      <c r="P260" s="35">
        <v>118.2</v>
      </c>
      <c r="Q260" s="35">
        <v>116.346</v>
      </c>
    </row>
    <row r="261" spans="1:17" x14ac:dyDescent="0.15">
      <c r="A261" s="47">
        <v>260</v>
      </c>
      <c r="B261" s="35">
        <v>127055</v>
      </c>
      <c r="C261" s="35" t="s">
        <v>781</v>
      </c>
      <c r="D261" s="35">
        <v>116.84099999999999</v>
      </c>
      <c r="E261" s="35">
        <v>54.9</v>
      </c>
      <c r="F261" s="50">
        <v>171.74099999999999</v>
      </c>
      <c r="G261" s="35">
        <v>1.32</v>
      </c>
      <c r="H261" s="39">
        <v>5.77</v>
      </c>
      <c r="I261" s="39">
        <v>0.51780000000000004</v>
      </c>
      <c r="J261" s="39">
        <v>5.742</v>
      </c>
      <c r="K261" s="41">
        <v>46805</v>
      </c>
      <c r="L261" s="35">
        <v>23.52</v>
      </c>
      <c r="M261" s="35">
        <v>75.430000000000007</v>
      </c>
      <c r="N261" s="39">
        <v>6447.4869273000004</v>
      </c>
      <c r="O261" s="43">
        <v>1.6097051917558041E-2</v>
      </c>
      <c r="P261" s="35">
        <v>116.84099999999999</v>
      </c>
      <c r="Q261" s="35">
        <v>114.99</v>
      </c>
    </row>
    <row r="262" spans="1:17" x14ac:dyDescent="0.15">
      <c r="A262" s="47">
        <v>261</v>
      </c>
      <c r="B262" s="35">
        <v>128039</v>
      </c>
      <c r="C262" s="35" t="s">
        <v>120</v>
      </c>
      <c r="D262" s="35">
        <v>117.221</v>
      </c>
      <c r="E262" s="35">
        <v>55.32</v>
      </c>
      <c r="F262" s="50">
        <v>172.541</v>
      </c>
      <c r="G262" s="35">
        <v>0.27</v>
      </c>
      <c r="H262" s="39">
        <v>2.0240990000000001</v>
      </c>
      <c r="I262" s="39">
        <v>-3.6606999999999998</v>
      </c>
      <c r="J262" s="39">
        <v>2.0329999999999999</v>
      </c>
      <c r="K262" s="41">
        <v>45451</v>
      </c>
      <c r="L262" s="35">
        <v>5.79</v>
      </c>
      <c r="M262" s="35">
        <v>75.47</v>
      </c>
      <c r="N262" s="39">
        <v>458.69213980000001</v>
      </c>
      <c r="O262" s="43">
        <v>7.9712008228335698E-3</v>
      </c>
      <c r="P262" s="35">
        <v>117.6</v>
      </c>
      <c r="Q262" s="35">
        <v>116.67</v>
      </c>
    </row>
    <row r="263" spans="1:17" x14ac:dyDescent="0.15">
      <c r="A263" s="47">
        <v>262</v>
      </c>
      <c r="B263" s="35">
        <v>127048</v>
      </c>
      <c r="C263" s="35" t="s">
        <v>221</v>
      </c>
      <c r="D263" s="35">
        <v>122.485</v>
      </c>
      <c r="E263" s="35">
        <v>55.38</v>
      </c>
      <c r="F263" s="50">
        <v>177.86500000000001</v>
      </c>
      <c r="G263" s="35">
        <v>-0.27</v>
      </c>
      <c r="H263" s="39">
        <v>2.6998259999999998</v>
      </c>
      <c r="I263" s="39">
        <v>-0.12130000000000001</v>
      </c>
      <c r="J263" s="39">
        <v>5.4160000000000004</v>
      </c>
      <c r="K263" s="41">
        <v>46686</v>
      </c>
      <c r="L263" s="35">
        <v>16.77</v>
      </c>
      <c r="M263" s="35">
        <v>78.83</v>
      </c>
      <c r="N263" s="39">
        <v>2711.5575633000003</v>
      </c>
      <c r="O263" s="43">
        <v>1.8062397372742223E-2</v>
      </c>
      <c r="P263" s="35">
        <v>124</v>
      </c>
      <c r="Q263" s="35">
        <v>121.8</v>
      </c>
    </row>
    <row r="264" spans="1:17" x14ac:dyDescent="0.15">
      <c r="A264" s="47">
        <v>263</v>
      </c>
      <c r="B264" s="35">
        <v>128036</v>
      </c>
      <c r="C264" s="35" t="s">
        <v>182</v>
      </c>
      <c r="D264" s="35">
        <v>141.38900000000001</v>
      </c>
      <c r="E264" s="35">
        <v>55.53</v>
      </c>
      <c r="F264" s="50">
        <v>196.91900000000001</v>
      </c>
      <c r="G264" s="35">
        <v>-0.56000000000000005</v>
      </c>
      <c r="H264" s="39">
        <v>1.4565429999999999</v>
      </c>
      <c r="I264" s="39">
        <v>-14.2021</v>
      </c>
      <c r="J264" s="39">
        <v>1.784</v>
      </c>
      <c r="K264" s="41">
        <v>45360</v>
      </c>
      <c r="L264" s="35">
        <v>6.93</v>
      </c>
      <c r="M264" s="35">
        <v>90.91</v>
      </c>
      <c r="N264" s="39">
        <v>10518.591275000001</v>
      </c>
      <c r="O264" s="43">
        <v>1.8297872340425621E-2</v>
      </c>
      <c r="P264" s="35">
        <v>143.58000000000001</v>
      </c>
      <c r="Q264" s="35">
        <v>141</v>
      </c>
    </row>
    <row r="265" spans="1:17" x14ac:dyDescent="0.15">
      <c r="A265" s="47">
        <v>264</v>
      </c>
      <c r="B265" s="35">
        <v>111002</v>
      </c>
      <c r="C265" s="35" t="s">
        <v>249</v>
      </c>
      <c r="D265" s="35">
        <v>141.38900000000001</v>
      </c>
      <c r="E265" s="35">
        <v>55.53</v>
      </c>
      <c r="F265" s="50">
        <v>196.91900000000001</v>
      </c>
      <c r="G265" s="35">
        <v>-0.56000000000000005</v>
      </c>
      <c r="H265" s="39">
        <v>1.4565429999999999</v>
      </c>
      <c r="I265" s="39">
        <v>-14.2021</v>
      </c>
      <c r="J265" s="39">
        <v>1.784</v>
      </c>
      <c r="K265" s="41">
        <v>45360</v>
      </c>
      <c r="L265" s="35">
        <v>6.93</v>
      </c>
      <c r="M265" s="35">
        <v>90.91</v>
      </c>
      <c r="N265" s="39">
        <v>10518.591275000001</v>
      </c>
      <c r="O265" s="43">
        <v>1.8297872340425621E-2</v>
      </c>
      <c r="P265" s="35">
        <v>143.58000000000001</v>
      </c>
      <c r="Q265" s="35">
        <v>141</v>
      </c>
    </row>
    <row r="266" spans="1:17" x14ac:dyDescent="0.15">
      <c r="A266" s="47">
        <v>265</v>
      </c>
      <c r="B266" s="35">
        <v>127036</v>
      </c>
      <c r="C266" s="35" t="s">
        <v>1944</v>
      </c>
      <c r="D266" s="35">
        <v>119</v>
      </c>
      <c r="E266" s="35">
        <v>55.66</v>
      </c>
      <c r="F266" s="50">
        <v>174.66</v>
      </c>
      <c r="G266" s="35">
        <v>-0.68</v>
      </c>
      <c r="H266" s="39">
        <v>29.992660000000001</v>
      </c>
      <c r="I266" s="39">
        <v>-0.77780000000000005</v>
      </c>
      <c r="J266" s="39">
        <v>5.0140000000000002</v>
      </c>
      <c r="K266" s="41">
        <v>46539</v>
      </c>
      <c r="L266" s="35">
        <v>21.4</v>
      </c>
      <c r="M266" s="35">
        <v>76.45</v>
      </c>
      <c r="N266" s="39">
        <v>1279.3596605</v>
      </c>
      <c r="O266" s="43">
        <v>2.1831182332209341E-2</v>
      </c>
      <c r="P266" s="35">
        <v>120.9</v>
      </c>
      <c r="Q266" s="35">
        <v>118.31699999999999</v>
      </c>
    </row>
    <row r="267" spans="1:17" x14ac:dyDescent="0.15">
      <c r="A267" s="47">
        <v>266</v>
      </c>
      <c r="B267" s="35">
        <v>123054</v>
      </c>
      <c r="C267" s="35" t="s">
        <v>82</v>
      </c>
      <c r="D267" s="35">
        <v>132</v>
      </c>
      <c r="E267" s="35">
        <v>55.84</v>
      </c>
      <c r="F267" s="50">
        <v>187.84</v>
      </c>
      <c r="G267" s="35">
        <v>0.09</v>
      </c>
      <c r="H267" s="39">
        <v>2.0732020000000002</v>
      </c>
      <c r="I267" s="39">
        <v>-2.1429</v>
      </c>
      <c r="J267" s="39">
        <v>4.0380000000000003</v>
      </c>
      <c r="K267" s="41">
        <v>46183</v>
      </c>
      <c r="L267" s="35">
        <v>10.46</v>
      </c>
      <c r="M267" s="35">
        <v>84.7</v>
      </c>
      <c r="N267" s="39">
        <v>13957.839596000002</v>
      </c>
      <c r="O267" s="43">
        <v>2.1969696969696823E-2</v>
      </c>
      <c r="P267" s="35">
        <v>133.55099999999999</v>
      </c>
      <c r="Q267" s="35">
        <v>130.68</v>
      </c>
    </row>
    <row r="268" spans="1:17" x14ac:dyDescent="0.15">
      <c r="A268" s="47">
        <v>267</v>
      </c>
      <c r="B268" s="35">
        <v>113527</v>
      </c>
      <c r="C268" s="35" t="s">
        <v>119</v>
      </c>
      <c r="D268" s="35">
        <v>119.44</v>
      </c>
      <c r="E268" s="35">
        <v>55.89</v>
      </c>
      <c r="F268" s="50">
        <v>175.32999999999998</v>
      </c>
      <c r="G268" s="35">
        <v>0.15</v>
      </c>
      <c r="H268" s="39">
        <v>2.8632300000000002</v>
      </c>
      <c r="I268" s="39">
        <v>-0.30070000000000002</v>
      </c>
      <c r="J268" s="39">
        <v>2.6629999999999998</v>
      </c>
      <c r="K268" s="41">
        <v>45681</v>
      </c>
      <c r="L268" s="35">
        <v>9.75</v>
      </c>
      <c r="M268" s="35">
        <v>76.62</v>
      </c>
      <c r="N268" s="39">
        <v>4823.3109000000004</v>
      </c>
      <c r="O268" s="43">
        <v>1.0420168067226848E-2</v>
      </c>
      <c r="P268" s="35">
        <v>120.24</v>
      </c>
      <c r="Q268" s="35">
        <v>119</v>
      </c>
    </row>
    <row r="269" spans="1:17" x14ac:dyDescent="0.15">
      <c r="A269" s="47">
        <v>268</v>
      </c>
      <c r="B269" s="35">
        <v>113588</v>
      </c>
      <c r="C269" s="35" t="s">
        <v>219</v>
      </c>
      <c r="D269" s="35">
        <v>111.16</v>
      </c>
      <c r="E269" s="35">
        <v>56.19</v>
      </c>
      <c r="F269" s="50">
        <v>167.35</v>
      </c>
      <c r="G269" s="35">
        <v>0.65</v>
      </c>
      <c r="H269" s="39">
        <v>5.49885</v>
      </c>
      <c r="I269" s="39">
        <v>0.61519999999999997</v>
      </c>
      <c r="J269" s="39">
        <v>4.0579999999999998</v>
      </c>
      <c r="K269" s="41">
        <v>46190</v>
      </c>
      <c r="L269" s="35">
        <v>13.25</v>
      </c>
      <c r="M269" s="35">
        <v>71.17</v>
      </c>
      <c r="N269" s="39">
        <v>5557.8806000000004</v>
      </c>
      <c r="O269" s="43">
        <v>8.7774862003438502E-3</v>
      </c>
      <c r="P269" s="35">
        <v>111.48</v>
      </c>
      <c r="Q269" s="35">
        <v>110.51</v>
      </c>
    </row>
    <row r="270" spans="1:17" x14ac:dyDescent="0.15">
      <c r="A270" s="47">
        <v>269</v>
      </c>
      <c r="B270" s="35">
        <v>123059</v>
      </c>
      <c r="C270" s="35" t="s">
        <v>211</v>
      </c>
      <c r="D270" s="35">
        <v>116.396</v>
      </c>
      <c r="E270" s="35">
        <v>56.24</v>
      </c>
      <c r="F270" s="50">
        <v>172.636</v>
      </c>
      <c r="G270" s="35">
        <v>-0.5</v>
      </c>
      <c r="H270" s="39">
        <v>3.912436</v>
      </c>
      <c r="I270" s="39">
        <v>1.5164</v>
      </c>
      <c r="J270" s="39">
        <v>4.1340000000000003</v>
      </c>
      <c r="K270" s="41">
        <v>46218</v>
      </c>
      <c r="L270" s="35">
        <v>9.5299999999999994</v>
      </c>
      <c r="M270" s="35">
        <v>74.5</v>
      </c>
      <c r="N270" s="39">
        <v>266.00069100000002</v>
      </c>
      <c r="O270" s="43">
        <v>1.0765828177038105E-2</v>
      </c>
      <c r="P270" s="35">
        <v>117.452</v>
      </c>
      <c r="Q270" s="35">
        <v>116.20099999999999</v>
      </c>
    </row>
    <row r="271" spans="1:17" x14ac:dyDescent="0.15">
      <c r="A271" s="47">
        <v>270</v>
      </c>
      <c r="B271" s="35">
        <v>128143</v>
      </c>
      <c r="C271" s="35" t="s">
        <v>118</v>
      </c>
      <c r="D271" s="35">
        <v>117.009</v>
      </c>
      <c r="E271" s="35">
        <v>56.3</v>
      </c>
      <c r="F271" s="50">
        <v>173.309</v>
      </c>
      <c r="G271" s="35">
        <v>1.1299999999999999</v>
      </c>
      <c r="H271" s="39">
        <v>2.443762</v>
      </c>
      <c r="I271" s="39">
        <v>0.78200000000000003</v>
      </c>
      <c r="J271" s="39">
        <v>4.6189999999999998</v>
      </c>
      <c r="K271" s="41">
        <v>46395</v>
      </c>
      <c r="L271" s="35">
        <v>12.73</v>
      </c>
      <c r="M271" s="35">
        <v>74.86</v>
      </c>
      <c r="N271" s="39">
        <v>7710.0576023000003</v>
      </c>
      <c r="O271" s="43">
        <v>2.00692041522492E-2</v>
      </c>
      <c r="P271" s="35">
        <v>117.92</v>
      </c>
      <c r="Q271" s="35">
        <v>115.6</v>
      </c>
    </row>
    <row r="272" spans="1:17" x14ac:dyDescent="0.15">
      <c r="A272" s="47">
        <v>271</v>
      </c>
      <c r="B272" s="35">
        <v>113577</v>
      </c>
      <c r="C272" s="35" t="s">
        <v>116</v>
      </c>
      <c r="D272" s="35">
        <v>126</v>
      </c>
      <c r="E272" s="35">
        <v>56.42</v>
      </c>
      <c r="F272" s="50">
        <v>182.42000000000002</v>
      </c>
      <c r="G272" s="35">
        <v>1.59</v>
      </c>
      <c r="H272" s="39">
        <v>1.7774799999999999</v>
      </c>
      <c r="I272" s="39">
        <v>-1.9245000000000001</v>
      </c>
      <c r="J272" s="39">
        <v>3.8820000000000001</v>
      </c>
      <c r="K272" s="41">
        <v>46126</v>
      </c>
      <c r="L272" s="35">
        <v>10.85</v>
      </c>
      <c r="M272" s="35">
        <v>80.55</v>
      </c>
      <c r="N272" s="39">
        <v>3206.5761000000002</v>
      </c>
      <c r="O272" s="43">
        <v>3.9893617021276619E-2</v>
      </c>
      <c r="P272" s="35">
        <v>129.03</v>
      </c>
      <c r="Q272" s="35">
        <v>124.08</v>
      </c>
    </row>
    <row r="273" spans="1:17" x14ac:dyDescent="0.15">
      <c r="A273" s="47">
        <v>272</v>
      </c>
      <c r="B273" s="35">
        <v>113610</v>
      </c>
      <c r="C273" s="35" t="s">
        <v>112</v>
      </c>
      <c r="D273" s="35">
        <v>110.89</v>
      </c>
      <c r="E273" s="35">
        <v>57.02</v>
      </c>
      <c r="F273" s="50">
        <v>167.91</v>
      </c>
      <c r="G273" s="35">
        <v>0.05</v>
      </c>
      <c r="H273" s="39">
        <v>4.5794600000000001</v>
      </c>
      <c r="I273" s="39">
        <v>1.9355</v>
      </c>
      <c r="J273" s="39">
        <v>4.5149999999999997</v>
      </c>
      <c r="K273" s="41">
        <v>46357</v>
      </c>
      <c r="L273" s="35">
        <v>8.61</v>
      </c>
      <c r="M273" s="35">
        <v>70.62</v>
      </c>
      <c r="N273" s="39">
        <v>178.279</v>
      </c>
      <c r="O273" s="43">
        <v>5.6895150365754129E-3</v>
      </c>
      <c r="P273" s="35">
        <v>111.36</v>
      </c>
      <c r="Q273" s="35">
        <v>110.73</v>
      </c>
    </row>
    <row r="274" spans="1:17" x14ac:dyDescent="0.15">
      <c r="A274" s="47">
        <v>273</v>
      </c>
      <c r="B274" s="35">
        <v>127050</v>
      </c>
      <c r="C274" s="35" t="s">
        <v>1945</v>
      </c>
      <c r="D274" s="35">
        <v>119.95</v>
      </c>
      <c r="E274" s="35">
        <v>57.46</v>
      </c>
      <c r="F274" s="50">
        <v>177.41</v>
      </c>
      <c r="G274" s="35">
        <v>7.0000000000000007E-2</v>
      </c>
      <c r="H274" s="39">
        <v>21.989227</v>
      </c>
      <c r="I274" s="39">
        <v>-0.76619999999999999</v>
      </c>
      <c r="J274" s="39">
        <v>5.46</v>
      </c>
      <c r="K274" s="41">
        <v>46702</v>
      </c>
      <c r="L274" s="35">
        <v>34.68</v>
      </c>
      <c r="M274" s="35">
        <v>76.180000000000007</v>
      </c>
      <c r="N274" s="39">
        <v>3153.1486261</v>
      </c>
      <c r="O274" s="43">
        <v>1.2947143619861242E-2</v>
      </c>
      <c r="P274" s="35">
        <v>121.42400000000001</v>
      </c>
      <c r="Q274" s="35">
        <v>119.872</v>
      </c>
    </row>
    <row r="275" spans="1:17" x14ac:dyDescent="0.15">
      <c r="A275" s="47">
        <v>274</v>
      </c>
      <c r="B275" s="35">
        <v>110067</v>
      </c>
      <c r="C275" s="35" t="s">
        <v>1946</v>
      </c>
      <c r="D275" s="35">
        <v>107.54</v>
      </c>
      <c r="E275" s="35">
        <v>57.75</v>
      </c>
      <c r="F275" s="50">
        <v>165.29000000000002</v>
      </c>
      <c r="G275" s="35">
        <v>0.14000000000000001</v>
      </c>
      <c r="H275" s="39">
        <v>27.995080000000002</v>
      </c>
      <c r="I275" s="39">
        <v>0.5806</v>
      </c>
      <c r="J275" s="39">
        <v>3.7919999999999998</v>
      </c>
      <c r="K275" s="41">
        <v>46093</v>
      </c>
      <c r="L275" s="35">
        <v>6.22</v>
      </c>
      <c r="M275" s="35">
        <v>68.17</v>
      </c>
      <c r="N275" s="39">
        <v>1155.4564</v>
      </c>
      <c r="O275" s="43">
        <v>8.2150858849887546E-3</v>
      </c>
      <c r="P275" s="35">
        <v>108</v>
      </c>
      <c r="Q275" s="35">
        <v>107.12</v>
      </c>
    </row>
    <row r="276" spans="1:17" x14ac:dyDescent="0.15">
      <c r="A276" s="47">
        <v>275</v>
      </c>
      <c r="B276" s="35">
        <v>113021</v>
      </c>
      <c r="C276" s="35" t="s">
        <v>1947</v>
      </c>
      <c r="D276" s="35">
        <v>109.27</v>
      </c>
      <c r="E276" s="35">
        <v>58.16</v>
      </c>
      <c r="F276" s="50">
        <v>167.43</v>
      </c>
      <c r="G276" s="35">
        <v>0.02</v>
      </c>
      <c r="H276" s="39">
        <v>399.99664999999999</v>
      </c>
      <c r="I276" s="39">
        <v>2.3974000000000002</v>
      </c>
      <c r="J276" s="39">
        <v>2.77</v>
      </c>
      <c r="K276" s="41">
        <v>45720</v>
      </c>
      <c r="L276" s="35">
        <v>6.73</v>
      </c>
      <c r="M276" s="35">
        <v>69.09</v>
      </c>
      <c r="N276" s="39">
        <v>8196.7307999999994</v>
      </c>
      <c r="O276" s="43">
        <v>1.5574896930827988E-3</v>
      </c>
      <c r="P276" s="35">
        <v>109.32</v>
      </c>
      <c r="Q276" s="35">
        <v>109.15</v>
      </c>
    </row>
    <row r="277" spans="1:17" x14ac:dyDescent="0.15">
      <c r="A277" s="47">
        <v>276</v>
      </c>
      <c r="B277" s="35">
        <v>123129</v>
      </c>
      <c r="C277" s="35" t="s">
        <v>247</v>
      </c>
      <c r="D277" s="35">
        <v>116.666</v>
      </c>
      <c r="E277" s="35">
        <v>58.6</v>
      </c>
      <c r="F277" s="50">
        <v>175.26599999999999</v>
      </c>
      <c r="G277" s="35">
        <v>-0.04</v>
      </c>
      <c r="H277" s="39">
        <v>5.9999390000000004</v>
      </c>
      <c r="I277" s="39">
        <v>0.18149999999999999</v>
      </c>
      <c r="J277" s="39">
        <v>5.4409999999999998</v>
      </c>
      <c r="K277" s="41">
        <v>46695</v>
      </c>
      <c r="L277" s="35">
        <v>9.5299999999999994</v>
      </c>
      <c r="M277" s="35">
        <v>73.56</v>
      </c>
      <c r="N277" s="39">
        <v>745.9495551</v>
      </c>
      <c r="O277" s="43">
        <v>1.0615491902781759E-2</v>
      </c>
      <c r="P277" s="35">
        <v>117.384</v>
      </c>
      <c r="Q277" s="35">
        <v>116.151</v>
      </c>
    </row>
    <row r="278" spans="1:17" x14ac:dyDescent="0.15">
      <c r="A278" s="47">
        <v>277</v>
      </c>
      <c r="B278" s="35">
        <v>123139</v>
      </c>
      <c r="C278" s="35" t="s">
        <v>788</v>
      </c>
      <c r="D278" s="35">
        <v>174.5</v>
      </c>
      <c r="E278" s="35">
        <v>58.87</v>
      </c>
      <c r="F278" s="50">
        <v>233.37</v>
      </c>
      <c r="G278" s="35">
        <v>3.93</v>
      </c>
      <c r="H278" s="39">
        <v>4.3</v>
      </c>
      <c r="I278" s="39">
        <v>-6.1664000000000003</v>
      </c>
      <c r="J278" s="39">
        <v>5.7919999999999998</v>
      </c>
      <c r="K278" s="41">
        <v>46823</v>
      </c>
      <c r="L278" s="35">
        <v>76.5</v>
      </c>
      <c r="M278" s="35">
        <v>109.84</v>
      </c>
      <c r="N278" s="39">
        <v>225903.36815650002</v>
      </c>
      <c r="O278" s="43">
        <v>8.00059523809524E-2</v>
      </c>
      <c r="P278" s="35">
        <v>181.441</v>
      </c>
      <c r="Q278" s="35">
        <v>168</v>
      </c>
    </row>
    <row r="279" spans="1:17" x14ac:dyDescent="0.15">
      <c r="A279" s="47">
        <v>278</v>
      </c>
      <c r="B279" s="35">
        <v>123106</v>
      </c>
      <c r="C279" s="35" t="s">
        <v>64</v>
      </c>
      <c r="D279" s="35">
        <v>112.441</v>
      </c>
      <c r="E279" s="35">
        <v>58.95</v>
      </c>
      <c r="F279" s="50">
        <v>171.39100000000002</v>
      </c>
      <c r="G279" s="35">
        <v>0.15</v>
      </c>
      <c r="H279" s="39">
        <v>3.199684</v>
      </c>
      <c r="I279" s="39">
        <v>2.2753000000000001</v>
      </c>
      <c r="J279" s="39">
        <v>4.8250000000000002</v>
      </c>
      <c r="K279" s="41">
        <v>46470</v>
      </c>
      <c r="L279" s="35">
        <v>7.45</v>
      </c>
      <c r="M279" s="35">
        <v>70.739999999999995</v>
      </c>
      <c r="N279" s="39">
        <v>400.52325359999998</v>
      </c>
      <c r="O279" s="43">
        <v>7.2308516336368712E-3</v>
      </c>
      <c r="P279" s="35">
        <v>112.83</v>
      </c>
      <c r="Q279" s="35">
        <v>112.02</v>
      </c>
    </row>
    <row r="280" spans="1:17" x14ac:dyDescent="0.15">
      <c r="A280" s="47">
        <v>279</v>
      </c>
      <c r="B280" s="35">
        <v>123025</v>
      </c>
      <c r="C280" s="35" t="s">
        <v>67</v>
      </c>
      <c r="D280" s="35">
        <v>123.809</v>
      </c>
      <c r="E280" s="35">
        <v>59.1</v>
      </c>
      <c r="F280" s="50">
        <v>182.90899999999999</v>
      </c>
      <c r="G280" s="35">
        <v>-0.37</v>
      </c>
      <c r="H280" s="39">
        <v>3.0864669999999998</v>
      </c>
      <c r="I280" s="39">
        <v>-2.4517000000000002</v>
      </c>
      <c r="J280" s="39">
        <v>2.8380000000000001</v>
      </c>
      <c r="K280" s="41">
        <v>45745</v>
      </c>
      <c r="L280" s="35">
        <v>49.37</v>
      </c>
      <c r="M280" s="35">
        <v>77.819999999999993</v>
      </c>
      <c r="N280" s="39">
        <v>740.88132630000007</v>
      </c>
      <c r="O280" s="43">
        <v>1.5601168262209976E-2</v>
      </c>
      <c r="P280" s="35">
        <v>125.18300000000001</v>
      </c>
      <c r="Q280" s="35">
        <v>123.26</v>
      </c>
    </row>
    <row r="281" spans="1:17" x14ac:dyDescent="0.15">
      <c r="A281" s="47">
        <v>280</v>
      </c>
      <c r="B281" s="35">
        <v>113046</v>
      </c>
      <c r="C281" s="35" t="s">
        <v>1948</v>
      </c>
      <c r="D281" s="35">
        <v>107.66</v>
      </c>
      <c r="E281" s="35">
        <v>59.64</v>
      </c>
      <c r="F281" s="50">
        <v>167.3</v>
      </c>
      <c r="G281" s="35">
        <v>-0.11</v>
      </c>
      <c r="H281" s="39">
        <v>14.99883</v>
      </c>
      <c r="I281" s="39">
        <v>1.3266</v>
      </c>
      <c r="J281" s="39">
        <v>4.819</v>
      </c>
      <c r="K281" s="41">
        <v>46468</v>
      </c>
      <c r="L281" s="35">
        <v>10.75</v>
      </c>
      <c r="M281" s="35">
        <v>67.44</v>
      </c>
      <c r="N281" s="39">
        <v>627.75099999999998</v>
      </c>
      <c r="O281" s="43">
        <v>6.2313988095238255E-3</v>
      </c>
      <c r="P281" s="35">
        <v>108.19</v>
      </c>
      <c r="Q281" s="35">
        <v>107.52</v>
      </c>
    </row>
    <row r="282" spans="1:17" x14ac:dyDescent="0.15">
      <c r="A282" s="47">
        <v>281</v>
      </c>
      <c r="B282" s="35">
        <v>127015</v>
      </c>
      <c r="C282" s="35" t="s">
        <v>169</v>
      </c>
      <c r="D282" s="35">
        <v>114.38</v>
      </c>
      <c r="E282" s="35">
        <v>59.99</v>
      </c>
      <c r="F282" s="50">
        <v>174.37</v>
      </c>
      <c r="G282" s="35">
        <v>0.33</v>
      </c>
      <c r="H282" s="39">
        <v>9.4969560000000008</v>
      </c>
      <c r="I282" s="39">
        <v>-1.1951000000000001</v>
      </c>
      <c r="J282" s="39">
        <v>3.605</v>
      </c>
      <c r="K282" s="41">
        <v>46025</v>
      </c>
      <c r="L282" s="35">
        <v>19.75</v>
      </c>
      <c r="M282" s="35">
        <v>71.489999999999995</v>
      </c>
      <c r="N282" s="39">
        <v>728.175209</v>
      </c>
      <c r="O282" s="43">
        <v>4.3596491228070165E-3</v>
      </c>
      <c r="P282" s="35">
        <v>114.497</v>
      </c>
      <c r="Q282" s="35">
        <v>114</v>
      </c>
    </row>
    <row r="283" spans="1:17" x14ac:dyDescent="0.15">
      <c r="A283" s="47">
        <v>282</v>
      </c>
      <c r="B283" s="35">
        <v>123064</v>
      </c>
      <c r="C283" s="35" t="s">
        <v>142</v>
      </c>
      <c r="D283" s="35">
        <v>120</v>
      </c>
      <c r="E283" s="35">
        <v>60</v>
      </c>
      <c r="F283" s="50">
        <v>180</v>
      </c>
      <c r="G283" s="35">
        <v>0.39</v>
      </c>
      <c r="H283" s="39">
        <v>5.9814829999999999</v>
      </c>
      <c r="I283" s="39">
        <v>-1.0531999999999999</v>
      </c>
      <c r="J283" s="39">
        <v>4.266</v>
      </c>
      <c r="K283" s="41">
        <v>46266</v>
      </c>
      <c r="L283" s="35">
        <v>52</v>
      </c>
      <c r="M283" s="35">
        <v>75</v>
      </c>
      <c r="N283" s="39">
        <v>15514.2327424</v>
      </c>
      <c r="O283" s="43">
        <v>2.4779504409911828E-2</v>
      </c>
      <c r="P283" s="35">
        <v>122</v>
      </c>
      <c r="Q283" s="35">
        <v>119.05</v>
      </c>
    </row>
    <row r="284" spans="1:17" x14ac:dyDescent="0.15">
      <c r="A284" s="47">
        <v>283</v>
      </c>
      <c r="B284" s="35">
        <v>128123</v>
      </c>
      <c r="C284" s="35" t="s">
        <v>165</v>
      </c>
      <c r="D284" s="35">
        <v>114.51</v>
      </c>
      <c r="E284" s="35">
        <v>60.6</v>
      </c>
      <c r="F284" s="50">
        <v>175.11</v>
      </c>
      <c r="G284" s="35">
        <v>-0.86</v>
      </c>
      <c r="H284" s="39">
        <v>3.1992660000000002</v>
      </c>
      <c r="I284" s="39">
        <v>0.25419999999999998</v>
      </c>
      <c r="J284" s="39">
        <v>4.1669999999999998</v>
      </c>
      <c r="K284" s="41">
        <v>46230</v>
      </c>
      <c r="L284" s="35">
        <v>13.17</v>
      </c>
      <c r="M284" s="35">
        <v>71.3</v>
      </c>
      <c r="N284" s="39">
        <v>10819.499964799999</v>
      </c>
      <c r="O284" s="43">
        <v>2.3708260105448221E-2</v>
      </c>
      <c r="P284" s="35">
        <v>116.498</v>
      </c>
      <c r="Q284" s="35">
        <v>113.8</v>
      </c>
    </row>
    <row r="285" spans="1:17" x14ac:dyDescent="0.15">
      <c r="A285" s="47">
        <v>284</v>
      </c>
      <c r="B285" s="35">
        <v>123061</v>
      </c>
      <c r="C285" s="35" t="s">
        <v>95</v>
      </c>
      <c r="D285" s="35">
        <v>118.012</v>
      </c>
      <c r="E285" s="35">
        <v>62.13</v>
      </c>
      <c r="F285" s="50">
        <v>180.142</v>
      </c>
      <c r="G285" s="35">
        <v>-0.24</v>
      </c>
      <c r="H285" s="39">
        <v>2.4961600000000002</v>
      </c>
      <c r="I285" s="39">
        <v>1.2898000000000001</v>
      </c>
      <c r="J285" s="39">
        <v>4.1529999999999996</v>
      </c>
      <c r="K285" s="41">
        <v>46225</v>
      </c>
      <c r="L285" s="35">
        <v>14.85</v>
      </c>
      <c r="M285" s="35">
        <v>72.790000000000006</v>
      </c>
      <c r="N285" s="39">
        <v>7076.6922539000007</v>
      </c>
      <c r="O285" s="43">
        <v>2.5691497520323129E-2</v>
      </c>
      <c r="P285" s="35">
        <v>120.369</v>
      </c>
      <c r="Q285" s="35">
        <v>117.354</v>
      </c>
    </row>
    <row r="286" spans="1:17" x14ac:dyDescent="0.15">
      <c r="A286" s="47">
        <v>285</v>
      </c>
      <c r="B286" s="35">
        <v>123075</v>
      </c>
      <c r="C286" s="35" t="s">
        <v>70</v>
      </c>
      <c r="D286" s="35">
        <v>115.086</v>
      </c>
      <c r="E286" s="35">
        <v>63.71</v>
      </c>
      <c r="F286" s="50">
        <v>178.79599999999999</v>
      </c>
      <c r="G286" s="35">
        <v>-1.19</v>
      </c>
      <c r="H286" s="39">
        <v>5.9963600000000001</v>
      </c>
      <c r="I286" s="39">
        <v>2.8E-3</v>
      </c>
      <c r="J286" s="39">
        <v>4.4359999999999999</v>
      </c>
      <c r="K286" s="41">
        <v>46328</v>
      </c>
      <c r="L286" s="35">
        <v>23.74</v>
      </c>
      <c r="M286" s="35">
        <v>70.3</v>
      </c>
      <c r="N286" s="39">
        <v>7657.1506621999997</v>
      </c>
      <c r="O286" s="43">
        <v>2.9519650655021795E-2</v>
      </c>
      <c r="P286" s="35">
        <v>117.88</v>
      </c>
      <c r="Q286" s="35">
        <v>114.5</v>
      </c>
    </row>
    <row r="287" spans="1:17" x14ac:dyDescent="0.15">
      <c r="A287" s="47">
        <v>286</v>
      </c>
      <c r="B287" s="35">
        <v>113593</v>
      </c>
      <c r="C287" s="35" t="s">
        <v>60</v>
      </c>
      <c r="D287" s="35">
        <v>113.66</v>
      </c>
      <c r="E287" s="35">
        <v>64.53</v>
      </c>
      <c r="F287" s="50">
        <v>178.19</v>
      </c>
      <c r="G287" s="35">
        <v>-3.84</v>
      </c>
      <c r="H287" s="39">
        <v>3.9978699999999998</v>
      </c>
      <c r="I287" s="39">
        <v>1.6</v>
      </c>
      <c r="J287" s="39">
        <v>4.1479999999999997</v>
      </c>
      <c r="K287" s="41">
        <v>46223</v>
      </c>
      <c r="L287" s="35">
        <v>21.12</v>
      </c>
      <c r="M287" s="35">
        <v>69.08</v>
      </c>
      <c r="N287" s="39">
        <v>83366.870699999999</v>
      </c>
      <c r="O287" s="43">
        <v>6.6901408450704303E-2</v>
      </c>
      <c r="P287" s="35">
        <v>121.2</v>
      </c>
      <c r="Q287" s="35">
        <v>113.6</v>
      </c>
    </row>
    <row r="288" spans="1:17" x14ac:dyDescent="0.15">
      <c r="A288" s="47">
        <v>287</v>
      </c>
      <c r="B288" s="35">
        <v>113535</v>
      </c>
      <c r="C288" s="35" t="s">
        <v>217</v>
      </c>
      <c r="D288" s="35">
        <v>111.47</v>
      </c>
      <c r="E288" s="35">
        <v>65.260000000000005</v>
      </c>
      <c r="F288" s="50">
        <v>176.73000000000002</v>
      </c>
      <c r="G288" s="35">
        <v>-7.0000000000000007E-2</v>
      </c>
      <c r="H288" s="39">
        <v>4.9961399999999996</v>
      </c>
      <c r="I288" s="39">
        <v>1.3899999999999999E-2</v>
      </c>
      <c r="J288" s="39">
        <v>1.9510000000000001</v>
      </c>
      <c r="K288" s="41">
        <v>45421</v>
      </c>
      <c r="L288" s="35">
        <v>12.29</v>
      </c>
      <c r="M288" s="35">
        <v>67.45</v>
      </c>
      <c r="N288" s="39">
        <v>330.87990000000002</v>
      </c>
      <c r="O288" s="43">
        <v>6.3006300630063265E-3</v>
      </c>
      <c r="P288" s="35">
        <v>111.8</v>
      </c>
      <c r="Q288" s="35">
        <v>111.1</v>
      </c>
    </row>
    <row r="289" spans="1:17" x14ac:dyDescent="0.15">
      <c r="A289" s="47">
        <v>288</v>
      </c>
      <c r="B289" s="35">
        <v>123115</v>
      </c>
      <c r="C289" s="35" t="s">
        <v>1949</v>
      </c>
      <c r="D289" s="35">
        <v>114.435</v>
      </c>
      <c r="E289" s="35">
        <v>65.680000000000007</v>
      </c>
      <c r="F289" s="50">
        <v>180.11500000000001</v>
      </c>
      <c r="G289" s="35">
        <v>7.0000000000000007E-2</v>
      </c>
      <c r="H289" s="39">
        <v>11.94642</v>
      </c>
      <c r="I289" s="39">
        <v>0.71060000000000001</v>
      </c>
      <c r="J289" s="39">
        <v>5.0330000000000004</v>
      </c>
      <c r="K289" s="41">
        <v>46546</v>
      </c>
      <c r="L289" s="35">
        <v>29</v>
      </c>
      <c r="M289" s="35">
        <v>69.069999999999993</v>
      </c>
      <c r="N289" s="39">
        <v>1165.0183494</v>
      </c>
      <c r="O289" s="43">
        <v>1.2280701754386015E-2</v>
      </c>
      <c r="P289" s="35">
        <v>115.4</v>
      </c>
      <c r="Q289" s="35">
        <v>114</v>
      </c>
    </row>
    <row r="290" spans="1:17" x14ac:dyDescent="0.15">
      <c r="A290" s="47">
        <v>289</v>
      </c>
      <c r="B290" s="35">
        <v>113635</v>
      </c>
      <c r="C290" s="35" t="s">
        <v>1950</v>
      </c>
      <c r="D290" s="35">
        <v>116.65</v>
      </c>
      <c r="E290" s="35">
        <v>66.41</v>
      </c>
      <c r="F290" s="50">
        <v>183.06</v>
      </c>
      <c r="G290" s="35">
        <v>-0.4</v>
      </c>
      <c r="H290" s="39">
        <v>13.5</v>
      </c>
      <c r="I290" s="39">
        <v>0.45900000000000002</v>
      </c>
      <c r="J290" s="39">
        <v>5.54</v>
      </c>
      <c r="K290" s="41">
        <v>46731</v>
      </c>
      <c r="L290" s="35">
        <v>33.04</v>
      </c>
      <c r="M290" s="35">
        <v>70.099999999999994</v>
      </c>
      <c r="N290" s="39">
        <v>1631.5128999999999</v>
      </c>
      <c r="O290" s="43">
        <v>2.3112880886426608E-2</v>
      </c>
      <c r="P290" s="35">
        <v>118.19</v>
      </c>
      <c r="Q290" s="35">
        <v>115.52</v>
      </c>
    </row>
    <row r="291" spans="1:17" x14ac:dyDescent="0.15">
      <c r="A291" s="47">
        <v>290</v>
      </c>
      <c r="B291" s="35">
        <v>113623</v>
      </c>
      <c r="C291" s="35" t="s">
        <v>1951</v>
      </c>
      <c r="D291" s="35">
        <v>113.92</v>
      </c>
      <c r="E291" s="35">
        <v>66.62</v>
      </c>
      <c r="F291" s="50">
        <v>180.54000000000002</v>
      </c>
      <c r="G291" s="35">
        <v>-0.09</v>
      </c>
      <c r="H291" s="39">
        <v>24.999580000000002</v>
      </c>
      <c r="I291" s="39">
        <v>0.5232</v>
      </c>
      <c r="J291" s="39">
        <v>4.8659999999999997</v>
      </c>
      <c r="K291" s="41">
        <v>46485</v>
      </c>
      <c r="L291" s="35">
        <v>16.47</v>
      </c>
      <c r="M291" s="35">
        <v>68.37</v>
      </c>
      <c r="N291" s="39">
        <v>5570.2888999999996</v>
      </c>
      <c r="O291" s="43">
        <v>1.7621145374449341E-2</v>
      </c>
      <c r="P291" s="35">
        <v>115.5</v>
      </c>
      <c r="Q291" s="35">
        <v>113.5</v>
      </c>
    </row>
    <row r="292" spans="1:17" x14ac:dyDescent="0.15">
      <c r="A292" s="47">
        <v>291</v>
      </c>
      <c r="B292" s="35">
        <v>110082</v>
      </c>
      <c r="C292" s="35" t="s">
        <v>1952</v>
      </c>
      <c r="D292" s="35">
        <v>115.58</v>
      </c>
      <c r="E292" s="35">
        <v>68.17</v>
      </c>
      <c r="F292" s="50">
        <v>183.75</v>
      </c>
      <c r="G292" s="35">
        <v>0.23</v>
      </c>
      <c r="H292" s="39">
        <v>19.99943</v>
      </c>
      <c r="I292" s="39">
        <v>0.2455</v>
      </c>
      <c r="J292" s="39">
        <v>5.4219999999999997</v>
      </c>
      <c r="K292" s="41">
        <v>46688</v>
      </c>
      <c r="L292" s="35">
        <v>72.28</v>
      </c>
      <c r="M292" s="35">
        <v>68.73</v>
      </c>
      <c r="N292" s="39">
        <v>1389.8543</v>
      </c>
      <c r="O292" s="43">
        <v>1.4335360556038278E-2</v>
      </c>
      <c r="P292" s="35">
        <v>116.75</v>
      </c>
      <c r="Q292" s="35">
        <v>115.1</v>
      </c>
    </row>
    <row r="293" spans="1:17" x14ac:dyDescent="0.15">
      <c r="A293" s="47">
        <v>292</v>
      </c>
      <c r="B293" s="35">
        <v>113563</v>
      </c>
      <c r="C293" s="35" t="s">
        <v>167</v>
      </c>
      <c r="D293" s="35">
        <v>108.9</v>
      </c>
      <c r="E293" s="35">
        <v>68.58</v>
      </c>
      <c r="F293" s="50">
        <v>177.48000000000002</v>
      </c>
      <c r="G293" s="35">
        <v>0.22</v>
      </c>
      <c r="H293" s="39">
        <v>8.0190199999999994</v>
      </c>
      <c r="I293" s="39">
        <v>0.86399999999999999</v>
      </c>
      <c r="J293" s="39">
        <v>3.641</v>
      </c>
      <c r="K293" s="41">
        <v>46038</v>
      </c>
      <c r="L293" s="35">
        <v>23.87</v>
      </c>
      <c r="M293" s="35">
        <v>64.599999999999994</v>
      </c>
      <c r="N293" s="39">
        <v>249.7192</v>
      </c>
      <c r="O293" s="43">
        <v>3.7763654784932379E-3</v>
      </c>
      <c r="P293" s="35">
        <v>108.98</v>
      </c>
      <c r="Q293" s="35">
        <v>108.57</v>
      </c>
    </row>
    <row r="294" spans="1:17" x14ac:dyDescent="0.15">
      <c r="A294" s="47">
        <v>293</v>
      </c>
      <c r="B294" s="35">
        <v>128023</v>
      </c>
      <c r="C294" s="35" t="s">
        <v>214</v>
      </c>
      <c r="D294" s="35">
        <v>114.502</v>
      </c>
      <c r="E294" s="35">
        <v>68.959999999999994</v>
      </c>
      <c r="F294" s="50">
        <v>183.46199999999999</v>
      </c>
      <c r="G294" s="35">
        <v>-0.52</v>
      </c>
      <c r="H294" s="39">
        <v>9.9865580000000005</v>
      </c>
      <c r="I294" s="39">
        <v>-2.7439</v>
      </c>
      <c r="J294" s="39">
        <v>1.5209999999999999</v>
      </c>
      <c r="K294" s="41">
        <v>45264</v>
      </c>
      <c r="L294" s="35">
        <v>10.24</v>
      </c>
      <c r="M294" s="35">
        <v>67.77</v>
      </c>
      <c r="N294" s="39">
        <v>1497.3798276</v>
      </c>
      <c r="O294" s="43">
        <v>1.6561714500915151E-2</v>
      </c>
      <c r="P294" s="35">
        <v>116.07</v>
      </c>
      <c r="Q294" s="35">
        <v>114.179</v>
      </c>
    </row>
    <row r="295" spans="1:17" x14ac:dyDescent="0.15">
      <c r="A295" s="47">
        <v>294</v>
      </c>
      <c r="B295" s="35">
        <v>110073</v>
      </c>
      <c r="C295" s="35" t="s">
        <v>1953</v>
      </c>
      <c r="D295" s="35">
        <v>105.54</v>
      </c>
      <c r="E295" s="35">
        <v>69.62</v>
      </c>
      <c r="F295" s="50">
        <v>175.16000000000003</v>
      </c>
      <c r="G295" s="35">
        <v>0.19</v>
      </c>
      <c r="H295" s="39">
        <v>79.993359999999996</v>
      </c>
      <c r="I295" s="39">
        <v>1.0812999999999999</v>
      </c>
      <c r="J295" s="39">
        <v>4.1589999999999998</v>
      </c>
      <c r="K295" s="41">
        <v>46227</v>
      </c>
      <c r="L295" s="35">
        <v>9.9</v>
      </c>
      <c r="M295" s="35">
        <v>62.22</v>
      </c>
      <c r="N295" s="39">
        <v>1796.9537</v>
      </c>
      <c r="O295" s="43">
        <v>3.6073666223656298E-3</v>
      </c>
      <c r="P295" s="35">
        <v>105.72</v>
      </c>
      <c r="Q295" s="35">
        <v>105.34</v>
      </c>
    </row>
    <row r="296" spans="1:17" x14ac:dyDescent="0.15">
      <c r="A296" s="47">
        <v>295</v>
      </c>
      <c r="B296" s="35">
        <v>128069</v>
      </c>
      <c r="C296" s="35" t="s">
        <v>173</v>
      </c>
      <c r="D296" s="35">
        <v>115.33</v>
      </c>
      <c r="E296" s="35">
        <v>69.98</v>
      </c>
      <c r="F296" s="50">
        <v>185.31</v>
      </c>
      <c r="G296" s="35">
        <v>-0.19</v>
      </c>
      <c r="H296" s="39">
        <v>2.99343</v>
      </c>
      <c r="I296" s="39">
        <v>1.1294999999999999</v>
      </c>
      <c r="J296" s="39">
        <v>3.077</v>
      </c>
      <c r="K296" s="41">
        <v>45832</v>
      </c>
      <c r="L296" s="35">
        <v>18.010000000000002</v>
      </c>
      <c r="M296" s="35">
        <v>67.849999999999994</v>
      </c>
      <c r="N296" s="39">
        <v>1482.1540279999999</v>
      </c>
      <c r="O296" s="43">
        <v>1.0017421602787506E-2</v>
      </c>
      <c r="P296" s="35">
        <v>115.95</v>
      </c>
      <c r="Q296" s="35">
        <v>114.8</v>
      </c>
    </row>
    <row r="297" spans="1:17" x14ac:dyDescent="0.15">
      <c r="A297" s="47">
        <v>296</v>
      </c>
      <c r="B297" s="35">
        <v>110058</v>
      </c>
      <c r="C297" s="35" t="s">
        <v>78</v>
      </c>
      <c r="D297" s="35">
        <v>112.12</v>
      </c>
      <c r="E297" s="35">
        <v>70.73</v>
      </c>
      <c r="F297" s="50">
        <v>182.85000000000002</v>
      </c>
      <c r="G297" s="35">
        <v>-0.23</v>
      </c>
      <c r="H297" s="39">
        <v>2.6103100000000001</v>
      </c>
      <c r="I297" s="39">
        <v>0.36830000000000002</v>
      </c>
      <c r="J297" s="39">
        <v>2.8879999999999999</v>
      </c>
      <c r="K297" s="41">
        <v>45763</v>
      </c>
      <c r="L297" s="35">
        <v>5.04</v>
      </c>
      <c r="M297" s="35">
        <v>65.67</v>
      </c>
      <c r="N297" s="39">
        <v>326.22890000000001</v>
      </c>
      <c r="O297" s="43">
        <v>5.3547523427042261E-3</v>
      </c>
      <c r="P297" s="35">
        <v>112.65</v>
      </c>
      <c r="Q297" s="35">
        <v>112.05</v>
      </c>
    </row>
    <row r="298" spans="1:17" x14ac:dyDescent="0.15">
      <c r="A298" s="47">
        <v>297</v>
      </c>
      <c r="B298" s="35">
        <v>123004</v>
      </c>
      <c r="C298" s="35" t="s">
        <v>181</v>
      </c>
      <c r="D298" s="35">
        <v>107.398</v>
      </c>
      <c r="E298" s="35">
        <v>71.64</v>
      </c>
      <c r="F298" s="50">
        <v>179.03800000000001</v>
      </c>
      <c r="G298" s="35">
        <v>0.03</v>
      </c>
      <c r="H298" s="39">
        <v>8.031758</v>
      </c>
      <c r="I298" s="39">
        <v>6.1400000000000003E-2</v>
      </c>
      <c r="J298" s="39">
        <v>1.5589999999999999</v>
      </c>
      <c r="K298" s="41">
        <v>45278</v>
      </c>
      <c r="L298" s="35">
        <v>3.82</v>
      </c>
      <c r="M298" s="35">
        <v>62.57</v>
      </c>
      <c r="N298" s="39">
        <v>728.78684400000009</v>
      </c>
      <c r="O298" s="43">
        <v>3.5193517671439603E-3</v>
      </c>
      <c r="P298" s="35">
        <v>107.499</v>
      </c>
      <c r="Q298" s="35">
        <v>107.122</v>
      </c>
    </row>
    <row r="299" spans="1:17" x14ac:dyDescent="0.15">
      <c r="A299" s="47">
        <v>298</v>
      </c>
      <c r="B299" s="35">
        <v>113043</v>
      </c>
      <c r="C299" s="35" t="s">
        <v>1954</v>
      </c>
      <c r="D299" s="35">
        <v>106</v>
      </c>
      <c r="E299" s="35">
        <v>73.319999999999993</v>
      </c>
      <c r="F299" s="50">
        <v>179.32</v>
      </c>
      <c r="G299" s="35">
        <v>0.56999999999999995</v>
      </c>
      <c r="H299" s="39">
        <v>37.997660000000003</v>
      </c>
      <c r="I299" s="39">
        <v>0.83130000000000004</v>
      </c>
      <c r="J299" s="39">
        <v>4.54</v>
      </c>
      <c r="K299" s="41">
        <v>46366</v>
      </c>
      <c r="L299" s="35">
        <v>11.69</v>
      </c>
      <c r="M299" s="35">
        <v>61.16</v>
      </c>
      <c r="N299" s="39">
        <v>4076.1489999999999</v>
      </c>
      <c r="O299" s="43">
        <v>7.4945451095722064E-3</v>
      </c>
      <c r="P299" s="35">
        <v>106.2</v>
      </c>
      <c r="Q299" s="35">
        <v>105.41</v>
      </c>
    </row>
    <row r="300" spans="1:17" x14ac:dyDescent="0.15">
      <c r="A300" s="47">
        <v>299</v>
      </c>
      <c r="B300" s="35">
        <v>113530</v>
      </c>
      <c r="C300" s="35" t="s">
        <v>191</v>
      </c>
      <c r="D300" s="35">
        <v>112.51</v>
      </c>
      <c r="E300" s="35">
        <v>73.33</v>
      </c>
      <c r="F300" s="50">
        <v>185.84</v>
      </c>
      <c r="G300" s="35">
        <v>0.1</v>
      </c>
      <c r="H300" s="39">
        <v>6.2976599999999996</v>
      </c>
      <c r="I300" s="39">
        <v>2.3378000000000001</v>
      </c>
      <c r="J300" s="39">
        <v>2.8330000000000002</v>
      </c>
      <c r="K300" s="41">
        <v>45743</v>
      </c>
      <c r="L300" s="35">
        <v>16.3</v>
      </c>
      <c r="M300" s="35">
        <v>64.91</v>
      </c>
      <c r="N300" s="39">
        <v>1395.1929</v>
      </c>
      <c r="O300" s="43">
        <v>5.3390282968500498E-3</v>
      </c>
      <c r="P300" s="35">
        <v>112.98</v>
      </c>
      <c r="Q300" s="35">
        <v>112.38</v>
      </c>
    </row>
    <row r="301" spans="1:17" x14ac:dyDescent="0.15">
      <c r="A301" s="47">
        <v>300</v>
      </c>
      <c r="B301" s="35">
        <v>118005</v>
      </c>
      <c r="C301" s="35" t="s">
        <v>787</v>
      </c>
      <c r="D301" s="35">
        <v>112.51</v>
      </c>
      <c r="E301" s="35">
        <v>73.33</v>
      </c>
      <c r="F301" s="50">
        <v>185.84</v>
      </c>
      <c r="G301" s="35">
        <v>0.1</v>
      </c>
      <c r="H301" s="39">
        <v>6.2976599999999996</v>
      </c>
      <c r="I301" s="39">
        <v>2.3378000000000001</v>
      </c>
      <c r="J301" s="39">
        <v>2.8330000000000002</v>
      </c>
      <c r="K301" s="41">
        <v>45743</v>
      </c>
      <c r="L301" s="35">
        <v>16.3</v>
      </c>
      <c r="M301" s="35">
        <v>64.91</v>
      </c>
      <c r="N301" s="39">
        <v>1395.1929</v>
      </c>
      <c r="O301" s="43">
        <v>5.3390282968500498E-3</v>
      </c>
      <c r="P301" s="35">
        <v>112.98</v>
      </c>
      <c r="Q301" s="35">
        <v>112.38</v>
      </c>
    </row>
    <row r="302" spans="1:17" x14ac:dyDescent="0.15">
      <c r="A302" s="47">
        <v>301</v>
      </c>
      <c r="B302" s="35">
        <v>128105</v>
      </c>
      <c r="C302" s="35" t="s">
        <v>186</v>
      </c>
      <c r="D302" s="35">
        <v>101.511</v>
      </c>
      <c r="E302" s="35">
        <v>73.790000000000006</v>
      </c>
      <c r="F302" s="50">
        <v>175.30099999999999</v>
      </c>
      <c r="G302" s="35">
        <v>-0.7</v>
      </c>
      <c r="H302" s="39">
        <v>7.9952110000000003</v>
      </c>
      <c r="I302" s="39">
        <v>3.1713</v>
      </c>
      <c r="J302" s="39">
        <v>3.8679999999999999</v>
      </c>
      <c r="K302" s="41">
        <v>46121</v>
      </c>
      <c r="L302" s="35">
        <v>7.91</v>
      </c>
      <c r="M302" s="35">
        <v>58.41</v>
      </c>
      <c r="N302" s="39">
        <v>12885.6653166</v>
      </c>
      <c r="O302" s="43">
        <v>1.4319690813596348E-2</v>
      </c>
      <c r="P302" s="35">
        <v>102.355</v>
      </c>
      <c r="Q302" s="35">
        <v>100.91</v>
      </c>
    </row>
    <row r="303" spans="1:17" x14ac:dyDescent="0.15">
      <c r="A303" s="47">
        <v>302</v>
      </c>
      <c r="B303" s="35">
        <v>128030</v>
      </c>
      <c r="C303" s="35" t="s">
        <v>1955</v>
      </c>
      <c r="D303" s="35">
        <v>218.3</v>
      </c>
      <c r="E303" s="35">
        <v>74.44</v>
      </c>
      <c r="F303" s="50">
        <v>292.74</v>
      </c>
      <c r="G303" s="35">
        <v>2.25</v>
      </c>
      <c r="H303" s="39">
        <v>0.855209</v>
      </c>
      <c r="I303" s="39">
        <v>-35.642400000000002</v>
      </c>
      <c r="J303" s="39">
        <v>1.57</v>
      </c>
      <c r="K303" s="41">
        <v>45282</v>
      </c>
      <c r="L303" s="35">
        <v>7.4</v>
      </c>
      <c r="M303" s="35">
        <v>125.14</v>
      </c>
      <c r="N303" s="39">
        <v>15509.363181000001</v>
      </c>
      <c r="O303" s="43">
        <v>2.766613702215168E-2</v>
      </c>
      <c r="P303" s="35">
        <v>219.9</v>
      </c>
      <c r="Q303" s="35">
        <v>213.98</v>
      </c>
    </row>
    <row r="304" spans="1:17" x14ac:dyDescent="0.15">
      <c r="A304" s="47">
        <v>303</v>
      </c>
      <c r="B304" s="35">
        <v>113042</v>
      </c>
      <c r="C304" s="35" t="s">
        <v>1956</v>
      </c>
      <c r="D304" s="35">
        <v>105.99</v>
      </c>
      <c r="E304" s="35">
        <v>75.48</v>
      </c>
      <c r="F304" s="50">
        <v>181.47</v>
      </c>
      <c r="G304" s="35">
        <v>0</v>
      </c>
      <c r="H304" s="39">
        <v>199.98697999999999</v>
      </c>
      <c r="I304" s="39">
        <v>2.8953000000000002</v>
      </c>
      <c r="J304" s="39">
        <v>4.6660000000000004</v>
      </c>
      <c r="K304" s="41">
        <v>46412</v>
      </c>
      <c r="L304" s="35">
        <v>10.63</v>
      </c>
      <c r="M304" s="35">
        <v>60.4</v>
      </c>
      <c r="N304" s="39">
        <v>4115.0968000000003</v>
      </c>
      <c r="O304" s="43">
        <v>1.7939760173732201E-3</v>
      </c>
      <c r="P304" s="35">
        <v>106.1</v>
      </c>
      <c r="Q304" s="35">
        <v>105.91</v>
      </c>
    </row>
    <row r="305" spans="1:17" x14ac:dyDescent="0.15">
      <c r="A305" s="47">
        <v>304</v>
      </c>
      <c r="B305" s="35">
        <v>123049</v>
      </c>
      <c r="C305" s="35" t="s">
        <v>194</v>
      </c>
      <c r="D305" s="35">
        <v>106.93</v>
      </c>
      <c r="E305" s="35">
        <v>75.760000000000005</v>
      </c>
      <c r="F305" s="50">
        <v>182.69</v>
      </c>
      <c r="G305" s="35">
        <v>-0.13</v>
      </c>
      <c r="H305" s="39">
        <v>9.1698649999999997</v>
      </c>
      <c r="I305" s="39">
        <v>3.8635000000000002</v>
      </c>
      <c r="J305" s="39">
        <v>3.879</v>
      </c>
      <c r="K305" s="41">
        <v>46125</v>
      </c>
      <c r="L305" s="35">
        <v>7.38</v>
      </c>
      <c r="M305" s="35">
        <v>60.84</v>
      </c>
      <c r="N305" s="39">
        <v>428.10662029999997</v>
      </c>
      <c r="O305" s="43">
        <v>6.5262172284644452E-3</v>
      </c>
      <c r="P305" s="35">
        <v>107.497</v>
      </c>
      <c r="Q305" s="35">
        <v>106.8</v>
      </c>
    </row>
    <row r="306" spans="1:17" x14ac:dyDescent="0.15">
      <c r="A306" s="47">
        <v>305</v>
      </c>
      <c r="B306" s="35">
        <v>113045</v>
      </c>
      <c r="C306" s="35" t="s">
        <v>1957</v>
      </c>
      <c r="D306" s="35">
        <v>109.78</v>
      </c>
      <c r="E306" s="35">
        <v>76.98</v>
      </c>
      <c r="F306" s="50">
        <v>186.76</v>
      </c>
      <c r="G306" s="35">
        <v>-1.28</v>
      </c>
      <c r="H306" s="39">
        <v>34.499510000000001</v>
      </c>
      <c r="I306" s="39">
        <v>0.40689999999999998</v>
      </c>
      <c r="J306" s="39">
        <v>4.7699999999999996</v>
      </c>
      <c r="K306" s="41">
        <v>46450</v>
      </c>
      <c r="L306" s="35">
        <v>19.75</v>
      </c>
      <c r="M306" s="35">
        <v>62.03</v>
      </c>
      <c r="N306" s="39">
        <v>2084.7968999999998</v>
      </c>
      <c r="O306" s="43">
        <v>1.9708029197080392E-2</v>
      </c>
      <c r="P306" s="35">
        <v>111.76</v>
      </c>
      <c r="Q306" s="35">
        <v>109.6</v>
      </c>
    </row>
    <row r="307" spans="1:17" x14ac:dyDescent="0.15">
      <c r="A307" s="47">
        <v>306</v>
      </c>
      <c r="B307" s="35">
        <v>128079</v>
      </c>
      <c r="C307" s="35" t="s">
        <v>94</v>
      </c>
      <c r="D307" s="35">
        <v>134</v>
      </c>
      <c r="E307" s="35">
        <v>77.180000000000007</v>
      </c>
      <c r="F307" s="50">
        <v>211.18</v>
      </c>
      <c r="G307" s="35">
        <v>-2.83</v>
      </c>
      <c r="H307" s="39">
        <v>1.520079</v>
      </c>
      <c r="I307" s="39">
        <v>-4.0111999999999997</v>
      </c>
      <c r="J307" s="39">
        <v>3.403</v>
      </c>
      <c r="K307" s="41">
        <v>45951</v>
      </c>
      <c r="L307" s="35">
        <v>8.2899999999999991</v>
      </c>
      <c r="M307" s="35">
        <v>75.63</v>
      </c>
      <c r="N307" s="39">
        <v>49373.281166000001</v>
      </c>
      <c r="O307" s="43">
        <v>4.6110556412816583E-2</v>
      </c>
      <c r="P307" s="35">
        <v>138.30000000000001</v>
      </c>
      <c r="Q307" s="35">
        <v>132.20400000000001</v>
      </c>
    </row>
    <row r="308" spans="1:17" x14ac:dyDescent="0.15">
      <c r="A308" s="47">
        <v>307</v>
      </c>
      <c r="B308" s="35">
        <v>113578</v>
      </c>
      <c r="C308" s="35" t="s">
        <v>175</v>
      </c>
      <c r="D308" s="35">
        <v>104.83</v>
      </c>
      <c r="E308" s="35">
        <v>77.53</v>
      </c>
      <c r="F308" s="50">
        <v>182.36</v>
      </c>
      <c r="G308" s="35">
        <v>0.23</v>
      </c>
      <c r="H308" s="39">
        <v>3.8380800000000002</v>
      </c>
      <c r="I308" s="39">
        <v>2.9759000000000002</v>
      </c>
      <c r="J308" s="39">
        <v>3.899</v>
      </c>
      <c r="K308" s="41">
        <v>46132</v>
      </c>
      <c r="L308" s="35">
        <v>5.25</v>
      </c>
      <c r="M308" s="35">
        <v>59.05</v>
      </c>
      <c r="N308" s="39">
        <v>1788.0283999999999</v>
      </c>
      <c r="O308" s="43">
        <v>8.4258904634239313E-3</v>
      </c>
      <c r="P308" s="35">
        <v>105.32</v>
      </c>
      <c r="Q308" s="35">
        <v>104.44</v>
      </c>
    </row>
    <row r="309" spans="1:17" x14ac:dyDescent="0.15">
      <c r="A309" s="47">
        <v>308</v>
      </c>
      <c r="B309" s="35">
        <v>128026</v>
      </c>
      <c r="C309" s="35" t="s">
        <v>192</v>
      </c>
      <c r="D309" s="35">
        <v>107.10599999999999</v>
      </c>
      <c r="E309" s="35">
        <v>77.89</v>
      </c>
      <c r="F309" s="50">
        <v>184.99599999999998</v>
      </c>
      <c r="G309" s="35">
        <v>-0.09</v>
      </c>
      <c r="H309" s="39">
        <v>4.0879250000000003</v>
      </c>
      <c r="I309" s="39">
        <v>0.42270000000000002</v>
      </c>
      <c r="J309" s="39">
        <v>1.5449999999999999</v>
      </c>
      <c r="K309" s="41">
        <v>45273</v>
      </c>
      <c r="L309" s="35">
        <v>11.26</v>
      </c>
      <c r="M309" s="35">
        <v>60.21</v>
      </c>
      <c r="N309" s="39">
        <v>969.83689949999996</v>
      </c>
      <c r="O309" s="43">
        <v>6.903981264636953E-3</v>
      </c>
      <c r="P309" s="35">
        <v>107.48699999999999</v>
      </c>
      <c r="Q309" s="35">
        <v>106.75</v>
      </c>
    </row>
    <row r="310" spans="1:17" x14ac:dyDescent="0.15">
      <c r="A310" s="47">
        <v>309</v>
      </c>
      <c r="B310" s="35">
        <v>113566</v>
      </c>
      <c r="C310" s="35" t="s">
        <v>195</v>
      </c>
      <c r="D310" s="35">
        <v>116.23</v>
      </c>
      <c r="E310" s="35">
        <v>78.08</v>
      </c>
      <c r="F310" s="50">
        <v>194.31</v>
      </c>
      <c r="G310" s="35">
        <v>-0.28999999999999998</v>
      </c>
      <c r="H310" s="39">
        <v>1.6127199999999999</v>
      </c>
      <c r="I310" s="39">
        <v>1.5933999999999999</v>
      </c>
      <c r="J310" s="39">
        <v>3.7589999999999999</v>
      </c>
      <c r="K310" s="41">
        <v>46081</v>
      </c>
      <c r="L310" s="35">
        <v>10.77</v>
      </c>
      <c r="M310" s="35">
        <v>65.27</v>
      </c>
      <c r="N310" s="39">
        <v>457.04759999999999</v>
      </c>
      <c r="O310" s="43">
        <v>7.0586209864852648E-3</v>
      </c>
      <c r="P310" s="35">
        <v>116.99</v>
      </c>
      <c r="Q310" s="35">
        <v>116.17</v>
      </c>
    </row>
    <row r="311" spans="1:17" x14ac:dyDescent="0.15">
      <c r="A311" s="47">
        <v>310</v>
      </c>
      <c r="B311" s="35">
        <v>127062</v>
      </c>
      <c r="C311" s="35" t="s">
        <v>1958</v>
      </c>
      <c r="D311" s="35">
        <v>145.33000000000001</v>
      </c>
      <c r="E311" s="35">
        <v>78.12</v>
      </c>
      <c r="F311" s="50">
        <v>223.45000000000002</v>
      </c>
      <c r="G311" s="35">
        <v>-3.11</v>
      </c>
      <c r="H311" s="39">
        <v>3.9630000000000001</v>
      </c>
      <c r="I311" s="39">
        <v>-3.1741999999999999</v>
      </c>
      <c r="J311" s="39">
        <v>5.9039999999999999</v>
      </c>
      <c r="K311" s="41">
        <v>46864</v>
      </c>
      <c r="L311" s="35">
        <v>7.82</v>
      </c>
      <c r="M311" s="35">
        <v>81.59</v>
      </c>
      <c r="N311" s="39">
        <v>50087.780563400003</v>
      </c>
      <c r="O311" s="43">
        <v>4.4643104643104496E-2</v>
      </c>
      <c r="P311" s="35">
        <v>150.74199999999999</v>
      </c>
      <c r="Q311" s="35">
        <v>144.30000000000001</v>
      </c>
    </row>
    <row r="312" spans="1:17" x14ac:dyDescent="0.15">
      <c r="A312" s="47">
        <v>311</v>
      </c>
      <c r="B312" s="35">
        <v>127059</v>
      </c>
      <c r="C312" s="35" t="s">
        <v>1959</v>
      </c>
      <c r="D312" s="35">
        <v>150.45699999999999</v>
      </c>
      <c r="E312" s="35">
        <v>78.22</v>
      </c>
      <c r="F312" s="50">
        <v>228.67699999999999</v>
      </c>
      <c r="G312" s="35">
        <v>-1.01</v>
      </c>
      <c r="H312" s="39">
        <v>3.8</v>
      </c>
      <c r="I312" s="39">
        <v>-3.7726000000000002</v>
      </c>
      <c r="J312" s="39">
        <v>5.8680000000000003</v>
      </c>
      <c r="K312" s="41">
        <v>46851</v>
      </c>
      <c r="L312" s="35">
        <v>8.86</v>
      </c>
      <c r="M312" s="35">
        <v>84.42</v>
      </c>
      <c r="N312" s="39">
        <v>33113.842981599999</v>
      </c>
      <c r="O312" s="43">
        <v>4.8663468128855338E-2</v>
      </c>
      <c r="P312" s="35">
        <v>153</v>
      </c>
      <c r="Q312" s="35">
        <v>145.9</v>
      </c>
    </row>
    <row r="313" spans="1:17" x14ac:dyDescent="0.15">
      <c r="A313" s="47">
        <v>312</v>
      </c>
      <c r="B313" s="35">
        <v>110081</v>
      </c>
      <c r="C313" s="35" t="s">
        <v>1960</v>
      </c>
      <c r="D313" s="35">
        <v>114</v>
      </c>
      <c r="E313" s="35">
        <v>78.52</v>
      </c>
      <c r="F313" s="50">
        <v>192.51999999999998</v>
      </c>
      <c r="G313" s="35">
        <v>0.26</v>
      </c>
      <c r="H313" s="39">
        <v>85.983620000000002</v>
      </c>
      <c r="I313" s="39">
        <v>-0.36320000000000002</v>
      </c>
      <c r="J313" s="39">
        <v>5.17</v>
      </c>
      <c r="K313" s="41">
        <v>46596</v>
      </c>
      <c r="L313" s="35">
        <v>96.69</v>
      </c>
      <c r="M313" s="35">
        <v>63.86</v>
      </c>
      <c r="N313" s="39">
        <v>18678.813999999998</v>
      </c>
      <c r="O313" s="43">
        <v>1.3206550449022716E-2</v>
      </c>
      <c r="P313" s="35">
        <v>115.08</v>
      </c>
      <c r="Q313" s="35">
        <v>113.58</v>
      </c>
    </row>
    <row r="314" spans="1:17" x14ac:dyDescent="0.15">
      <c r="A314" s="47">
        <v>313</v>
      </c>
      <c r="B314" s="35">
        <v>123122</v>
      </c>
      <c r="C314" s="35" t="s">
        <v>177</v>
      </c>
      <c r="D314" s="35">
        <v>113.44</v>
      </c>
      <c r="E314" s="35">
        <v>79.209999999999994</v>
      </c>
      <c r="F314" s="50">
        <v>192.64999999999998</v>
      </c>
      <c r="G314" s="35">
        <v>-1.1200000000000001</v>
      </c>
      <c r="H314" s="39">
        <v>5.8082830000000003</v>
      </c>
      <c r="I314" s="39">
        <v>1.1578999999999999</v>
      </c>
      <c r="J314" s="39">
        <v>5.1950000000000003</v>
      </c>
      <c r="K314" s="41">
        <v>46605</v>
      </c>
      <c r="L314" s="35">
        <v>92.89</v>
      </c>
      <c r="M314" s="35">
        <v>63.3</v>
      </c>
      <c r="N314" s="39">
        <v>3608.8039389</v>
      </c>
      <c r="O314" s="43">
        <v>1.8812099801280721E-2</v>
      </c>
      <c r="P314" s="35">
        <v>115.355</v>
      </c>
      <c r="Q314" s="35">
        <v>113.22499999999999</v>
      </c>
    </row>
    <row r="315" spans="1:17" x14ac:dyDescent="0.15">
      <c r="A315" s="47">
        <v>314</v>
      </c>
      <c r="B315" s="35">
        <v>128142</v>
      </c>
      <c r="C315" s="35" t="s">
        <v>201</v>
      </c>
      <c r="D315" s="35">
        <v>109.1</v>
      </c>
      <c r="E315" s="35">
        <v>80.72</v>
      </c>
      <c r="F315" s="50">
        <v>189.82</v>
      </c>
      <c r="G315" s="35">
        <v>0.3</v>
      </c>
      <c r="H315" s="39">
        <v>7.1797839999999997</v>
      </c>
      <c r="I315" s="39">
        <v>1.1437999999999999</v>
      </c>
      <c r="J315" s="39">
        <v>4.5620000000000003</v>
      </c>
      <c r="K315" s="41">
        <v>46374</v>
      </c>
      <c r="L315" s="35">
        <v>18.47</v>
      </c>
      <c r="M315" s="35">
        <v>60.37</v>
      </c>
      <c r="N315" s="39">
        <v>784.15504850000002</v>
      </c>
      <c r="O315" s="43">
        <v>5.6261376381253076E-3</v>
      </c>
      <c r="P315" s="35">
        <v>109.39</v>
      </c>
      <c r="Q315" s="35">
        <v>108.77800000000001</v>
      </c>
    </row>
    <row r="316" spans="1:17" x14ac:dyDescent="0.15">
      <c r="A316" s="47">
        <v>315</v>
      </c>
      <c r="B316" s="35">
        <v>128015</v>
      </c>
      <c r="C316" s="35" t="s">
        <v>163</v>
      </c>
      <c r="D316" s="35">
        <v>111.208</v>
      </c>
      <c r="E316" s="35">
        <v>81.53</v>
      </c>
      <c r="F316" s="50">
        <v>192.738</v>
      </c>
      <c r="G316" s="35">
        <v>-0.02</v>
      </c>
      <c r="H316" s="39">
        <v>7.7922979999999997</v>
      </c>
      <c r="I316" s="39">
        <v>-1.5069999999999999</v>
      </c>
      <c r="J316" s="39">
        <v>1.03</v>
      </c>
      <c r="K316" s="41">
        <v>45085</v>
      </c>
      <c r="L316" s="35">
        <v>6.97</v>
      </c>
      <c r="M316" s="35">
        <v>61.26</v>
      </c>
      <c r="N316" s="39">
        <v>2008.738591</v>
      </c>
      <c r="O316" s="43">
        <v>3.9260886791772573E-3</v>
      </c>
      <c r="P316" s="35">
        <v>111.488</v>
      </c>
      <c r="Q316" s="35">
        <v>111.05200000000001</v>
      </c>
    </row>
    <row r="317" spans="1:17" x14ac:dyDescent="0.15">
      <c r="A317" s="47">
        <v>316</v>
      </c>
      <c r="B317" s="35">
        <v>110062</v>
      </c>
      <c r="C317" s="35" t="s">
        <v>1961</v>
      </c>
      <c r="D317" s="35">
        <v>109.42</v>
      </c>
      <c r="E317" s="35">
        <v>81.58</v>
      </c>
      <c r="F317" s="50">
        <v>191</v>
      </c>
      <c r="G317" s="35">
        <v>0.76</v>
      </c>
      <c r="H317" s="39">
        <v>30.87631</v>
      </c>
      <c r="I317" s="39">
        <v>0.23250000000000001</v>
      </c>
      <c r="J317" s="39">
        <v>3.5179999999999998</v>
      </c>
      <c r="K317" s="41">
        <v>45993</v>
      </c>
      <c r="L317" s="35">
        <v>22.85</v>
      </c>
      <c r="M317" s="35">
        <v>60.26</v>
      </c>
      <c r="N317" s="39">
        <v>2614.0106999999998</v>
      </c>
      <c r="O317" s="43">
        <v>9.3758617519992277E-3</v>
      </c>
      <c r="P317" s="35">
        <v>109.81</v>
      </c>
      <c r="Q317" s="35">
        <v>108.79</v>
      </c>
    </row>
    <row r="318" spans="1:17" x14ac:dyDescent="0.15">
      <c r="A318" s="47">
        <v>317</v>
      </c>
      <c r="B318" s="35">
        <v>123096</v>
      </c>
      <c r="C318" s="35" t="s">
        <v>210</v>
      </c>
      <c r="D318" s="35">
        <v>106.1</v>
      </c>
      <c r="E318" s="35">
        <v>82.05</v>
      </c>
      <c r="F318" s="50">
        <v>188.14999999999998</v>
      </c>
      <c r="G318" s="35">
        <v>0.21</v>
      </c>
      <c r="H318" s="39">
        <v>8.1692879999999999</v>
      </c>
      <c r="I318" s="39">
        <v>3.39</v>
      </c>
      <c r="J318" s="39">
        <v>4.6680000000000001</v>
      </c>
      <c r="K318" s="41">
        <v>46413</v>
      </c>
      <c r="L318" s="35">
        <v>8.27</v>
      </c>
      <c r="M318" s="35">
        <v>58.28</v>
      </c>
      <c r="N318" s="39">
        <v>1383.702084</v>
      </c>
      <c r="O318" s="43">
        <v>5.203405865657494E-3</v>
      </c>
      <c r="P318" s="35">
        <v>106.25</v>
      </c>
      <c r="Q318" s="35">
        <v>105.7</v>
      </c>
    </row>
    <row r="319" spans="1:17" x14ac:dyDescent="0.15">
      <c r="A319" s="47">
        <v>318</v>
      </c>
      <c r="B319" s="35">
        <v>113542</v>
      </c>
      <c r="C319" s="35" t="s">
        <v>178</v>
      </c>
      <c r="D319" s="35">
        <v>106.53</v>
      </c>
      <c r="E319" s="35">
        <v>82.13</v>
      </c>
      <c r="F319" s="50">
        <v>188.66</v>
      </c>
      <c r="G319" s="35">
        <v>0.02</v>
      </c>
      <c r="H319" s="39">
        <v>6.02719</v>
      </c>
      <c r="I319" s="39">
        <v>2.2867999999999999</v>
      </c>
      <c r="J319" s="39">
        <v>3.181</v>
      </c>
      <c r="K319" s="41">
        <v>45870</v>
      </c>
      <c r="L319" s="35">
        <v>16.14</v>
      </c>
      <c r="M319" s="35">
        <v>58.49</v>
      </c>
      <c r="N319" s="39">
        <v>311.92540000000002</v>
      </c>
      <c r="O319" s="43">
        <v>4.9830763444904209E-3</v>
      </c>
      <c r="P319" s="35">
        <v>106.89</v>
      </c>
      <c r="Q319" s="35">
        <v>106.36</v>
      </c>
    </row>
    <row r="320" spans="1:17" x14ac:dyDescent="0.15">
      <c r="A320" s="47">
        <v>319</v>
      </c>
      <c r="B320" s="35">
        <v>128117</v>
      </c>
      <c r="C320" s="35" t="s">
        <v>155</v>
      </c>
      <c r="D320" s="35">
        <v>111.26900000000001</v>
      </c>
      <c r="E320" s="35">
        <v>82.29</v>
      </c>
      <c r="F320" s="50">
        <v>193.55900000000003</v>
      </c>
      <c r="G320" s="35">
        <v>0.25</v>
      </c>
      <c r="H320" s="39">
        <v>3.5988820000000001</v>
      </c>
      <c r="I320" s="39">
        <v>2.5491999999999999</v>
      </c>
      <c r="J320" s="39">
        <v>4.0990000000000002</v>
      </c>
      <c r="K320" s="41">
        <v>46205</v>
      </c>
      <c r="L320" s="35">
        <v>28.77</v>
      </c>
      <c r="M320" s="35">
        <v>61.04</v>
      </c>
      <c r="N320" s="39">
        <v>538.37160829999993</v>
      </c>
      <c r="O320" s="43">
        <v>6.7175214600014837E-3</v>
      </c>
      <c r="P320" s="35">
        <v>111.649</v>
      </c>
      <c r="Q320" s="35">
        <v>110.904</v>
      </c>
    </row>
    <row r="321" spans="1:17" x14ac:dyDescent="0.15">
      <c r="A321" s="47">
        <v>320</v>
      </c>
      <c r="B321" s="35">
        <v>128122</v>
      </c>
      <c r="C321" s="35" t="s">
        <v>203</v>
      </c>
      <c r="D321" s="35">
        <v>117.01</v>
      </c>
      <c r="E321" s="35">
        <v>82.51</v>
      </c>
      <c r="F321" s="50">
        <v>199.52</v>
      </c>
      <c r="G321" s="35">
        <v>0.71</v>
      </c>
      <c r="H321" s="39">
        <v>2.6856960000000001</v>
      </c>
      <c r="I321" s="39">
        <v>-1.1132</v>
      </c>
      <c r="J321" s="39">
        <v>3.1560000000000001</v>
      </c>
      <c r="K321" s="41">
        <v>45861</v>
      </c>
      <c r="L321" s="35">
        <v>14.1</v>
      </c>
      <c r="M321" s="35">
        <v>64.11</v>
      </c>
      <c r="N321" s="39">
        <v>2404.5651427000003</v>
      </c>
      <c r="O321" s="43">
        <v>2.1913736674369275E-2</v>
      </c>
      <c r="P321" s="35">
        <v>118.962</v>
      </c>
      <c r="Q321" s="35">
        <v>116.411</v>
      </c>
    </row>
    <row r="322" spans="1:17" x14ac:dyDescent="0.15">
      <c r="A322" s="47">
        <v>321</v>
      </c>
      <c r="B322" s="35">
        <v>123093</v>
      </c>
      <c r="C322" s="35" t="s">
        <v>143</v>
      </c>
      <c r="D322" s="35">
        <v>117.9</v>
      </c>
      <c r="E322" s="35">
        <v>82.96</v>
      </c>
      <c r="F322" s="50">
        <v>200.86</v>
      </c>
      <c r="G322" s="35">
        <v>-0.3</v>
      </c>
      <c r="H322" s="39">
        <v>2.4998309999999999</v>
      </c>
      <c r="I322" s="39">
        <v>1.9776</v>
      </c>
      <c r="J322" s="39">
        <v>4.649</v>
      </c>
      <c r="K322" s="41">
        <v>46406</v>
      </c>
      <c r="L322" s="35">
        <v>49.19</v>
      </c>
      <c r="M322" s="35">
        <v>64.44</v>
      </c>
      <c r="N322" s="39">
        <v>7471.4417219999996</v>
      </c>
      <c r="O322" s="43">
        <v>1.8723404255319175E-2</v>
      </c>
      <c r="P322" s="35">
        <v>119.7</v>
      </c>
      <c r="Q322" s="35">
        <v>117.5</v>
      </c>
    </row>
    <row r="323" spans="1:17" x14ac:dyDescent="0.15">
      <c r="A323" s="47">
        <v>322</v>
      </c>
      <c r="B323" s="35">
        <v>113638</v>
      </c>
      <c r="C323" s="35" t="s">
        <v>277</v>
      </c>
      <c r="D323" s="35">
        <v>117.18</v>
      </c>
      <c r="E323" s="35">
        <v>83.21</v>
      </c>
      <c r="F323" s="50">
        <v>200.39</v>
      </c>
      <c r="G323" s="35">
        <v>0.13</v>
      </c>
      <c r="H323" s="39">
        <v>6</v>
      </c>
      <c r="I323" s="39">
        <v>-1.24E-2</v>
      </c>
      <c r="J323" s="39">
        <v>5.5919999999999996</v>
      </c>
      <c r="K323" s="41">
        <v>46750</v>
      </c>
      <c r="L323" s="35">
        <v>16.87</v>
      </c>
      <c r="M323" s="35">
        <v>63.96</v>
      </c>
      <c r="N323" s="39">
        <v>1627.1264000000001</v>
      </c>
      <c r="O323" s="43">
        <v>8.805676669231436E-3</v>
      </c>
      <c r="P323" s="35">
        <v>118</v>
      </c>
      <c r="Q323" s="35">
        <v>116.97</v>
      </c>
    </row>
    <row r="324" spans="1:17" x14ac:dyDescent="0.15">
      <c r="A324" s="47">
        <v>323</v>
      </c>
      <c r="B324" s="35">
        <v>113616</v>
      </c>
      <c r="C324" s="35" t="s">
        <v>1962</v>
      </c>
      <c r="D324" s="35">
        <v>123.08</v>
      </c>
      <c r="E324" s="35">
        <v>83.43</v>
      </c>
      <c r="F324" s="50">
        <v>206.51</v>
      </c>
      <c r="G324" s="35">
        <v>0.33</v>
      </c>
      <c r="H324" s="39">
        <v>24.333829999999999</v>
      </c>
      <c r="I324" s="39">
        <v>-0.63239999999999996</v>
      </c>
      <c r="J324" s="39">
        <v>4.5890000000000004</v>
      </c>
      <c r="K324" s="41">
        <v>46384</v>
      </c>
      <c r="L324" s="35">
        <v>222.52</v>
      </c>
      <c r="M324" s="35">
        <v>67.099999999999994</v>
      </c>
      <c r="N324" s="39">
        <v>3889.4515000000001</v>
      </c>
      <c r="O324" s="43">
        <v>1.34364820846906E-2</v>
      </c>
      <c r="P324" s="35">
        <v>124.45</v>
      </c>
      <c r="Q324" s="35">
        <v>122.8</v>
      </c>
    </row>
    <row r="325" spans="1:17" x14ac:dyDescent="0.15">
      <c r="A325" s="47">
        <v>324</v>
      </c>
      <c r="B325" s="35">
        <v>123088</v>
      </c>
      <c r="C325" s="35" t="s">
        <v>238</v>
      </c>
      <c r="D325" s="35">
        <v>111.687</v>
      </c>
      <c r="E325" s="35">
        <v>83.82</v>
      </c>
      <c r="F325" s="50">
        <v>195.50700000000001</v>
      </c>
      <c r="G325" s="35">
        <v>-0.56000000000000005</v>
      </c>
      <c r="H325" s="39">
        <v>3.0117950000000002</v>
      </c>
      <c r="I325" s="39">
        <v>1.8344</v>
      </c>
      <c r="J325" s="39">
        <v>4.5529999999999999</v>
      </c>
      <c r="K325" s="41">
        <v>46371</v>
      </c>
      <c r="L325" s="35">
        <v>20.72</v>
      </c>
      <c r="M325" s="35">
        <v>60.76</v>
      </c>
      <c r="N325" s="39">
        <v>671.30695000000003</v>
      </c>
      <c r="O325" s="43">
        <v>1.0654776294465764E-2</v>
      </c>
      <c r="P325" s="35">
        <v>112.877</v>
      </c>
      <c r="Q325" s="35">
        <v>111.687</v>
      </c>
    </row>
    <row r="326" spans="1:17" x14ac:dyDescent="0.15">
      <c r="A326" s="47">
        <v>325</v>
      </c>
      <c r="B326" s="35">
        <v>128014</v>
      </c>
      <c r="C326" s="35" t="s">
        <v>189</v>
      </c>
      <c r="D326" s="35">
        <v>110.08199999999999</v>
      </c>
      <c r="E326" s="35">
        <v>84.27</v>
      </c>
      <c r="F326" s="50">
        <v>194.35199999999998</v>
      </c>
      <c r="G326" s="35">
        <v>-0.12</v>
      </c>
      <c r="H326" s="39">
        <v>3.3698380000000001</v>
      </c>
      <c r="I326" s="39">
        <v>-2.1215999999999999</v>
      </c>
      <c r="J326" s="39">
        <v>0.88800000000000001</v>
      </c>
      <c r="K326" s="41">
        <v>45033</v>
      </c>
      <c r="L326" s="35">
        <v>12.52</v>
      </c>
      <c r="M326" s="35">
        <v>59.74</v>
      </c>
      <c r="N326" s="39">
        <v>1200.014422</v>
      </c>
      <c r="O326" s="43">
        <v>6.7327813665727333E-3</v>
      </c>
      <c r="P326" s="35">
        <v>110.65</v>
      </c>
      <c r="Q326" s="35">
        <v>109.91</v>
      </c>
    </row>
    <row r="327" spans="1:17" x14ac:dyDescent="0.15">
      <c r="A327" s="47">
        <v>326</v>
      </c>
      <c r="B327" s="35">
        <v>110059</v>
      </c>
      <c r="C327" s="35" t="s">
        <v>1963</v>
      </c>
      <c r="D327" s="35">
        <v>106.49</v>
      </c>
      <c r="E327" s="35">
        <v>85.94</v>
      </c>
      <c r="F327" s="50">
        <v>192.43</v>
      </c>
      <c r="G327" s="35">
        <v>0.11</v>
      </c>
      <c r="H327" s="39">
        <v>499.98649</v>
      </c>
      <c r="I327" s="39">
        <v>2.8228</v>
      </c>
      <c r="J327" s="39">
        <v>3.4220000000000002</v>
      </c>
      <c r="K327" s="41">
        <v>45958</v>
      </c>
      <c r="L327" s="35">
        <v>13.97</v>
      </c>
      <c r="M327" s="35">
        <v>57.27</v>
      </c>
      <c r="N327" s="39">
        <v>5094.8239000000003</v>
      </c>
      <c r="O327" s="43">
        <v>2.4470588235294601E-3</v>
      </c>
      <c r="P327" s="35">
        <v>106.51</v>
      </c>
      <c r="Q327" s="35">
        <v>106.25</v>
      </c>
    </row>
    <row r="328" spans="1:17" x14ac:dyDescent="0.15">
      <c r="A328" s="47">
        <v>327</v>
      </c>
      <c r="B328" s="35">
        <v>128063</v>
      </c>
      <c r="C328" s="35" t="s">
        <v>206</v>
      </c>
      <c r="D328" s="35">
        <v>114.11499999999999</v>
      </c>
      <c r="E328" s="35">
        <v>86.04</v>
      </c>
      <c r="F328" s="50">
        <v>200.155</v>
      </c>
      <c r="G328" s="35">
        <v>-0.34</v>
      </c>
      <c r="H328" s="39">
        <v>6.293526</v>
      </c>
      <c r="I328" s="39">
        <v>3.6208999999999998</v>
      </c>
      <c r="J328" s="39">
        <v>2.8519999999999999</v>
      </c>
      <c r="K328" s="41">
        <v>45750</v>
      </c>
      <c r="L328" s="35">
        <v>8.64</v>
      </c>
      <c r="M328" s="35">
        <v>61.34</v>
      </c>
      <c r="N328" s="39">
        <v>377.3116134</v>
      </c>
      <c r="O328" s="43">
        <v>9.1799534413844752E-3</v>
      </c>
      <c r="P328" s="35">
        <v>114.88</v>
      </c>
      <c r="Q328" s="35">
        <v>113.83499999999999</v>
      </c>
    </row>
    <row r="329" spans="1:17" x14ac:dyDescent="0.15">
      <c r="A329" s="47">
        <v>328</v>
      </c>
      <c r="B329" s="35">
        <v>127053</v>
      </c>
      <c r="C329" s="35" t="s">
        <v>793</v>
      </c>
      <c r="D329" s="35">
        <v>108.3</v>
      </c>
      <c r="E329" s="35">
        <v>86.53</v>
      </c>
      <c r="F329" s="50">
        <v>194.82999999999998</v>
      </c>
      <c r="G329" s="35">
        <v>-0.31</v>
      </c>
      <c r="H329" s="39">
        <v>8.24</v>
      </c>
      <c r="I329" s="39">
        <v>2.4643999999999999</v>
      </c>
      <c r="J329" s="39">
        <v>5.6630000000000003</v>
      </c>
      <c r="K329" s="41">
        <v>46776</v>
      </c>
      <c r="L329" s="35">
        <v>21.29</v>
      </c>
      <c r="M329" s="35">
        <v>58.06</v>
      </c>
      <c r="N329" s="39">
        <v>407.003828</v>
      </c>
      <c r="O329" s="43">
        <v>8.0932340563289098E-3</v>
      </c>
      <c r="P329" s="35">
        <v>108.99</v>
      </c>
      <c r="Q329" s="35">
        <v>108.11499999999999</v>
      </c>
    </row>
    <row r="330" spans="1:17" x14ac:dyDescent="0.15">
      <c r="A330" s="47">
        <v>329</v>
      </c>
      <c r="B330" s="35">
        <v>123056</v>
      </c>
      <c r="C330" s="35" t="s">
        <v>158</v>
      </c>
      <c r="D330" s="35">
        <v>107.47199999999999</v>
      </c>
      <c r="E330" s="35">
        <v>86.97</v>
      </c>
      <c r="F330" s="50">
        <v>194.44200000000001</v>
      </c>
      <c r="G330" s="35">
        <v>-0.03</v>
      </c>
      <c r="H330" s="39">
        <v>5.8400559999999997</v>
      </c>
      <c r="I330" s="39">
        <v>2.9577</v>
      </c>
      <c r="J330" s="39">
        <v>4.077</v>
      </c>
      <c r="K330" s="41">
        <v>46197</v>
      </c>
      <c r="L330" s="35">
        <v>11.03</v>
      </c>
      <c r="M330" s="35">
        <v>57.48</v>
      </c>
      <c r="N330" s="39">
        <v>501.176537</v>
      </c>
      <c r="O330" s="43">
        <v>5.5944055944055415E-3</v>
      </c>
      <c r="P330" s="35">
        <v>107.85</v>
      </c>
      <c r="Q330" s="35">
        <v>107.25</v>
      </c>
    </row>
    <row r="331" spans="1:17" x14ac:dyDescent="0.15">
      <c r="A331" s="47">
        <v>330</v>
      </c>
      <c r="B331" s="35">
        <v>113622</v>
      </c>
      <c r="C331" s="35" t="s">
        <v>1964</v>
      </c>
      <c r="D331" s="35">
        <v>109.57</v>
      </c>
      <c r="E331" s="35">
        <v>86.98</v>
      </c>
      <c r="F331" s="50">
        <v>196.55</v>
      </c>
      <c r="G331" s="35">
        <v>0.13</v>
      </c>
      <c r="H331" s="39">
        <v>11.49971</v>
      </c>
      <c r="I331" s="39">
        <v>0.51870000000000005</v>
      </c>
      <c r="J331" s="39">
        <v>4.827</v>
      </c>
      <c r="K331" s="41">
        <v>46471</v>
      </c>
      <c r="L331" s="35">
        <v>22.68</v>
      </c>
      <c r="M331" s="35">
        <v>58.6</v>
      </c>
      <c r="N331" s="39">
        <v>562.38049999999998</v>
      </c>
      <c r="O331" s="43">
        <v>7.6852698993595927E-3</v>
      </c>
      <c r="P331" s="35">
        <v>110.14</v>
      </c>
      <c r="Q331" s="35">
        <v>109.3</v>
      </c>
    </row>
    <row r="332" spans="1:17" x14ac:dyDescent="0.15">
      <c r="A332" s="47">
        <v>331</v>
      </c>
      <c r="B332" s="35">
        <v>127024</v>
      </c>
      <c r="C332" s="35" t="s">
        <v>1965</v>
      </c>
      <c r="D332" s="35">
        <v>106.255</v>
      </c>
      <c r="E332" s="35">
        <v>87.96</v>
      </c>
      <c r="F332" s="50">
        <v>194.21499999999997</v>
      </c>
      <c r="G332" s="35">
        <v>0</v>
      </c>
      <c r="H332" s="39">
        <v>14.761067000000002</v>
      </c>
      <c r="I332" s="39">
        <v>1.7484999999999999</v>
      </c>
      <c r="J332" s="39">
        <v>4.4409999999999998</v>
      </c>
      <c r="K332" s="41">
        <v>46330</v>
      </c>
      <c r="L332" s="35">
        <v>8.19</v>
      </c>
      <c r="M332" s="35">
        <v>56.53</v>
      </c>
      <c r="N332" s="39">
        <v>315.46111500000001</v>
      </c>
      <c r="O332" s="43">
        <v>5.1062303561147044E-3</v>
      </c>
      <c r="P332" s="35">
        <v>106.49</v>
      </c>
      <c r="Q332" s="35">
        <v>105.949</v>
      </c>
    </row>
    <row r="333" spans="1:17" x14ac:dyDescent="0.15">
      <c r="A333" s="47">
        <v>332</v>
      </c>
      <c r="B333" s="35">
        <v>123108</v>
      </c>
      <c r="C333" s="35" t="s">
        <v>1966</v>
      </c>
      <c r="D333" s="35">
        <v>111.73</v>
      </c>
      <c r="E333" s="35">
        <v>88.03</v>
      </c>
      <c r="F333" s="50">
        <v>199.76</v>
      </c>
      <c r="G333" s="35">
        <v>-0.04</v>
      </c>
      <c r="H333" s="39">
        <v>16.377645999999999</v>
      </c>
      <c r="I333" s="39">
        <v>-0.2198</v>
      </c>
      <c r="J333" s="39">
        <v>3.8410000000000002</v>
      </c>
      <c r="K333" s="41">
        <v>46111</v>
      </c>
      <c r="L333" s="35">
        <v>29.5</v>
      </c>
      <c r="M333" s="35">
        <v>59.42</v>
      </c>
      <c r="N333" s="39">
        <v>507.86236020000001</v>
      </c>
      <c r="O333" s="43">
        <v>6.9955156950672745E-3</v>
      </c>
      <c r="P333" s="35">
        <v>112.28</v>
      </c>
      <c r="Q333" s="35">
        <v>111.5</v>
      </c>
    </row>
    <row r="334" spans="1:17" x14ac:dyDescent="0.15">
      <c r="A334" s="47">
        <v>333</v>
      </c>
      <c r="B334" s="35">
        <v>123128</v>
      </c>
      <c r="C334" s="35" t="s">
        <v>1967</v>
      </c>
      <c r="D334" s="35">
        <v>103.843</v>
      </c>
      <c r="E334" s="35">
        <v>88.67</v>
      </c>
      <c r="F334" s="50">
        <v>192.51300000000001</v>
      </c>
      <c r="G334" s="35">
        <v>-0.08</v>
      </c>
      <c r="H334" s="39">
        <v>13.794491000000001</v>
      </c>
      <c r="I334" s="39">
        <v>1.948</v>
      </c>
      <c r="J334" s="39">
        <v>5.4329999999999998</v>
      </c>
      <c r="K334" s="41">
        <v>46692</v>
      </c>
      <c r="L334" s="35">
        <v>25.02</v>
      </c>
      <c r="M334" s="35">
        <v>55.04</v>
      </c>
      <c r="N334" s="39">
        <v>4064.5396553999999</v>
      </c>
      <c r="O334" s="43">
        <v>9.6339113680154152E-3</v>
      </c>
      <c r="P334" s="35">
        <v>104.8</v>
      </c>
      <c r="Q334" s="35">
        <v>103.8</v>
      </c>
    </row>
    <row r="335" spans="1:17" x14ac:dyDescent="0.15">
      <c r="A335" s="47">
        <v>334</v>
      </c>
      <c r="B335" s="35">
        <v>113594</v>
      </c>
      <c r="C335" s="35" t="s">
        <v>76</v>
      </c>
      <c r="D335" s="35">
        <v>114.91</v>
      </c>
      <c r="E335" s="35">
        <v>90.25</v>
      </c>
      <c r="F335" s="50">
        <v>205.16</v>
      </c>
      <c r="G335" s="35">
        <v>-0.23</v>
      </c>
      <c r="H335" s="39">
        <v>2.9975299999999998</v>
      </c>
      <c r="I335" s="39">
        <v>1.2623</v>
      </c>
      <c r="J335" s="39">
        <v>4.1509999999999998</v>
      </c>
      <c r="K335" s="41">
        <v>46224</v>
      </c>
      <c r="L335" s="35">
        <v>18.03</v>
      </c>
      <c r="M335" s="35">
        <v>60.4</v>
      </c>
      <c r="N335" s="39">
        <v>2552.8157000000001</v>
      </c>
      <c r="O335" s="43">
        <v>1.0814582243153752E-2</v>
      </c>
      <c r="P335" s="35">
        <v>115.9</v>
      </c>
      <c r="Q335" s="35">
        <v>114.66</v>
      </c>
    </row>
    <row r="336" spans="1:17" x14ac:dyDescent="0.15">
      <c r="A336" s="47">
        <v>335</v>
      </c>
      <c r="B336" s="35">
        <v>128131</v>
      </c>
      <c r="C336" s="35" t="s">
        <v>1968</v>
      </c>
      <c r="D336" s="35">
        <v>110.886</v>
      </c>
      <c r="E336" s="35">
        <v>90.69</v>
      </c>
      <c r="F336" s="50">
        <v>201.57599999999999</v>
      </c>
      <c r="G336" s="35">
        <v>0.35</v>
      </c>
      <c r="H336" s="39">
        <v>13.997867000000003</v>
      </c>
      <c r="I336" s="39">
        <v>0.85119999999999996</v>
      </c>
      <c r="J336" s="39">
        <v>4.282</v>
      </c>
      <c r="K336" s="41">
        <v>46272</v>
      </c>
      <c r="L336" s="35">
        <v>19.07</v>
      </c>
      <c r="M336" s="35">
        <v>58.15</v>
      </c>
      <c r="N336" s="39">
        <v>517.17575999999997</v>
      </c>
      <c r="O336" s="43">
        <v>1.520637881531072E-2</v>
      </c>
      <c r="P336" s="35">
        <v>111.02500000000001</v>
      </c>
      <c r="Q336" s="35">
        <v>109.36199999999999</v>
      </c>
    </row>
    <row r="337" spans="1:17" x14ac:dyDescent="0.15">
      <c r="A337" s="47">
        <v>336</v>
      </c>
      <c r="B337" s="35">
        <v>113608</v>
      </c>
      <c r="C337" s="35" t="s">
        <v>66</v>
      </c>
      <c r="D337" s="35">
        <v>108.51</v>
      </c>
      <c r="E337" s="35">
        <v>90.7</v>
      </c>
      <c r="F337" s="50">
        <v>199.21</v>
      </c>
      <c r="G337" s="35">
        <v>-0.22</v>
      </c>
      <c r="H337" s="39">
        <v>4.1998600000000001</v>
      </c>
      <c r="I337" s="39">
        <v>2.5546000000000002</v>
      </c>
      <c r="J337" s="39">
        <v>4.4550000000000001</v>
      </c>
      <c r="K337" s="41">
        <v>46335</v>
      </c>
      <c r="L337" s="35">
        <v>17.89</v>
      </c>
      <c r="M337" s="35">
        <v>56.9</v>
      </c>
      <c r="N337" s="39">
        <v>261.74450000000002</v>
      </c>
      <c r="O337" s="43">
        <v>8.5130008327935769E-3</v>
      </c>
      <c r="P337" s="35">
        <v>108.99</v>
      </c>
      <c r="Q337" s="35">
        <v>108.07</v>
      </c>
    </row>
    <row r="338" spans="1:17" x14ac:dyDescent="0.15">
      <c r="A338" s="47">
        <v>337</v>
      </c>
      <c r="B338" s="35">
        <v>123034</v>
      </c>
      <c r="C338" s="35" t="s">
        <v>1969</v>
      </c>
      <c r="D338" s="35">
        <v>198.70400000000001</v>
      </c>
      <c r="E338" s="35">
        <v>90.79</v>
      </c>
      <c r="F338" s="50">
        <v>289.49400000000003</v>
      </c>
      <c r="G338" s="35">
        <v>-0.97</v>
      </c>
      <c r="H338" s="39">
        <v>0.77860099999999999</v>
      </c>
      <c r="I338" s="39">
        <v>-14.411799999999999</v>
      </c>
      <c r="J338" s="39">
        <v>3.4409999999999998</v>
      </c>
      <c r="K338" s="41">
        <v>45965</v>
      </c>
      <c r="L338" s="35">
        <v>7.95</v>
      </c>
      <c r="M338" s="35">
        <v>104.15</v>
      </c>
      <c r="N338" s="39">
        <v>28424.868467</v>
      </c>
      <c r="O338" s="43">
        <v>3.4951298205616203E-2</v>
      </c>
      <c r="P338" s="35">
        <v>203.37</v>
      </c>
      <c r="Q338" s="35">
        <v>196.50200000000001</v>
      </c>
    </row>
    <row r="339" spans="1:17" x14ac:dyDescent="0.15">
      <c r="A339" s="47">
        <v>338</v>
      </c>
      <c r="B339" s="35">
        <v>123099</v>
      </c>
      <c r="C339" s="35" t="s">
        <v>245</v>
      </c>
      <c r="D339" s="35">
        <v>110.351</v>
      </c>
      <c r="E339" s="35">
        <v>91.02</v>
      </c>
      <c r="F339" s="50">
        <v>201.37099999999998</v>
      </c>
      <c r="G339" s="35">
        <v>-0.28000000000000003</v>
      </c>
      <c r="H339" s="39">
        <v>8.4993130000000008</v>
      </c>
      <c r="I339" s="39">
        <v>2.3934000000000002</v>
      </c>
      <c r="J339" s="39">
        <v>4.7069999999999999</v>
      </c>
      <c r="K339" s="41">
        <v>46427</v>
      </c>
      <c r="L339" s="35">
        <v>46.03</v>
      </c>
      <c r="M339" s="35">
        <v>57.77</v>
      </c>
      <c r="N339" s="39">
        <v>497.11003480000005</v>
      </c>
      <c r="O339" s="43">
        <v>8.5998314469284201E-3</v>
      </c>
      <c r="P339" s="35">
        <v>111.3</v>
      </c>
      <c r="Q339" s="35">
        <v>110.351</v>
      </c>
    </row>
    <row r="340" spans="1:17" x14ac:dyDescent="0.15">
      <c r="A340" s="47">
        <v>339</v>
      </c>
      <c r="B340" s="35">
        <v>118006</v>
      </c>
      <c r="C340" s="35" t="s">
        <v>810</v>
      </c>
      <c r="D340" s="35">
        <v>110.351</v>
      </c>
      <c r="E340" s="35">
        <v>91.02</v>
      </c>
      <c r="F340" s="50">
        <v>201.37099999999998</v>
      </c>
      <c r="G340" s="35">
        <v>-0.28000000000000003</v>
      </c>
      <c r="H340" s="39">
        <v>8.4993130000000008</v>
      </c>
      <c r="I340" s="39">
        <v>2.3934000000000002</v>
      </c>
      <c r="J340" s="39">
        <v>4.7069999999999999</v>
      </c>
      <c r="K340" s="41">
        <v>46427</v>
      </c>
      <c r="L340" s="35">
        <v>46.03</v>
      </c>
      <c r="M340" s="35">
        <v>57.77</v>
      </c>
      <c r="N340" s="39">
        <v>497.11003480000005</v>
      </c>
      <c r="O340" s="43">
        <v>8.5998314469284201E-3</v>
      </c>
      <c r="P340" s="35">
        <v>111.3</v>
      </c>
      <c r="Q340" s="35">
        <v>110.351</v>
      </c>
    </row>
    <row r="341" spans="1:17" x14ac:dyDescent="0.15">
      <c r="A341" s="47">
        <v>340</v>
      </c>
      <c r="B341" s="35">
        <v>113597</v>
      </c>
      <c r="C341" s="35" t="s">
        <v>157</v>
      </c>
      <c r="D341" s="35">
        <v>128.31</v>
      </c>
      <c r="E341" s="35">
        <v>92.37</v>
      </c>
      <c r="F341" s="50">
        <v>220.68</v>
      </c>
      <c r="G341" s="35">
        <v>-0.66</v>
      </c>
      <c r="H341" s="39">
        <v>2.98447</v>
      </c>
      <c r="I341" s="39">
        <v>-0.83330000000000004</v>
      </c>
      <c r="J341" s="39">
        <v>4.1749999999999998</v>
      </c>
      <c r="K341" s="41">
        <v>46233</v>
      </c>
      <c r="L341" s="35">
        <v>23.15</v>
      </c>
      <c r="M341" s="35">
        <v>66.7</v>
      </c>
      <c r="N341" s="39">
        <v>25015.387699999999</v>
      </c>
      <c r="O341" s="43">
        <v>2.3128185025480228E-2</v>
      </c>
      <c r="P341" s="35">
        <v>130.5</v>
      </c>
      <c r="Q341" s="35">
        <v>127.55</v>
      </c>
    </row>
    <row r="342" spans="1:17" x14ac:dyDescent="0.15">
      <c r="A342" s="47">
        <v>341</v>
      </c>
      <c r="B342" s="35">
        <v>128116</v>
      </c>
      <c r="C342" s="35" t="s">
        <v>185</v>
      </c>
      <c r="D342" s="35">
        <v>106.282</v>
      </c>
      <c r="E342" s="35">
        <v>93.49</v>
      </c>
      <c r="F342" s="50">
        <v>199.77199999999999</v>
      </c>
      <c r="G342" s="35">
        <v>0.06</v>
      </c>
      <c r="H342" s="39">
        <v>6.4919989999999999</v>
      </c>
      <c r="I342" s="39">
        <v>1.9659</v>
      </c>
      <c r="J342" s="39">
        <v>4.09</v>
      </c>
      <c r="K342" s="41">
        <v>46202</v>
      </c>
      <c r="L342" s="35">
        <v>29.22</v>
      </c>
      <c r="M342" s="35">
        <v>54.93</v>
      </c>
      <c r="N342" s="39">
        <v>364.56654700000001</v>
      </c>
      <c r="O342" s="43">
        <v>4.5274903555022191E-3</v>
      </c>
      <c r="P342" s="35">
        <v>106.499</v>
      </c>
      <c r="Q342" s="35">
        <v>106.01900000000001</v>
      </c>
    </row>
    <row r="343" spans="1:17" x14ac:dyDescent="0.15">
      <c r="A343" s="47">
        <v>342</v>
      </c>
      <c r="B343" s="35">
        <v>123126</v>
      </c>
      <c r="C343" s="35" t="s">
        <v>184</v>
      </c>
      <c r="D343" s="35">
        <v>112.8</v>
      </c>
      <c r="E343" s="35">
        <v>93.81</v>
      </c>
      <c r="F343" s="50">
        <v>206.61</v>
      </c>
      <c r="G343" s="35">
        <v>0.69</v>
      </c>
      <c r="H343" s="39">
        <v>3.399826</v>
      </c>
      <c r="I343" s="39">
        <v>2.7442000000000002</v>
      </c>
      <c r="J343" s="39">
        <v>5.29</v>
      </c>
      <c r="K343" s="41">
        <v>46640</v>
      </c>
      <c r="L343" s="35">
        <v>17.8</v>
      </c>
      <c r="M343" s="35">
        <v>58.2</v>
      </c>
      <c r="N343" s="39">
        <v>3173.3753125999997</v>
      </c>
      <c r="O343" s="43">
        <v>1.3836534167038788E-2</v>
      </c>
      <c r="P343" s="35">
        <v>113.499</v>
      </c>
      <c r="Q343" s="35">
        <v>111.95</v>
      </c>
    </row>
    <row r="344" spans="1:17" x14ac:dyDescent="0.15">
      <c r="A344" s="47">
        <v>343</v>
      </c>
      <c r="B344" s="35">
        <v>113595</v>
      </c>
      <c r="C344" s="35" t="s">
        <v>141</v>
      </c>
      <c r="D344" s="35">
        <v>112.87</v>
      </c>
      <c r="E344" s="35">
        <v>94.77</v>
      </c>
      <c r="F344" s="50">
        <v>207.64</v>
      </c>
      <c r="G344" s="35">
        <v>1.23</v>
      </c>
      <c r="H344" s="39">
        <v>3.2978900000000002</v>
      </c>
      <c r="I344" s="39">
        <v>2.5076999999999998</v>
      </c>
      <c r="J344" s="39">
        <v>4.1509999999999998</v>
      </c>
      <c r="K344" s="41">
        <v>46224</v>
      </c>
      <c r="L344" s="35">
        <v>6.92</v>
      </c>
      <c r="M344" s="35">
        <v>57.95</v>
      </c>
      <c r="N344" s="39">
        <v>266699.04369999998</v>
      </c>
      <c r="O344" s="43">
        <v>6.1261261261261232E-2</v>
      </c>
      <c r="P344" s="35">
        <v>117.8</v>
      </c>
      <c r="Q344" s="35">
        <v>111</v>
      </c>
    </row>
    <row r="345" spans="1:17" x14ac:dyDescent="0.15">
      <c r="A345" s="47">
        <v>344</v>
      </c>
      <c r="B345" s="35">
        <v>128035</v>
      </c>
      <c r="C345" s="35" t="s">
        <v>1970</v>
      </c>
      <c r="D345" s="35">
        <v>108.004</v>
      </c>
      <c r="E345" s="35">
        <v>94.78</v>
      </c>
      <c r="F345" s="50">
        <v>202.78399999999999</v>
      </c>
      <c r="G345" s="35">
        <v>-0.46</v>
      </c>
      <c r="H345" s="39">
        <v>22.995426999999999</v>
      </c>
      <c r="I345" s="39">
        <v>-0.77410000000000001</v>
      </c>
      <c r="J345" s="39">
        <v>1.696</v>
      </c>
      <c r="K345" s="41">
        <v>45328</v>
      </c>
      <c r="L345" s="35">
        <v>51.79</v>
      </c>
      <c r="M345" s="35">
        <v>55.45</v>
      </c>
      <c r="N345" s="39">
        <v>1434.3004510000001</v>
      </c>
      <c r="O345" s="43">
        <v>8.4533906151623706E-3</v>
      </c>
      <c r="P345" s="35">
        <v>108.917</v>
      </c>
      <c r="Q345" s="35">
        <v>108.004</v>
      </c>
    </row>
    <row r="346" spans="1:17" x14ac:dyDescent="0.15">
      <c r="A346" s="47">
        <v>345</v>
      </c>
      <c r="B346" s="35">
        <v>123109</v>
      </c>
      <c r="C346" s="35" t="s">
        <v>1971</v>
      </c>
      <c r="D346" s="35">
        <v>111.018</v>
      </c>
      <c r="E346" s="35">
        <v>96.14</v>
      </c>
      <c r="F346" s="50">
        <v>207.15800000000002</v>
      </c>
      <c r="G346" s="35">
        <v>-0.43</v>
      </c>
      <c r="H346" s="39">
        <v>4.5957910000000002</v>
      </c>
      <c r="I346" s="39">
        <v>1.7555000000000001</v>
      </c>
      <c r="J346" s="39">
        <v>4.8470000000000004</v>
      </c>
      <c r="K346" s="41">
        <v>46478</v>
      </c>
      <c r="L346" s="35">
        <v>27.88</v>
      </c>
      <c r="M346" s="35">
        <v>56.6</v>
      </c>
      <c r="N346" s="39">
        <v>898.49515800000006</v>
      </c>
      <c r="O346" s="43">
        <v>1.0646922120737198E-2</v>
      </c>
      <c r="P346" s="35">
        <v>112.2</v>
      </c>
      <c r="Q346" s="35">
        <v>111.018</v>
      </c>
    </row>
    <row r="347" spans="1:17" x14ac:dyDescent="0.15">
      <c r="A347" s="47">
        <v>346</v>
      </c>
      <c r="B347" s="35">
        <v>118004</v>
      </c>
      <c r="C347" s="35" t="s">
        <v>279</v>
      </c>
      <c r="D347" s="35">
        <v>111.87</v>
      </c>
      <c r="E347" s="35">
        <v>96.19</v>
      </c>
      <c r="F347" s="50">
        <v>208.06</v>
      </c>
      <c r="G347" s="35">
        <v>-0.13</v>
      </c>
      <c r="H347" s="39">
        <v>18.424399999999999</v>
      </c>
      <c r="I347" s="39">
        <v>0.5958</v>
      </c>
      <c r="J347" s="39">
        <v>4.4359999999999999</v>
      </c>
      <c r="K347" s="41">
        <v>46328</v>
      </c>
      <c r="L347" s="35">
        <v>33.85</v>
      </c>
      <c r="M347" s="35">
        <v>57.02</v>
      </c>
      <c r="N347" s="39">
        <v>1997.5346</v>
      </c>
      <c r="O347" s="43">
        <v>2.7818181818181839E-2</v>
      </c>
      <c r="P347" s="35">
        <v>113.06</v>
      </c>
      <c r="Q347" s="35">
        <v>110</v>
      </c>
    </row>
    <row r="348" spans="1:17" x14ac:dyDescent="0.15">
      <c r="A348" s="47">
        <v>347</v>
      </c>
      <c r="B348" s="35">
        <v>110076</v>
      </c>
      <c r="C348" s="35" t="s">
        <v>1972</v>
      </c>
      <c r="D348" s="35">
        <v>111.87</v>
      </c>
      <c r="E348" s="35">
        <v>96.19</v>
      </c>
      <c r="F348" s="50">
        <v>208.06</v>
      </c>
      <c r="G348" s="35">
        <v>-0.13</v>
      </c>
      <c r="H348" s="39">
        <v>18.424399999999999</v>
      </c>
      <c r="I348" s="39">
        <v>0.5958</v>
      </c>
      <c r="J348" s="39">
        <v>4.4359999999999999</v>
      </c>
      <c r="K348" s="41">
        <v>46328</v>
      </c>
      <c r="L348" s="35">
        <v>33.85</v>
      </c>
      <c r="M348" s="35">
        <v>57.02</v>
      </c>
      <c r="N348" s="39">
        <v>1997.5346</v>
      </c>
      <c r="O348" s="43">
        <v>2.7818181818181839E-2</v>
      </c>
      <c r="P348" s="35">
        <v>113.06</v>
      </c>
      <c r="Q348" s="35">
        <v>110</v>
      </c>
    </row>
    <row r="349" spans="1:17" x14ac:dyDescent="0.15">
      <c r="A349" s="47">
        <v>348</v>
      </c>
      <c r="B349" s="35">
        <v>123119</v>
      </c>
      <c r="C349" s="35" t="s">
        <v>1973</v>
      </c>
      <c r="D349" s="35">
        <v>111.5</v>
      </c>
      <c r="E349" s="35">
        <v>96.51</v>
      </c>
      <c r="F349" s="50">
        <v>208.01</v>
      </c>
      <c r="G349" s="35">
        <v>0.35</v>
      </c>
      <c r="H349" s="39">
        <v>19.997641000000002</v>
      </c>
      <c r="I349" s="39">
        <v>0.97719999999999996</v>
      </c>
      <c r="J349" s="39">
        <v>5.1340000000000003</v>
      </c>
      <c r="K349" s="41">
        <v>46583</v>
      </c>
      <c r="L349" s="35">
        <v>107.28</v>
      </c>
      <c r="M349" s="35">
        <v>56.74</v>
      </c>
      <c r="N349" s="39">
        <v>2103.1853956999998</v>
      </c>
      <c r="O349" s="43">
        <v>9.1056617381897326E-3</v>
      </c>
      <c r="P349" s="35">
        <v>111.93</v>
      </c>
      <c r="Q349" s="35">
        <v>110.92</v>
      </c>
    </row>
    <row r="350" spans="1:17" x14ac:dyDescent="0.15">
      <c r="A350" s="47">
        <v>349</v>
      </c>
      <c r="B350" s="35">
        <v>113639</v>
      </c>
      <c r="C350" s="35" t="s">
        <v>792</v>
      </c>
      <c r="D350" s="35">
        <v>105.9</v>
      </c>
      <c r="E350" s="35">
        <v>97.06</v>
      </c>
      <c r="F350" s="50">
        <v>202.96</v>
      </c>
      <c r="G350" s="35">
        <v>0.1</v>
      </c>
      <c r="H350" s="39">
        <v>5.7</v>
      </c>
      <c r="I350" s="39">
        <v>1.0888</v>
      </c>
      <c r="J350" s="39">
        <v>5.6630000000000003</v>
      </c>
      <c r="K350" s="41">
        <v>46776</v>
      </c>
      <c r="L350" s="35">
        <v>38.590000000000003</v>
      </c>
      <c r="M350" s="35">
        <v>53.74</v>
      </c>
      <c r="N350" s="39">
        <v>1065.2063000000001</v>
      </c>
      <c r="O350" s="43">
        <v>8.4272322696714377E-3</v>
      </c>
      <c r="P350" s="35">
        <v>106.5</v>
      </c>
      <c r="Q350" s="35">
        <v>105.61</v>
      </c>
    </row>
    <row r="351" spans="1:17" x14ac:dyDescent="0.15">
      <c r="A351" s="47">
        <v>350</v>
      </c>
      <c r="B351" s="35">
        <v>123018</v>
      </c>
      <c r="C351" s="35" t="s">
        <v>77</v>
      </c>
      <c r="D351" s="35">
        <v>225.00299999999999</v>
      </c>
      <c r="E351" s="35">
        <v>97.82</v>
      </c>
      <c r="F351" s="50">
        <v>322.82299999999998</v>
      </c>
      <c r="G351" s="35">
        <v>-1.05</v>
      </c>
      <c r="H351" s="39">
        <v>0.54235200000000006</v>
      </c>
      <c r="I351" s="39">
        <v>-23.7087</v>
      </c>
      <c r="J351" s="39">
        <v>2.5670000000000002</v>
      </c>
      <c r="K351" s="41">
        <v>45646</v>
      </c>
      <c r="L351" s="35">
        <v>8.15</v>
      </c>
      <c r="M351" s="35">
        <v>113.74</v>
      </c>
      <c r="N351" s="39">
        <v>11920.211745000001</v>
      </c>
      <c r="O351" s="43">
        <v>3.457384573845735E-2</v>
      </c>
      <c r="P351" s="35">
        <v>229.90299999999999</v>
      </c>
      <c r="Q351" s="35">
        <v>222.22</v>
      </c>
    </row>
    <row r="352" spans="1:17" x14ac:dyDescent="0.15">
      <c r="A352" s="47">
        <v>351</v>
      </c>
      <c r="B352" s="35">
        <v>123116</v>
      </c>
      <c r="C352" s="35" t="s">
        <v>213</v>
      </c>
      <c r="D352" s="35">
        <v>116.52500000000001</v>
      </c>
      <c r="E352" s="35">
        <v>98</v>
      </c>
      <c r="F352" s="50">
        <v>214.52500000000001</v>
      </c>
      <c r="G352" s="35">
        <v>-0.66</v>
      </c>
      <c r="H352" s="39">
        <v>3.7816160000000005</v>
      </c>
      <c r="I352" s="39">
        <v>0.83609999999999995</v>
      </c>
      <c r="J352" s="39">
        <v>5.0359999999999996</v>
      </c>
      <c r="K352" s="41">
        <v>46547</v>
      </c>
      <c r="L352" s="35">
        <v>49.79</v>
      </c>
      <c r="M352" s="35">
        <v>58.85</v>
      </c>
      <c r="N352" s="39">
        <v>2533.4104175000002</v>
      </c>
      <c r="O352" s="43">
        <v>1.368484431446752E-2</v>
      </c>
      <c r="P352" s="35">
        <v>117.851</v>
      </c>
      <c r="Q352" s="35">
        <v>116.26</v>
      </c>
    </row>
    <row r="353" spans="1:17" x14ac:dyDescent="0.15">
      <c r="A353" s="47">
        <v>352</v>
      </c>
      <c r="B353" s="35">
        <v>113633</v>
      </c>
      <c r="C353" s="35" t="s">
        <v>1974</v>
      </c>
      <c r="D353" s="35">
        <v>111.97</v>
      </c>
      <c r="E353" s="35">
        <v>99.27</v>
      </c>
      <c r="F353" s="50">
        <v>211.24</v>
      </c>
      <c r="G353" s="35">
        <v>0.1</v>
      </c>
      <c r="H353" s="39">
        <v>10.4</v>
      </c>
      <c r="I353" s="39">
        <v>0.51029999999999998</v>
      </c>
      <c r="J353" s="39">
        <v>5.5119999999999996</v>
      </c>
      <c r="K353" s="41">
        <v>46721</v>
      </c>
      <c r="L353" s="35">
        <v>178.13</v>
      </c>
      <c r="M353" s="35">
        <v>56.19</v>
      </c>
      <c r="N353" s="39">
        <v>4388.3361000000004</v>
      </c>
      <c r="O353" s="43">
        <v>1.5968421996949863E-2</v>
      </c>
      <c r="P353" s="35">
        <v>113.25</v>
      </c>
      <c r="Q353" s="35">
        <v>111.47</v>
      </c>
    </row>
    <row r="354" spans="1:17" x14ac:dyDescent="0.15">
      <c r="A354" s="47">
        <v>353</v>
      </c>
      <c r="B354" s="35">
        <v>113604</v>
      </c>
      <c r="C354" s="35" t="s">
        <v>162</v>
      </c>
      <c r="D354" s="35">
        <v>103.78</v>
      </c>
      <c r="E354" s="35">
        <v>99.88</v>
      </c>
      <c r="F354" s="50">
        <v>203.66</v>
      </c>
      <c r="G354" s="35">
        <v>-7.0000000000000007E-2</v>
      </c>
      <c r="H354" s="39">
        <v>6.3989599999999998</v>
      </c>
      <c r="I354" s="39">
        <v>2.8117000000000001</v>
      </c>
      <c r="J354" s="39">
        <v>4.3810000000000002</v>
      </c>
      <c r="K354" s="41">
        <v>46308</v>
      </c>
      <c r="L354" s="35">
        <v>10.4</v>
      </c>
      <c r="M354" s="35">
        <v>51.92</v>
      </c>
      <c r="N354" s="39">
        <v>1102.9268</v>
      </c>
      <c r="O354" s="43">
        <v>9.9651702786377819E-3</v>
      </c>
      <c r="P354" s="35">
        <v>104.39</v>
      </c>
      <c r="Q354" s="35">
        <v>103.36</v>
      </c>
    </row>
    <row r="355" spans="1:17" x14ac:dyDescent="0.15">
      <c r="A355" s="47">
        <v>354</v>
      </c>
      <c r="B355" s="35">
        <v>128070</v>
      </c>
      <c r="C355" s="35" t="s">
        <v>166</v>
      </c>
      <c r="D355" s="35">
        <v>127</v>
      </c>
      <c r="E355" s="35">
        <v>101.78</v>
      </c>
      <c r="F355" s="50">
        <v>228.78</v>
      </c>
      <c r="G355" s="35">
        <v>0.08</v>
      </c>
      <c r="H355" s="39">
        <v>2.295811</v>
      </c>
      <c r="I355" s="39">
        <v>-2.7269999999999999</v>
      </c>
      <c r="J355" s="39">
        <v>3.0990000000000002</v>
      </c>
      <c r="K355" s="41">
        <v>45840</v>
      </c>
      <c r="L355" s="35">
        <v>9.4700000000000006</v>
      </c>
      <c r="M355" s="35">
        <v>62.94</v>
      </c>
      <c r="N355" s="39">
        <v>13149.03665</v>
      </c>
      <c r="O355" s="43">
        <v>1.9140941102947621E-2</v>
      </c>
      <c r="P355" s="35">
        <v>127.2</v>
      </c>
      <c r="Q355" s="35">
        <v>124.81100000000001</v>
      </c>
    </row>
    <row r="356" spans="1:17" x14ac:dyDescent="0.15">
      <c r="A356" s="47">
        <v>355</v>
      </c>
      <c r="B356" s="35">
        <v>123038</v>
      </c>
      <c r="C356" s="35" t="s">
        <v>74</v>
      </c>
      <c r="D356" s="35">
        <v>125.86</v>
      </c>
      <c r="E356" s="35">
        <v>101.96</v>
      </c>
      <c r="F356" s="50">
        <v>227.82</v>
      </c>
      <c r="G356" s="35">
        <v>0.21</v>
      </c>
      <c r="H356" s="39">
        <v>1.4726779999999999</v>
      </c>
      <c r="I356" s="39">
        <v>-1.8440000000000001</v>
      </c>
      <c r="J356" s="39">
        <v>3.581</v>
      </c>
      <c r="K356" s="41">
        <v>46016</v>
      </c>
      <c r="L356" s="35">
        <v>24.07</v>
      </c>
      <c r="M356" s="35">
        <v>62.32</v>
      </c>
      <c r="N356" s="39">
        <v>963.98721300000011</v>
      </c>
      <c r="O356" s="43">
        <v>8.8636327307022884E-3</v>
      </c>
      <c r="P356" s="35">
        <v>126.227</v>
      </c>
      <c r="Q356" s="35">
        <v>125.11799999999999</v>
      </c>
    </row>
    <row r="357" spans="1:17" x14ac:dyDescent="0.15">
      <c r="A357" s="47">
        <v>356</v>
      </c>
      <c r="B357" s="35">
        <v>118007</v>
      </c>
      <c r="C357" s="35" t="s">
        <v>819</v>
      </c>
      <c r="D357" s="35">
        <v>125.86</v>
      </c>
      <c r="E357" s="35">
        <v>101.96</v>
      </c>
      <c r="F357" s="50">
        <v>227.82</v>
      </c>
      <c r="G357" s="35">
        <v>0.21</v>
      </c>
      <c r="H357" s="39">
        <v>1.4726779999999999</v>
      </c>
      <c r="I357" s="39">
        <v>-1.8440000000000001</v>
      </c>
      <c r="J357" s="39">
        <v>3.581</v>
      </c>
      <c r="K357" s="41">
        <v>46016</v>
      </c>
      <c r="L357" s="35">
        <v>24.07</v>
      </c>
      <c r="M357" s="35">
        <v>62.32</v>
      </c>
      <c r="N357" s="39">
        <v>963.98721300000011</v>
      </c>
      <c r="O357" s="43">
        <v>8.8636327307022884E-3</v>
      </c>
      <c r="P357" s="35">
        <v>126.227</v>
      </c>
      <c r="Q357" s="35">
        <v>125.11799999999999</v>
      </c>
    </row>
    <row r="358" spans="1:17" x14ac:dyDescent="0.15">
      <c r="A358" s="47">
        <v>357</v>
      </c>
      <c r="B358" s="35">
        <v>128072</v>
      </c>
      <c r="C358" s="35" t="s">
        <v>156</v>
      </c>
      <c r="D358" s="35">
        <v>108</v>
      </c>
      <c r="E358" s="35">
        <v>102.78</v>
      </c>
      <c r="F358" s="50">
        <v>210.78</v>
      </c>
      <c r="G358" s="35">
        <v>-0.28999999999999998</v>
      </c>
      <c r="H358" s="39">
        <v>3.017925</v>
      </c>
      <c r="I358" s="39">
        <v>1.8641000000000001</v>
      </c>
      <c r="J358" s="39">
        <v>3.2330000000000001</v>
      </c>
      <c r="K358" s="41">
        <v>45889</v>
      </c>
      <c r="L358" s="35">
        <v>15.19</v>
      </c>
      <c r="M358" s="35">
        <v>53.26</v>
      </c>
      <c r="N358" s="39">
        <v>487.11079630000006</v>
      </c>
      <c r="O358" s="43">
        <v>6.8037930682881571E-3</v>
      </c>
      <c r="P358" s="35">
        <v>108.61499999999999</v>
      </c>
      <c r="Q358" s="35">
        <v>107.881</v>
      </c>
    </row>
    <row r="359" spans="1:17" x14ac:dyDescent="0.15">
      <c r="A359" s="47">
        <v>358</v>
      </c>
      <c r="B359" s="35">
        <v>128074</v>
      </c>
      <c r="C359" s="35" t="s">
        <v>208</v>
      </c>
      <c r="D359" s="35">
        <v>110.28</v>
      </c>
      <c r="E359" s="35">
        <v>106.32</v>
      </c>
      <c r="F359" s="50">
        <v>216.6</v>
      </c>
      <c r="G359" s="35">
        <v>0.35</v>
      </c>
      <c r="H359" s="39">
        <v>6.8249360000000001</v>
      </c>
      <c r="I359" s="39">
        <v>2.4397000000000002</v>
      </c>
      <c r="J359" s="39">
        <v>3.3260000000000001</v>
      </c>
      <c r="K359" s="41">
        <v>45923</v>
      </c>
      <c r="L359" s="35">
        <v>16.97</v>
      </c>
      <c r="M359" s="35">
        <v>53.45</v>
      </c>
      <c r="N359" s="39">
        <v>796.04950499999995</v>
      </c>
      <c r="O359" s="43">
        <v>6.9026435850035569E-3</v>
      </c>
      <c r="P359" s="35">
        <v>110.571</v>
      </c>
      <c r="Q359" s="35">
        <v>109.813</v>
      </c>
    </row>
    <row r="360" spans="1:17" x14ac:dyDescent="0.15">
      <c r="A360" s="47">
        <v>359</v>
      </c>
      <c r="B360" s="35">
        <v>128125</v>
      </c>
      <c r="C360" s="35" t="s">
        <v>150</v>
      </c>
      <c r="D360" s="35">
        <v>107.96</v>
      </c>
      <c r="E360" s="35">
        <v>106.62</v>
      </c>
      <c r="F360" s="50">
        <v>214.57999999999998</v>
      </c>
      <c r="G360" s="35">
        <v>0.04</v>
      </c>
      <c r="H360" s="39">
        <v>4.4980469999999997</v>
      </c>
      <c r="I360" s="39">
        <v>2.2204999999999999</v>
      </c>
      <c r="J360" s="39">
        <v>4.1749999999999998</v>
      </c>
      <c r="K360" s="41">
        <v>46233</v>
      </c>
      <c r="L360" s="35">
        <v>25.09</v>
      </c>
      <c r="M360" s="35">
        <v>52.25</v>
      </c>
      <c r="N360" s="39">
        <v>884.25370099999998</v>
      </c>
      <c r="O360" s="43">
        <v>5.0904033379694635E-3</v>
      </c>
      <c r="P360" s="35">
        <v>108.399</v>
      </c>
      <c r="Q360" s="35">
        <v>107.85</v>
      </c>
    </row>
    <row r="361" spans="1:17" x14ac:dyDescent="0.15">
      <c r="A361" s="47">
        <v>360</v>
      </c>
      <c r="B361" s="35">
        <v>127041</v>
      </c>
      <c r="C361" s="35" t="s">
        <v>200</v>
      </c>
      <c r="D361" s="35">
        <v>110.776</v>
      </c>
      <c r="E361" s="35">
        <v>108.38</v>
      </c>
      <c r="F361" s="50">
        <v>219.15600000000001</v>
      </c>
      <c r="G361" s="35">
        <v>-0.03</v>
      </c>
      <c r="H361" s="39">
        <v>5.9996049999999999</v>
      </c>
      <c r="I361" s="39">
        <v>2.6812999999999998</v>
      </c>
      <c r="J361" s="39">
        <v>4.1260000000000003</v>
      </c>
      <c r="K361" s="41">
        <v>46215</v>
      </c>
      <c r="L361" s="35">
        <v>38.090000000000003</v>
      </c>
      <c r="M361" s="35">
        <v>53.16</v>
      </c>
      <c r="N361" s="39">
        <v>305.44189789999996</v>
      </c>
      <c r="O361" s="43">
        <v>6.2802019799830114E-3</v>
      </c>
      <c r="P361" s="35">
        <v>111.2</v>
      </c>
      <c r="Q361" s="35">
        <v>110.506</v>
      </c>
    </row>
    <row r="362" spans="1:17" x14ac:dyDescent="0.15">
      <c r="A362" s="47">
        <v>361</v>
      </c>
      <c r="B362" s="35">
        <v>123141</v>
      </c>
      <c r="C362" s="35" t="s">
        <v>790</v>
      </c>
      <c r="D362" s="35">
        <v>170.696</v>
      </c>
      <c r="E362" s="35">
        <v>110.94</v>
      </c>
      <c r="F362" s="50">
        <v>281.63599999999997</v>
      </c>
      <c r="G362" s="35">
        <v>2.83</v>
      </c>
      <c r="H362" s="39">
        <v>3.2126000000000001</v>
      </c>
      <c r="I362" s="39">
        <v>-5.7694999999999999</v>
      </c>
      <c r="J362" s="39">
        <v>5.8029999999999999</v>
      </c>
      <c r="K362" s="41">
        <v>46827</v>
      </c>
      <c r="L362" s="35">
        <v>6.92</v>
      </c>
      <c r="M362" s="35">
        <v>80.92</v>
      </c>
      <c r="N362" s="39">
        <v>112031.76507590001</v>
      </c>
      <c r="O362" s="43">
        <v>4.9868766404199398E-2</v>
      </c>
      <c r="P362" s="35">
        <v>172</v>
      </c>
      <c r="Q362" s="35">
        <v>163.83000000000001</v>
      </c>
    </row>
    <row r="363" spans="1:17" x14ac:dyDescent="0.15">
      <c r="A363" s="47">
        <v>362</v>
      </c>
      <c r="B363" s="35">
        <v>128136</v>
      </c>
      <c r="C363" s="35" t="s">
        <v>1975</v>
      </c>
      <c r="D363" s="35">
        <v>113.5</v>
      </c>
      <c r="E363" s="35">
        <v>111.64</v>
      </c>
      <c r="F363" s="50">
        <v>225.14</v>
      </c>
      <c r="G363" s="35">
        <v>0.73</v>
      </c>
      <c r="H363" s="39">
        <v>29.993335999999999</v>
      </c>
      <c r="I363" s="39">
        <v>-0.34370000000000001</v>
      </c>
      <c r="J363" s="39">
        <v>4.4379999999999997</v>
      </c>
      <c r="K363" s="41">
        <v>46329</v>
      </c>
      <c r="L363" s="35">
        <v>57.91</v>
      </c>
      <c r="M363" s="35">
        <v>53.63</v>
      </c>
      <c r="N363" s="39">
        <v>7598.7086435000001</v>
      </c>
      <c r="O363" s="43">
        <v>2.3111111111111061E-2</v>
      </c>
      <c r="P363" s="35">
        <v>115.1</v>
      </c>
      <c r="Q363" s="35">
        <v>112.5</v>
      </c>
    </row>
    <row r="364" spans="1:17" x14ac:dyDescent="0.15">
      <c r="A364" s="47">
        <v>363</v>
      </c>
      <c r="B364" s="35">
        <v>128108</v>
      </c>
      <c r="C364" s="35" t="s">
        <v>1976</v>
      </c>
      <c r="D364" s="35">
        <v>102.2</v>
      </c>
      <c r="E364" s="35">
        <v>115.75</v>
      </c>
      <c r="F364" s="50">
        <v>217.95</v>
      </c>
      <c r="G364" s="35">
        <v>-0.1</v>
      </c>
      <c r="H364" s="39">
        <v>15.214722</v>
      </c>
      <c r="I364" s="39">
        <v>2.5777999999999999</v>
      </c>
      <c r="J364" s="39">
        <v>4.0030000000000001</v>
      </c>
      <c r="K364" s="41">
        <v>46170</v>
      </c>
      <c r="L364" s="35">
        <v>18.239999999999998</v>
      </c>
      <c r="M364" s="35">
        <v>47.37</v>
      </c>
      <c r="N364" s="39">
        <v>1286.5200834</v>
      </c>
      <c r="O364" s="43">
        <v>4.4265120651833106E-3</v>
      </c>
      <c r="P364" s="35">
        <v>102.56399999999999</v>
      </c>
      <c r="Q364" s="35">
        <v>102.11199999999999</v>
      </c>
    </row>
    <row r="365" spans="1:17" x14ac:dyDescent="0.15">
      <c r="A365" s="47">
        <v>364</v>
      </c>
      <c r="B365" s="35">
        <v>123124</v>
      </c>
      <c r="C365" s="35" t="s">
        <v>199</v>
      </c>
      <c r="D365" s="35">
        <v>111</v>
      </c>
      <c r="E365" s="35">
        <v>116.88</v>
      </c>
      <c r="F365" s="50">
        <v>227.88</v>
      </c>
      <c r="G365" s="35">
        <v>-0.21</v>
      </c>
      <c r="H365" s="39">
        <v>5.2286279999999996</v>
      </c>
      <c r="I365" s="39">
        <v>3.5000000000000003E-2</v>
      </c>
      <c r="J365" s="39">
        <v>5.2220000000000004</v>
      </c>
      <c r="K365" s="41">
        <v>46615</v>
      </c>
      <c r="L365" s="35">
        <v>50.14</v>
      </c>
      <c r="M365" s="35">
        <v>51.18</v>
      </c>
      <c r="N365" s="39">
        <v>493.05888720000007</v>
      </c>
      <c r="O365" s="43">
        <v>1.7117117117117168E-2</v>
      </c>
      <c r="P365" s="35">
        <v>112.9</v>
      </c>
      <c r="Q365" s="35">
        <v>111</v>
      </c>
    </row>
    <row r="366" spans="1:17" x14ac:dyDescent="0.15">
      <c r="A366" s="47">
        <v>365</v>
      </c>
      <c r="B366" s="35">
        <v>127051</v>
      </c>
      <c r="C366" s="35" t="s">
        <v>255</v>
      </c>
      <c r="D366" s="35">
        <v>117</v>
      </c>
      <c r="E366" s="35">
        <v>118.12</v>
      </c>
      <c r="F366" s="50">
        <v>235.12</v>
      </c>
      <c r="G366" s="35">
        <v>-0.77</v>
      </c>
      <c r="H366" s="39">
        <v>5.259989</v>
      </c>
      <c r="I366" s="39">
        <v>0.64339999999999997</v>
      </c>
      <c r="J366" s="39">
        <v>5.4770000000000003</v>
      </c>
      <c r="K366" s="41">
        <v>46708</v>
      </c>
      <c r="L366" s="35">
        <v>62.17</v>
      </c>
      <c r="M366" s="35">
        <v>53.64</v>
      </c>
      <c r="N366" s="39">
        <v>1326.4030637000001</v>
      </c>
      <c r="O366" s="43">
        <v>3.5302407919839164E-2</v>
      </c>
      <c r="P366" s="35">
        <v>120.474</v>
      </c>
      <c r="Q366" s="35">
        <v>116.366</v>
      </c>
    </row>
    <row r="367" spans="1:17" x14ac:dyDescent="0.15">
      <c r="A367" s="47">
        <v>366</v>
      </c>
      <c r="B367" s="35">
        <v>123011</v>
      </c>
      <c r="C367" s="35" t="s">
        <v>172</v>
      </c>
      <c r="D367" s="35">
        <v>113.92</v>
      </c>
      <c r="E367" s="35">
        <v>119.84</v>
      </c>
      <c r="F367" s="50">
        <v>233.76</v>
      </c>
      <c r="G367" s="35">
        <v>-0.31</v>
      </c>
      <c r="H367" s="39">
        <v>2.5060280000000001</v>
      </c>
      <c r="I367" s="39">
        <v>0.57410000000000005</v>
      </c>
      <c r="J367" s="39">
        <v>2.1419999999999999</v>
      </c>
      <c r="K367" s="41">
        <v>45491</v>
      </c>
      <c r="L367" s="35">
        <v>31.38</v>
      </c>
      <c r="M367" s="35">
        <v>51.82</v>
      </c>
      <c r="N367" s="39">
        <v>522.59349699999996</v>
      </c>
      <c r="O367" s="43">
        <v>8.9533073587743355E-3</v>
      </c>
      <c r="P367" s="35">
        <v>114.71899999999999</v>
      </c>
      <c r="Q367" s="35">
        <v>113.70099999999999</v>
      </c>
    </row>
    <row r="368" spans="1:17" x14ac:dyDescent="0.15">
      <c r="A368" s="47">
        <v>367</v>
      </c>
      <c r="B368" s="35">
        <v>123090</v>
      </c>
      <c r="C368" s="35" t="s">
        <v>183</v>
      </c>
      <c r="D368" s="35">
        <v>110.495</v>
      </c>
      <c r="E368" s="35">
        <v>119.98</v>
      </c>
      <c r="F368" s="50">
        <v>230.47500000000002</v>
      </c>
      <c r="G368" s="35">
        <v>0.45</v>
      </c>
      <c r="H368" s="39">
        <v>4.9996939999999999</v>
      </c>
      <c r="I368" s="39">
        <v>1.2443</v>
      </c>
      <c r="J368" s="39">
        <v>4.57</v>
      </c>
      <c r="K368" s="41">
        <v>46377</v>
      </c>
      <c r="L368" s="35">
        <v>34.979999999999997</v>
      </c>
      <c r="M368" s="35">
        <v>50.23</v>
      </c>
      <c r="N368" s="39">
        <v>483.16687199999996</v>
      </c>
      <c r="O368" s="43">
        <v>8.2978859063458071E-3</v>
      </c>
      <c r="P368" s="35">
        <v>110.69799999999999</v>
      </c>
      <c r="Q368" s="35">
        <v>109.78700000000001</v>
      </c>
    </row>
    <row r="369" spans="1:17" x14ac:dyDescent="0.15">
      <c r="A369" s="47">
        <v>368</v>
      </c>
      <c r="B369" s="35">
        <v>113573</v>
      </c>
      <c r="C369" s="35" t="s">
        <v>145</v>
      </c>
      <c r="D369" s="35">
        <v>112.39</v>
      </c>
      <c r="E369" s="35">
        <v>120.55</v>
      </c>
      <c r="F369" s="50">
        <v>232.94</v>
      </c>
      <c r="G369" s="35">
        <v>-0.21</v>
      </c>
      <c r="H369" s="39">
        <v>2.6983299999999999</v>
      </c>
      <c r="I369" s="39">
        <v>2.5032999999999999</v>
      </c>
      <c r="J369" s="39">
        <v>3.89</v>
      </c>
      <c r="K369" s="41">
        <v>46129</v>
      </c>
      <c r="L369" s="35">
        <v>18.78</v>
      </c>
      <c r="M369" s="35">
        <v>50.96</v>
      </c>
      <c r="N369" s="39">
        <v>994.16570000000002</v>
      </c>
      <c r="O369" s="43">
        <v>9.9018733273862573E-3</v>
      </c>
      <c r="P369" s="35">
        <v>113.21</v>
      </c>
      <c r="Q369" s="35">
        <v>112.1</v>
      </c>
    </row>
    <row r="370" spans="1:17" x14ac:dyDescent="0.15">
      <c r="A370" s="47">
        <v>369</v>
      </c>
      <c r="B370" s="35">
        <v>127044</v>
      </c>
      <c r="C370" s="35" t="s">
        <v>1977</v>
      </c>
      <c r="D370" s="35">
        <v>106.9</v>
      </c>
      <c r="E370" s="35">
        <v>120.69</v>
      </c>
      <c r="F370" s="50">
        <v>227.59</v>
      </c>
      <c r="G370" s="35">
        <v>-0.37</v>
      </c>
      <c r="H370" s="39">
        <v>11.688886999999999</v>
      </c>
      <c r="I370" s="39">
        <v>1.7939000000000001</v>
      </c>
      <c r="J370" s="39">
        <v>5.2220000000000004</v>
      </c>
      <c r="K370" s="41">
        <v>46615</v>
      </c>
      <c r="L370" s="35">
        <v>26.92</v>
      </c>
      <c r="M370" s="35">
        <v>48.44</v>
      </c>
      <c r="N370" s="39">
        <v>2628.4222210000003</v>
      </c>
      <c r="O370" s="43">
        <v>1.1068416119962487E-2</v>
      </c>
      <c r="P370" s="35">
        <v>107.881</v>
      </c>
      <c r="Q370" s="35">
        <v>106.7</v>
      </c>
    </row>
    <row r="371" spans="1:17" x14ac:dyDescent="0.15">
      <c r="A371" s="47">
        <v>370</v>
      </c>
      <c r="B371" s="35">
        <v>113632</v>
      </c>
      <c r="C371" s="35" t="s">
        <v>1978</v>
      </c>
      <c r="D371" s="35">
        <v>114.43</v>
      </c>
      <c r="E371" s="35">
        <v>123.32</v>
      </c>
      <c r="F371" s="50">
        <v>237.75</v>
      </c>
      <c r="G371" s="35">
        <v>0.12</v>
      </c>
      <c r="H371" s="39">
        <v>20.49991</v>
      </c>
      <c r="I371" s="39">
        <v>0.4294</v>
      </c>
      <c r="J371" s="39">
        <v>5.4770000000000003</v>
      </c>
      <c r="K371" s="41">
        <v>46708</v>
      </c>
      <c r="L371" s="35">
        <v>39.090000000000003</v>
      </c>
      <c r="M371" s="35">
        <v>51.24</v>
      </c>
      <c r="N371" s="39">
        <v>62.524700000000003</v>
      </c>
      <c r="O371" s="43">
        <v>4.6369203849518908E-3</v>
      </c>
      <c r="P371" s="35">
        <v>114.83</v>
      </c>
      <c r="Q371" s="35">
        <v>114.3</v>
      </c>
    </row>
    <row r="372" spans="1:17" x14ac:dyDescent="0.15">
      <c r="A372" s="47">
        <v>371</v>
      </c>
      <c r="B372" s="35">
        <v>113624</v>
      </c>
      <c r="C372" s="35" t="s">
        <v>180</v>
      </c>
      <c r="D372" s="35">
        <v>107.66</v>
      </c>
      <c r="E372" s="35">
        <v>123.5</v>
      </c>
      <c r="F372" s="50">
        <v>231.16</v>
      </c>
      <c r="G372" s="35">
        <v>0.09</v>
      </c>
      <c r="H372" s="39">
        <v>4.0492900000000001</v>
      </c>
      <c r="I372" s="39">
        <v>2.4718</v>
      </c>
      <c r="J372" s="39">
        <v>4.9210000000000003</v>
      </c>
      <c r="K372" s="41">
        <v>46505</v>
      </c>
      <c r="L372" s="35">
        <v>46.69</v>
      </c>
      <c r="M372" s="35">
        <v>48.17</v>
      </c>
      <c r="N372" s="39">
        <v>367.81509999999997</v>
      </c>
      <c r="O372" s="43">
        <v>4.9403430275913604E-3</v>
      </c>
      <c r="P372" s="35">
        <v>107.81</v>
      </c>
      <c r="Q372" s="35">
        <v>107.28</v>
      </c>
    </row>
    <row r="373" spans="1:17" x14ac:dyDescent="0.15">
      <c r="A373" s="47">
        <v>372</v>
      </c>
      <c r="B373" s="35">
        <v>128138</v>
      </c>
      <c r="C373" s="35" t="s">
        <v>148</v>
      </c>
      <c r="D373" s="35">
        <v>115.345</v>
      </c>
      <c r="E373" s="35">
        <v>123.54</v>
      </c>
      <c r="F373" s="50">
        <v>238.88499999999999</v>
      </c>
      <c r="G373" s="35">
        <v>-0.06</v>
      </c>
      <c r="H373" s="39">
        <v>4.1991290000000001</v>
      </c>
      <c r="I373" s="39">
        <v>3.8428</v>
      </c>
      <c r="J373" s="39">
        <v>4.4770000000000003</v>
      </c>
      <c r="K373" s="41">
        <v>46343</v>
      </c>
      <c r="L373" s="35">
        <v>25.33</v>
      </c>
      <c r="M373" s="35">
        <v>51.6</v>
      </c>
      <c r="N373" s="39">
        <v>6485.8642968999993</v>
      </c>
      <c r="O373" s="43">
        <v>1.0557189855350034E-2</v>
      </c>
      <c r="P373" s="35">
        <v>116.111</v>
      </c>
      <c r="Q373" s="35">
        <v>114.898</v>
      </c>
    </row>
    <row r="374" spans="1:17" x14ac:dyDescent="0.15">
      <c r="A374" s="47">
        <v>373</v>
      </c>
      <c r="B374" s="35">
        <v>113625</v>
      </c>
      <c r="C374" s="35" t="s">
        <v>151</v>
      </c>
      <c r="D374" s="35">
        <v>110.36</v>
      </c>
      <c r="E374" s="35">
        <v>125.04</v>
      </c>
      <c r="F374" s="50">
        <v>235.4</v>
      </c>
      <c r="G374" s="35">
        <v>0.01</v>
      </c>
      <c r="H374" s="39">
        <v>5.8255600000000003</v>
      </c>
      <c r="I374" s="39">
        <v>2.3887999999999998</v>
      </c>
      <c r="J374" s="39">
        <v>5.0410000000000004</v>
      </c>
      <c r="K374" s="41">
        <v>46549</v>
      </c>
      <c r="L374" s="35">
        <v>96.33</v>
      </c>
      <c r="M374" s="35">
        <v>49.04</v>
      </c>
      <c r="N374" s="39">
        <v>313.18549999999999</v>
      </c>
      <c r="O374" s="43">
        <v>4.4460575265403241E-3</v>
      </c>
      <c r="P374" s="35">
        <v>110.7</v>
      </c>
      <c r="Q374" s="35">
        <v>110.21</v>
      </c>
    </row>
    <row r="375" spans="1:17" x14ac:dyDescent="0.15">
      <c r="A375" s="47">
        <v>374</v>
      </c>
      <c r="B375" s="35">
        <v>123076</v>
      </c>
      <c r="C375" s="35" t="s">
        <v>161</v>
      </c>
      <c r="D375" s="35">
        <v>104.551</v>
      </c>
      <c r="E375" s="35">
        <v>126.3</v>
      </c>
      <c r="F375" s="50">
        <v>230.851</v>
      </c>
      <c r="G375" s="35">
        <v>-7.0000000000000007E-2</v>
      </c>
      <c r="H375" s="39">
        <v>8.4985610000000005</v>
      </c>
      <c r="I375" s="39">
        <v>2.8121999999999998</v>
      </c>
      <c r="J375" s="39">
        <v>4.4820000000000002</v>
      </c>
      <c r="K375" s="41">
        <v>46345</v>
      </c>
      <c r="L375" s="35">
        <v>18.940000000000001</v>
      </c>
      <c r="M375" s="35">
        <v>46.2</v>
      </c>
      <c r="N375" s="39">
        <v>611.65253600000005</v>
      </c>
      <c r="O375" s="43">
        <v>4.4019138755980259E-3</v>
      </c>
      <c r="P375" s="35">
        <v>104.96</v>
      </c>
      <c r="Q375" s="35">
        <v>104.5</v>
      </c>
    </row>
    <row r="376" spans="1:17" x14ac:dyDescent="0.15">
      <c r="A376" s="47">
        <v>375</v>
      </c>
      <c r="B376" s="35">
        <v>128118</v>
      </c>
      <c r="C376" s="35" t="s">
        <v>154</v>
      </c>
      <c r="D376" s="35">
        <v>109.657</v>
      </c>
      <c r="E376" s="35">
        <v>126.42</v>
      </c>
      <c r="F376" s="50">
        <v>236.077</v>
      </c>
      <c r="G376" s="35">
        <v>-0.11</v>
      </c>
      <c r="H376" s="39">
        <v>2.9983499999999998</v>
      </c>
      <c r="I376" s="39">
        <v>2.6452</v>
      </c>
      <c r="J376" s="39">
        <v>4.0990000000000002</v>
      </c>
      <c r="K376" s="41">
        <v>46205</v>
      </c>
      <c r="L376" s="35">
        <v>21.35</v>
      </c>
      <c r="M376" s="35">
        <v>48.43</v>
      </c>
      <c r="N376" s="39">
        <v>257.91400899999996</v>
      </c>
      <c r="O376" s="43">
        <v>7.1975385517014162E-3</v>
      </c>
      <c r="P376" s="35">
        <v>109.99</v>
      </c>
      <c r="Q376" s="35">
        <v>109.20399999999999</v>
      </c>
    </row>
    <row r="377" spans="1:17" x14ac:dyDescent="0.15">
      <c r="A377" s="47">
        <v>376</v>
      </c>
      <c r="B377" s="35">
        <v>113605</v>
      </c>
      <c r="C377" s="35" t="s">
        <v>1979</v>
      </c>
      <c r="D377" s="35">
        <v>110.58</v>
      </c>
      <c r="E377" s="35">
        <v>129.66</v>
      </c>
      <c r="F377" s="50">
        <v>240.24</v>
      </c>
      <c r="G377" s="35">
        <v>0.52</v>
      </c>
      <c r="H377" s="39">
        <v>14.049020000000001</v>
      </c>
      <c r="I377" s="39">
        <v>0.89139999999999997</v>
      </c>
      <c r="J377" s="39">
        <v>4.4050000000000002</v>
      </c>
      <c r="K377" s="41">
        <v>46317</v>
      </c>
      <c r="L377" s="35">
        <v>69.05</v>
      </c>
      <c r="M377" s="35">
        <v>48.15</v>
      </c>
      <c r="N377" s="39">
        <v>1009.9661</v>
      </c>
      <c r="O377" s="43">
        <v>1.1964562973787582E-2</v>
      </c>
      <c r="P377" s="35">
        <v>110.8</v>
      </c>
      <c r="Q377" s="35">
        <v>109.49</v>
      </c>
    </row>
    <row r="378" spans="1:17" x14ac:dyDescent="0.15">
      <c r="A378" s="47">
        <v>377</v>
      </c>
      <c r="B378" s="35">
        <v>127057</v>
      </c>
      <c r="C378" s="35" t="s">
        <v>780</v>
      </c>
      <c r="D378" s="35">
        <v>310.70999999999998</v>
      </c>
      <c r="E378" s="35">
        <v>130.72</v>
      </c>
      <c r="F378" s="50">
        <v>441.42999999999995</v>
      </c>
      <c r="G378" s="35">
        <v>-0.73</v>
      </c>
      <c r="H378" s="39">
        <v>2.76</v>
      </c>
      <c r="I378" s="39">
        <v>-15.244400000000001</v>
      </c>
      <c r="J378" s="39">
        <v>5.77</v>
      </c>
      <c r="K378" s="41">
        <v>46815</v>
      </c>
      <c r="L378" s="35">
        <v>26.59</v>
      </c>
      <c r="M378" s="35">
        <v>134.66999999999999</v>
      </c>
      <c r="N378" s="39">
        <v>124656.14587620001</v>
      </c>
      <c r="O378" s="43">
        <v>4.5751633986928102E-2</v>
      </c>
      <c r="P378" s="35">
        <v>320</v>
      </c>
      <c r="Q378" s="35">
        <v>306</v>
      </c>
    </row>
    <row r="379" spans="1:17" x14ac:dyDescent="0.15">
      <c r="A379" s="47">
        <v>378</v>
      </c>
      <c r="B379" s="35">
        <v>111003</v>
      </c>
      <c r="C379" s="35" t="s">
        <v>821</v>
      </c>
      <c r="D379" s="35">
        <v>310.70999999999998</v>
      </c>
      <c r="E379" s="35">
        <v>130.72</v>
      </c>
      <c r="F379" s="50">
        <v>441.42999999999995</v>
      </c>
      <c r="G379" s="35">
        <v>-0.73</v>
      </c>
      <c r="H379" s="39">
        <v>2.76</v>
      </c>
      <c r="I379" s="39">
        <v>-15.244400000000001</v>
      </c>
      <c r="J379" s="39">
        <v>5.77</v>
      </c>
      <c r="K379" s="41">
        <v>46815</v>
      </c>
      <c r="L379" s="35">
        <v>26.59</v>
      </c>
      <c r="M379" s="35">
        <v>134.66999999999999</v>
      </c>
      <c r="N379" s="39">
        <v>124656.14587620001</v>
      </c>
      <c r="O379" s="43">
        <v>4.5751633986928102E-2</v>
      </c>
      <c r="P379" s="35">
        <v>320</v>
      </c>
      <c r="Q379" s="35">
        <v>306</v>
      </c>
    </row>
    <row r="380" spans="1:17" x14ac:dyDescent="0.15">
      <c r="A380" s="47">
        <v>379</v>
      </c>
      <c r="B380" s="35">
        <v>123117</v>
      </c>
      <c r="C380" s="35" t="s">
        <v>147</v>
      </c>
      <c r="D380" s="35">
        <v>110.479</v>
      </c>
      <c r="E380" s="35">
        <v>132.97999999999999</v>
      </c>
      <c r="F380" s="50">
        <v>243.459</v>
      </c>
      <c r="G380" s="35">
        <v>0.09</v>
      </c>
      <c r="H380" s="39">
        <v>9.9991509999999995</v>
      </c>
      <c r="I380" s="39">
        <v>0.8266</v>
      </c>
      <c r="J380" s="39">
        <v>5.0739999999999998</v>
      </c>
      <c r="K380" s="41">
        <v>46561</v>
      </c>
      <c r="L380" s="35">
        <v>90.57</v>
      </c>
      <c r="M380" s="35">
        <v>47.42</v>
      </c>
      <c r="N380" s="39">
        <v>281.97697299999999</v>
      </c>
      <c r="O380" s="43">
        <v>8.7537496591218421E-3</v>
      </c>
      <c r="P380" s="35">
        <v>110.973</v>
      </c>
      <c r="Q380" s="35">
        <v>110.01</v>
      </c>
    </row>
    <row r="381" spans="1:17" x14ac:dyDescent="0.15">
      <c r="A381" s="47">
        <v>380</v>
      </c>
      <c r="B381" s="35">
        <v>127052</v>
      </c>
      <c r="C381" s="35" t="s">
        <v>1980</v>
      </c>
      <c r="D381" s="35">
        <v>113.26</v>
      </c>
      <c r="E381" s="35">
        <v>141.13</v>
      </c>
      <c r="F381" s="50">
        <v>254.39</v>
      </c>
      <c r="G381" s="35">
        <v>-0.03</v>
      </c>
      <c r="H381" s="39">
        <v>11.1</v>
      </c>
      <c r="I381" s="39">
        <v>0.2944</v>
      </c>
      <c r="J381" s="39">
        <v>5.5780000000000003</v>
      </c>
      <c r="K381" s="41">
        <v>46745</v>
      </c>
      <c r="L381" s="35">
        <v>27.89</v>
      </c>
      <c r="M381" s="35">
        <v>46.97</v>
      </c>
      <c r="N381" s="39">
        <v>410.88011189999997</v>
      </c>
      <c r="O381" s="43">
        <v>1.4801159276427176E-2</v>
      </c>
      <c r="P381" s="35">
        <v>114.499</v>
      </c>
      <c r="Q381" s="35">
        <v>112.82899999999999</v>
      </c>
    </row>
    <row r="382" spans="1:17" x14ac:dyDescent="0.15">
      <c r="A382" s="47">
        <v>381</v>
      </c>
      <c r="B382" s="35">
        <v>123138</v>
      </c>
      <c r="C382" s="35" t="s">
        <v>789</v>
      </c>
      <c r="D382" s="35">
        <v>180.005</v>
      </c>
      <c r="E382" s="35">
        <v>143.15</v>
      </c>
      <c r="F382" s="50">
        <v>323.15499999999997</v>
      </c>
      <c r="G382" s="35">
        <v>-0.55000000000000004</v>
      </c>
      <c r="H382" s="39">
        <v>2.4</v>
      </c>
      <c r="I382" s="39">
        <v>-6.6845999999999997</v>
      </c>
      <c r="J382" s="39">
        <v>5.7670000000000003</v>
      </c>
      <c r="K382" s="41">
        <v>46814</v>
      </c>
      <c r="L382" s="35">
        <v>26.61</v>
      </c>
      <c r="M382" s="35">
        <v>74.03</v>
      </c>
      <c r="N382" s="39">
        <v>123886.96517030001</v>
      </c>
      <c r="O382" s="43">
        <v>4.031797545075734E-2</v>
      </c>
      <c r="P382" s="35">
        <v>184</v>
      </c>
      <c r="Q382" s="35">
        <v>176.869</v>
      </c>
    </row>
    <row r="383" spans="1:17" x14ac:dyDescent="0.15">
      <c r="A383" s="47">
        <v>382</v>
      </c>
      <c r="B383" s="35">
        <v>127046</v>
      </c>
      <c r="C383" s="35" t="s">
        <v>1981</v>
      </c>
      <c r="D383" s="35">
        <v>111.82</v>
      </c>
      <c r="E383" s="35">
        <v>143.99</v>
      </c>
      <c r="F383" s="50">
        <v>255.81</v>
      </c>
      <c r="G383" s="35">
        <v>0.76</v>
      </c>
      <c r="H383" s="39">
        <v>11.278176</v>
      </c>
      <c r="I383" s="39">
        <v>0.55259999999999998</v>
      </c>
      <c r="J383" s="39">
        <v>5.3419999999999996</v>
      </c>
      <c r="K383" s="41">
        <v>46659</v>
      </c>
      <c r="L383" s="35">
        <v>66.83</v>
      </c>
      <c r="M383" s="35">
        <v>45.83</v>
      </c>
      <c r="N383" s="39">
        <v>912.36897699999997</v>
      </c>
      <c r="O383" s="43">
        <v>9.0009000900090012E-3</v>
      </c>
      <c r="P383" s="35">
        <v>112.1</v>
      </c>
      <c r="Q383" s="35">
        <v>111.1</v>
      </c>
    </row>
    <row r="384" spans="1:17" x14ac:dyDescent="0.15">
      <c r="A384" s="47">
        <v>383</v>
      </c>
      <c r="B384" s="35">
        <v>123039</v>
      </c>
      <c r="C384" s="35" t="s">
        <v>168</v>
      </c>
      <c r="D384" s="35">
        <v>128.99199999999999</v>
      </c>
      <c r="E384" s="35">
        <v>144.26</v>
      </c>
      <c r="F384" s="50">
        <v>273.25199999999995</v>
      </c>
      <c r="G384" s="35">
        <v>-3.45</v>
      </c>
      <c r="H384" s="39">
        <v>2.2171210000000001</v>
      </c>
      <c r="I384" s="39">
        <v>-1.9684999999999999</v>
      </c>
      <c r="J384" s="39">
        <v>3.5840000000000001</v>
      </c>
      <c r="K384" s="41">
        <v>46017</v>
      </c>
      <c r="L384" s="35">
        <v>29.92</v>
      </c>
      <c r="M384" s="35">
        <v>52.81</v>
      </c>
      <c r="N384" s="39">
        <v>61523.097973399999</v>
      </c>
      <c r="O384" s="43">
        <v>5.3525780909034183E-2</v>
      </c>
      <c r="P384" s="35">
        <v>135.18</v>
      </c>
      <c r="Q384" s="35">
        <v>128.31200000000001</v>
      </c>
    </row>
    <row r="385" spans="1:17" x14ac:dyDescent="0.15">
      <c r="A385" s="47">
        <v>384</v>
      </c>
      <c r="B385" s="35">
        <v>128124</v>
      </c>
      <c r="C385" s="35" t="s">
        <v>171</v>
      </c>
      <c r="D385" s="35">
        <v>100.3</v>
      </c>
      <c r="E385" s="35">
        <v>146.80000000000001</v>
      </c>
      <c r="F385" s="50">
        <v>247.10000000000002</v>
      </c>
      <c r="G385" s="35">
        <v>7.0000000000000007E-2</v>
      </c>
      <c r="H385" s="39">
        <v>7.3764519999999996</v>
      </c>
      <c r="I385" s="39">
        <v>2.2799999999999998</v>
      </c>
      <c r="J385" s="39">
        <v>4.17</v>
      </c>
      <c r="K385" s="41">
        <v>46231</v>
      </c>
      <c r="L385" s="35">
        <v>21.31</v>
      </c>
      <c r="M385" s="35">
        <v>40.64</v>
      </c>
      <c r="N385" s="39">
        <v>1878.9125146000001</v>
      </c>
      <c r="O385" s="43">
        <v>7.8863409770687613E-3</v>
      </c>
      <c r="P385" s="35">
        <v>101.09099999999999</v>
      </c>
      <c r="Q385" s="35">
        <v>100.3</v>
      </c>
    </row>
    <row r="386" spans="1:17" x14ac:dyDescent="0.15">
      <c r="A386" s="47">
        <v>385</v>
      </c>
      <c r="B386" s="35">
        <v>123104</v>
      </c>
      <c r="C386" s="35" t="s">
        <v>179</v>
      </c>
      <c r="D386" s="35">
        <v>114.91200000000001</v>
      </c>
      <c r="E386" s="35">
        <v>147.71</v>
      </c>
      <c r="F386" s="50">
        <v>262.62200000000001</v>
      </c>
      <c r="G386" s="35">
        <v>0.02</v>
      </c>
      <c r="H386" s="39">
        <v>9.7011269999999996</v>
      </c>
      <c r="I386" s="39">
        <v>1.7623</v>
      </c>
      <c r="J386" s="39">
        <v>4.8029999999999999</v>
      </c>
      <c r="K386" s="41">
        <v>46462</v>
      </c>
      <c r="L386" s="35">
        <v>17.739999999999998</v>
      </c>
      <c r="M386" s="35">
        <v>46.39</v>
      </c>
      <c r="N386" s="39">
        <v>112.0604713</v>
      </c>
      <c r="O386" s="43">
        <v>4.7312691498555444E-3</v>
      </c>
      <c r="P386" s="35">
        <v>115.099</v>
      </c>
      <c r="Q386" s="35">
        <v>114.557</v>
      </c>
    </row>
    <row r="387" spans="1:17" x14ac:dyDescent="0.15">
      <c r="A387" s="47">
        <v>386</v>
      </c>
      <c r="B387" s="35">
        <v>123113</v>
      </c>
      <c r="C387" s="35" t="s">
        <v>1982</v>
      </c>
      <c r="D387" s="35">
        <v>106.85</v>
      </c>
      <c r="E387" s="35">
        <v>154.22</v>
      </c>
      <c r="F387" s="50">
        <v>261.07</v>
      </c>
      <c r="G387" s="35">
        <v>0.52</v>
      </c>
      <c r="H387" s="39">
        <v>10.248582000000001</v>
      </c>
      <c r="I387" s="39">
        <v>2.1038000000000001</v>
      </c>
      <c r="J387" s="39">
        <v>4.8959999999999999</v>
      </c>
      <c r="K387" s="41">
        <v>46496</v>
      </c>
      <c r="L387" s="35">
        <v>56.48</v>
      </c>
      <c r="M387" s="35">
        <v>42.03</v>
      </c>
      <c r="N387" s="39">
        <v>796.76390949999995</v>
      </c>
      <c r="O387" s="43">
        <v>6.98958617510649E-3</v>
      </c>
      <c r="P387" s="35">
        <v>107.044</v>
      </c>
      <c r="Q387" s="35">
        <v>106.301</v>
      </c>
    </row>
    <row r="388" spans="1:17" x14ac:dyDescent="0.15">
      <c r="A388" s="47">
        <v>387</v>
      </c>
      <c r="B388" s="35">
        <v>113589</v>
      </c>
      <c r="C388" s="35" t="s">
        <v>146</v>
      </c>
      <c r="D388" s="35">
        <v>99.52</v>
      </c>
      <c r="E388" s="35">
        <v>156.43</v>
      </c>
      <c r="F388" s="50">
        <v>255.95</v>
      </c>
      <c r="G388" s="35">
        <v>-0.54</v>
      </c>
      <c r="H388" s="39">
        <v>5.9959800000000003</v>
      </c>
      <c r="I388" s="39">
        <v>3.6705000000000001</v>
      </c>
      <c r="J388" s="39">
        <v>4.077</v>
      </c>
      <c r="K388" s="41">
        <v>46197</v>
      </c>
      <c r="L388" s="35">
        <v>12.29</v>
      </c>
      <c r="M388" s="35">
        <v>38.81</v>
      </c>
      <c r="N388" s="39">
        <v>14150.5708</v>
      </c>
      <c r="O388" s="43">
        <v>4.1242311182817418E-2</v>
      </c>
      <c r="P388" s="35">
        <v>103.26</v>
      </c>
      <c r="Q388" s="35">
        <v>99.17</v>
      </c>
    </row>
    <row r="389" spans="1:17" x14ac:dyDescent="0.15">
      <c r="A389" s="47">
        <v>388</v>
      </c>
      <c r="B389" s="35">
        <v>127004</v>
      </c>
      <c r="C389" s="35" t="s">
        <v>138</v>
      </c>
      <c r="D389" s="35">
        <v>164</v>
      </c>
      <c r="E389" s="35">
        <v>160.4</v>
      </c>
      <c r="F389" s="50">
        <v>324.39999999999998</v>
      </c>
      <c r="G389" s="35">
        <v>3.64</v>
      </c>
      <c r="H389" s="39">
        <v>1.3110879999999998</v>
      </c>
      <c r="I389" s="39">
        <v>-31.750499999999999</v>
      </c>
      <c r="J389" s="39">
        <v>1.014</v>
      </c>
      <c r="K389" s="41">
        <v>45079</v>
      </c>
      <c r="L389" s="35">
        <v>7.24</v>
      </c>
      <c r="M389" s="35">
        <v>62.98</v>
      </c>
      <c r="N389" s="39">
        <v>362403.31642490003</v>
      </c>
      <c r="O389" s="43">
        <v>0.17195431472081216</v>
      </c>
      <c r="P389" s="35">
        <v>184.7</v>
      </c>
      <c r="Q389" s="35">
        <v>157.6</v>
      </c>
    </row>
    <row r="390" spans="1:17" x14ac:dyDescent="0.15">
      <c r="A390" s="47">
        <v>389</v>
      </c>
      <c r="B390" s="35">
        <v>123140</v>
      </c>
      <c r="C390" s="35" t="s">
        <v>791</v>
      </c>
      <c r="D390" s="35">
        <v>229.55</v>
      </c>
      <c r="E390" s="35">
        <v>166.52</v>
      </c>
      <c r="F390" s="50">
        <v>396.07000000000005</v>
      </c>
      <c r="G390" s="35">
        <v>0.24</v>
      </c>
      <c r="H390" s="39">
        <v>1.72</v>
      </c>
      <c r="I390" s="39">
        <v>-10.9718</v>
      </c>
      <c r="J390" s="39">
        <v>5.8</v>
      </c>
      <c r="K390" s="41">
        <v>46826</v>
      </c>
      <c r="L390" s="35">
        <v>12.47</v>
      </c>
      <c r="M390" s="35">
        <v>86.13</v>
      </c>
      <c r="N390" s="39">
        <v>106853.87708950001</v>
      </c>
      <c r="O390" s="43">
        <v>4.3579749103942675E-2</v>
      </c>
      <c r="P390" s="35">
        <v>232.92699999999999</v>
      </c>
      <c r="Q390" s="35">
        <v>223.2</v>
      </c>
    </row>
    <row r="391" spans="1:17" x14ac:dyDescent="0.15">
      <c r="A391" s="47">
        <v>390</v>
      </c>
      <c r="B391" s="35">
        <v>123143</v>
      </c>
      <c r="C391" s="35" t="s">
        <v>820</v>
      </c>
      <c r="D391" s="35">
        <v>224.19900000000001</v>
      </c>
      <c r="E391" s="35">
        <v>168.5</v>
      </c>
      <c r="F391" s="50">
        <v>392.69900000000001</v>
      </c>
      <c r="G391" s="35">
        <v>1.0900000000000001</v>
      </c>
      <c r="H391" s="39">
        <v>3.3</v>
      </c>
      <c r="I391" s="39">
        <v>-10.613099999999999</v>
      </c>
      <c r="J391" s="39">
        <v>5.8470000000000004</v>
      </c>
      <c r="K391" s="41">
        <v>46843</v>
      </c>
      <c r="L391" s="35">
        <v>23.45</v>
      </c>
      <c r="M391" s="35">
        <v>83.5</v>
      </c>
      <c r="N391" s="39">
        <v>79371.846912599998</v>
      </c>
      <c r="O391" s="43">
        <v>5.5949711428886592E-2</v>
      </c>
      <c r="P391" s="35">
        <v>229.8</v>
      </c>
      <c r="Q391" s="35">
        <v>217.624</v>
      </c>
    </row>
    <row r="392" spans="1:17" x14ac:dyDescent="0.15">
      <c r="A392" s="47">
        <v>391</v>
      </c>
      <c r="B392" s="35">
        <v>110044</v>
      </c>
      <c r="C392" s="35" t="s">
        <v>136</v>
      </c>
      <c r="D392" s="35">
        <v>230.18</v>
      </c>
      <c r="E392" s="35">
        <v>168.93</v>
      </c>
      <c r="F392" s="50">
        <v>399.11</v>
      </c>
      <c r="G392" s="35">
        <v>-0.12</v>
      </c>
      <c r="H392" s="39">
        <v>0.70747000000000004</v>
      </c>
      <c r="I392" s="39">
        <v>-29.790099999999999</v>
      </c>
      <c r="J392" s="39">
        <v>2.085</v>
      </c>
      <c r="K392" s="41">
        <v>45470</v>
      </c>
      <c r="L392" s="35">
        <v>6.87</v>
      </c>
      <c r="M392" s="35">
        <v>85.59</v>
      </c>
      <c r="N392" s="39">
        <v>12873.575800000001</v>
      </c>
      <c r="O392" s="43">
        <v>1.4509803921568682E-2</v>
      </c>
      <c r="P392" s="35">
        <v>232.83</v>
      </c>
      <c r="Q392" s="35">
        <v>229.5</v>
      </c>
    </row>
    <row r="393" spans="1:17" x14ac:dyDescent="0.15">
      <c r="A393" s="47">
        <v>392</v>
      </c>
      <c r="B393" s="35">
        <v>123101</v>
      </c>
      <c r="C393" s="35" t="s">
        <v>153</v>
      </c>
      <c r="D393" s="35">
        <v>107.667</v>
      </c>
      <c r="E393" s="35">
        <v>172.57</v>
      </c>
      <c r="F393" s="50">
        <v>280.23699999999997</v>
      </c>
      <c r="G393" s="35">
        <v>0.16</v>
      </c>
      <c r="H393" s="39">
        <v>6.6976259999999996</v>
      </c>
      <c r="I393" s="39">
        <v>1.3735999999999999</v>
      </c>
      <c r="J393" s="39">
        <v>4.7859999999999996</v>
      </c>
      <c r="K393" s="41">
        <v>46456</v>
      </c>
      <c r="L393" s="35">
        <v>26.18</v>
      </c>
      <c r="M393" s="35">
        <v>39.5</v>
      </c>
      <c r="N393" s="39">
        <v>361.73622140000003</v>
      </c>
      <c r="O393" s="43">
        <v>4.2063440248464139E-3</v>
      </c>
      <c r="P393" s="35">
        <v>107.67</v>
      </c>
      <c r="Q393" s="35">
        <v>107.21899999999999</v>
      </c>
    </row>
    <row r="394" spans="1:17" x14ac:dyDescent="0.15">
      <c r="A394" s="47">
        <v>393</v>
      </c>
      <c r="B394" s="35">
        <v>118003</v>
      </c>
      <c r="C394" s="35" t="s">
        <v>253</v>
      </c>
      <c r="D394" s="35">
        <v>107.667</v>
      </c>
      <c r="E394" s="35">
        <v>172.57</v>
      </c>
      <c r="F394" s="50">
        <v>280.23699999999997</v>
      </c>
      <c r="G394" s="35">
        <v>0.16</v>
      </c>
      <c r="H394" s="39">
        <v>6.6976259999999996</v>
      </c>
      <c r="I394" s="39">
        <v>1.3735999999999999</v>
      </c>
      <c r="J394" s="39">
        <v>4.7859999999999996</v>
      </c>
      <c r="K394" s="41">
        <v>46456</v>
      </c>
      <c r="L394" s="35">
        <v>26.18</v>
      </c>
      <c r="M394" s="35">
        <v>39.5</v>
      </c>
      <c r="N394" s="39">
        <v>361.73622140000003</v>
      </c>
      <c r="O394" s="43">
        <v>4.2063440248464139E-3</v>
      </c>
      <c r="P394" s="35">
        <v>107.67</v>
      </c>
      <c r="Q394" s="35">
        <v>107.21899999999999</v>
      </c>
    </row>
    <row r="395" spans="1:17" x14ac:dyDescent="0.15">
      <c r="A395" s="47">
        <v>394</v>
      </c>
      <c r="B395" s="35">
        <v>113569</v>
      </c>
      <c r="C395" s="35" t="s">
        <v>140</v>
      </c>
      <c r="D395" s="35">
        <v>104.89</v>
      </c>
      <c r="E395" s="35">
        <v>180.23</v>
      </c>
      <c r="F395" s="50">
        <v>285.12</v>
      </c>
      <c r="G395" s="35">
        <v>-0.03</v>
      </c>
      <c r="H395" s="39">
        <v>5.1560100000000002</v>
      </c>
      <c r="I395" s="39">
        <v>3.5707</v>
      </c>
      <c r="J395" s="39">
        <v>3.7839999999999998</v>
      </c>
      <c r="K395" s="41">
        <v>46090</v>
      </c>
      <c r="L395" s="35">
        <v>14.8</v>
      </c>
      <c r="M395" s="35">
        <v>37.43</v>
      </c>
      <c r="N395" s="39">
        <v>303.19799999999998</v>
      </c>
      <c r="O395" s="43">
        <v>6.1173771745364229E-3</v>
      </c>
      <c r="P395" s="35">
        <v>105.26</v>
      </c>
      <c r="Q395" s="35">
        <v>104.62</v>
      </c>
    </row>
    <row r="396" spans="1:17" x14ac:dyDescent="0.15">
      <c r="A396" s="47">
        <v>395</v>
      </c>
      <c r="B396" s="35">
        <v>113627</v>
      </c>
      <c r="C396" s="35" t="s">
        <v>149</v>
      </c>
      <c r="D396" s="35">
        <v>108.47</v>
      </c>
      <c r="E396" s="35">
        <v>186.96</v>
      </c>
      <c r="F396" s="50">
        <v>295.43</v>
      </c>
      <c r="G396" s="35">
        <v>0.51</v>
      </c>
      <c r="H396" s="39">
        <v>7.9998100000000001</v>
      </c>
      <c r="I396" s="39">
        <v>1.1848000000000001</v>
      </c>
      <c r="J396" s="39">
        <v>5.1340000000000003</v>
      </c>
      <c r="K396" s="41">
        <v>46583</v>
      </c>
      <c r="L396" s="35">
        <v>50.32</v>
      </c>
      <c r="M396" s="35">
        <v>37.799999999999997</v>
      </c>
      <c r="N396" s="39">
        <v>539.41010000000006</v>
      </c>
      <c r="O396" s="43">
        <v>9.0048273301151036E-3</v>
      </c>
      <c r="P396" s="35">
        <v>108.69</v>
      </c>
      <c r="Q396" s="35">
        <v>107.72</v>
      </c>
    </row>
    <row r="397" spans="1:17" x14ac:dyDescent="0.15">
      <c r="A397" s="47">
        <v>396</v>
      </c>
      <c r="B397" s="35">
        <v>113584</v>
      </c>
      <c r="C397" s="35" t="s">
        <v>1983</v>
      </c>
      <c r="D397" s="35">
        <v>104.03</v>
      </c>
      <c r="E397" s="35">
        <v>193.54</v>
      </c>
      <c r="F397" s="50">
        <v>297.57</v>
      </c>
      <c r="G397" s="35">
        <v>0.06</v>
      </c>
      <c r="H397" s="39">
        <v>6.4493499999999999</v>
      </c>
      <c r="I397" s="39">
        <v>2.5573000000000001</v>
      </c>
      <c r="J397" s="39">
        <v>4.0250000000000004</v>
      </c>
      <c r="K397" s="41">
        <v>46178</v>
      </c>
      <c r="L397" s="35">
        <v>37.53</v>
      </c>
      <c r="M397" s="35">
        <v>35.44</v>
      </c>
      <c r="N397" s="39">
        <v>454.89449999999999</v>
      </c>
      <c r="O397" s="43">
        <v>4.9085659287775828E-3</v>
      </c>
      <c r="P397" s="35">
        <v>104.41</v>
      </c>
      <c r="Q397" s="35">
        <v>103.9</v>
      </c>
    </row>
    <row r="398" spans="1:17" x14ac:dyDescent="0.15">
      <c r="A398" s="47">
        <v>397</v>
      </c>
      <c r="B398" s="35">
        <v>123065</v>
      </c>
      <c r="C398" s="35" t="s">
        <v>137</v>
      </c>
      <c r="D398" s="35">
        <v>115.741</v>
      </c>
      <c r="E398" s="35">
        <v>193.83</v>
      </c>
      <c r="F398" s="50">
        <v>309.57100000000003</v>
      </c>
      <c r="G398" s="35">
        <v>-0.09</v>
      </c>
      <c r="H398" s="39">
        <v>2.1885789999999998</v>
      </c>
      <c r="I398" s="39">
        <v>1.0694999999999999</v>
      </c>
      <c r="J398" s="39">
        <v>4.274</v>
      </c>
      <c r="K398" s="41">
        <v>46269</v>
      </c>
      <c r="L398" s="35">
        <v>36.630000000000003</v>
      </c>
      <c r="M398" s="35">
        <v>39.39</v>
      </c>
      <c r="N398" s="39">
        <v>1690.297875</v>
      </c>
      <c r="O398" s="43">
        <v>8.0585129403617888E-3</v>
      </c>
      <c r="P398" s="35">
        <v>116.461</v>
      </c>
      <c r="Q398" s="35">
        <v>115.53</v>
      </c>
    </row>
    <row r="399" spans="1:17" x14ac:dyDescent="0.15">
      <c r="A399" s="47">
        <v>398</v>
      </c>
      <c r="B399" s="35">
        <v>113596</v>
      </c>
      <c r="C399" s="35" t="s">
        <v>1984</v>
      </c>
      <c r="D399" s="35">
        <v>98.31</v>
      </c>
      <c r="E399" s="35">
        <v>195.94</v>
      </c>
      <c r="F399" s="50">
        <v>294.25</v>
      </c>
      <c r="G399" s="35">
        <v>-0.16</v>
      </c>
      <c r="H399" s="39">
        <v>11.98714</v>
      </c>
      <c r="I399" s="39">
        <v>3.4975999999999998</v>
      </c>
      <c r="J399" s="39">
        <v>4.17</v>
      </c>
      <c r="K399" s="41">
        <v>46231</v>
      </c>
      <c r="L399" s="35">
        <v>24.26</v>
      </c>
      <c r="M399" s="35">
        <v>33.22</v>
      </c>
      <c r="N399" s="39">
        <v>6273.1790000000001</v>
      </c>
      <c r="O399" s="43">
        <v>1.8246687054026569E-2</v>
      </c>
      <c r="P399" s="35">
        <v>99.89</v>
      </c>
      <c r="Q399" s="35">
        <v>98.1</v>
      </c>
    </row>
    <row r="400" spans="1:17" x14ac:dyDescent="0.15">
      <c r="A400" s="47">
        <v>399</v>
      </c>
      <c r="B400" s="35">
        <v>128041</v>
      </c>
      <c r="C400" s="35" t="s">
        <v>135</v>
      </c>
      <c r="D400" s="35">
        <v>284.3</v>
      </c>
      <c r="E400" s="35">
        <v>196.49</v>
      </c>
      <c r="F400" s="50">
        <v>480.79</v>
      </c>
      <c r="G400" s="35">
        <v>-2.97</v>
      </c>
      <c r="H400" s="39">
        <v>0.52935699999999997</v>
      </c>
      <c r="I400" s="39">
        <v>-35.317</v>
      </c>
      <c r="J400" s="39">
        <v>2.14</v>
      </c>
      <c r="K400" s="41">
        <v>45490</v>
      </c>
      <c r="L400" s="35">
        <v>6.82</v>
      </c>
      <c r="M400" s="35">
        <v>95.89</v>
      </c>
      <c r="N400" s="39">
        <v>68826.6274405</v>
      </c>
      <c r="O400" s="43">
        <v>3.0949614450195489E-2</v>
      </c>
      <c r="P400" s="35">
        <v>292.8</v>
      </c>
      <c r="Q400" s="35">
        <v>284.01</v>
      </c>
    </row>
    <row r="401" spans="1:17" x14ac:dyDescent="0.15">
      <c r="A401" s="47">
        <v>400</v>
      </c>
      <c r="B401" s="35">
        <v>113575</v>
      </c>
      <c r="C401" s="35" t="s">
        <v>152</v>
      </c>
      <c r="D401" s="35">
        <v>145.1</v>
      </c>
      <c r="E401" s="35">
        <v>200.35</v>
      </c>
      <c r="F401" s="50">
        <v>345.45</v>
      </c>
      <c r="G401" s="35">
        <v>6.43</v>
      </c>
      <c r="H401" s="39">
        <v>0.98397999999999997</v>
      </c>
      <c r="I401" s="39">
        <v>-6.4695</v>
      </c>
      <c r="J401" s="39">
        <v>3.8679999999999999</v>
      </c>
      <c r="K401" s="41">
        <v>46121</v>
      </c>
      <c r="L401" s="35">
        <v>12.15</v>
      </c>
      <c r="M401" s="35">
        <v>48.31</v>
      </c>
      <c r="N401" s="39">
        <v>164588.44829999999</v>
      </c>
      <c r="O401" s="43">
        <v>0.11045994065281887</v>
      </c>
      <c r="P401" s="35">
        <v>149.69</v>
      </c>
      <c r="Q401" s="35">
        <v>134.80000000000001</v>
      </c>
    </row>
    <row r="402" spans="1:17" x14ac:dyDescent="0.15">
      <c r="A402" s="47">
        <v>401</v>
      </c>
      <c r="B402" s="35">
        <v>128062</v>
      </c>
      <c r="C402" s="35" t="s">
        <v>1985</v>
      </c>
      <c r="D402" s="35">
        <v>99.93</v>
      </c>
      <c r="E402" s="35">
        <v>203</v>
      </c>
      <c r="F402" s="50">
        <v>302.93</v>
      </c>
      <c r="G402" s="35">
        <v>-0.8</v>
      </c>
      <c r="H402" s="39">
        <v>9.6197339999999993</v>
      </c>
      <c r="I402" s="39">
        <v>6.1906999999999996</v>
      </c>
      <c r="J402" s="39">
        <v>2.8490000000000002</v>
      </c>
      <c r="K402" s="41">
        <v>45749</v>
      </c>
      <c r="L402" s="35">
        <v>16.25</v>
      </c>
      <c r="M402" s="35">
        <v>32.979999999999997</v>
      </c>
      <c r="N402" s="39">
        <v>11215.72322</v>
      </c>
      <c r="O402" s="43">
        <v>1.5716934796772393E-2</v>
      </c>
      <c r="P402" s="35">
        <v>101.333</v>
      </c>
      <c r="Q402" s="35">
        <v>99.765000000000001</v>
      </c>
    </row>
    <row r="403" spans="1:17" x14ac:dyDescent="0.15">
      <c r="A403" s="47">
        <v>402</v>
      </c>
      <c r="B403" s="35">
        <v>113576</v>
      </c>
      <c r="C403" s="35" t="s">
        <v>139</v>
      </c>
      <c r="D403" s="35">
        <v>116.67</v>
      </c>
      <c r="E403" s="35">
        <v>226.53</v>
      </c>
      <c r="F403" s="50">
        <v>343.2</v>
      </c>
      <c r="G403" s="35">
        <v>-0.88</v>
      </c>
      <c r="H403" s="39">
        <v>2.6581000000000001</v>
      </c>
      <c r="I403" s="39">
        <v>0.85529999999999995</v>
      </c>
      <c r="J403" s="39">
        <v>3.871</v>
      </c>
      <c r="K403" s="41">
        <v>46122</v>
      </c>
      <c r="L403" s="35">
        <v>10.55</v>
      </c>
      <c r="M403" s="35">
        <v>35.729999999999997</v>
      </c>
      <c r="N403" s="39">
        <v>15119.432000000001</v>
      </c>
      <c r="O403" s="43">
        <v>1.9798571059653932E-2</v>
      </c>
      <c r="P403" s="35">
        <v>118.47</v>
      </c>
      <c r="Q403" s="35">
        <v>116.17</v>
      </c>
    </row>
    <row r="404" spans="1:17" x14ac:dyDescent="0.15">
      <c r="A404" s="47">
        <v>403</v>
      </c>
      <c r="B404" s="35">
        <v>123136</v>
      </c>
      <c r="C404" s="35" t="s">
        <v>274</v>
      </c>
      <c r="D404" s="35">
        <v>334.29</v>
      </c>
      <c r="E404" s="35">
        <v>229.77</v>
      </c>
      <c r="F404" s="50">
        <v>564.06000000000006</v>
      </c>
      <c r="G404" s="35">
        <v>-2.54</v>
      </c>
      <c r="H404" s="39">
        <v>4.5999999999999996</v>
      </c>
      <c r="I404" s="39">
        <v>-16.685099999999998</v>
      </c>
      <c r="J404" s="39">
        <v>5.6550000000000002</v>
      </c>
      <c r="K404" s="41">
        <v>46773</v>
      </c>
      <c r="L404" s="35">
        <v>21.18</v>
      </c>
      <c r="M404" s="35">
        <v>101.37</v>
      </c>
      <c r="N404" s="39">
        <v>517369.41793579998</v>
      </c>
      <c r="O404" s="43">
        <v>6.9700898510522705E-2</v>
      </c>
      <c r="P404" s="35">
        <v>354.77699999999999</v>
      </c>
      <c r="Q404" s="35">
        <v>331.66</v>
      </c>
    </row>
    <row r="405" spans="1:17" x14ac:dyDescent="0.15">
      <c r="A405" s="47">
        <v>404</v>
      </c>
      <c r="B405" s="35">
        <v>113574</v>
      </c>
      <c r="C405" s="35" t="s">
        <v>1986</v>
      </c>
      <c r="D405" s="35">
        <v>112.29</v>
      </c>
      <c r="E405" s="35">
        <v>274.8</v>
      </c>
      <c r="F405" s="50">
        <v>387.09000000000003</v>
      </c>
      <c r="G405" s="35">
        <v>-0.49</v>
      </c>
      <c r="H405" s="39">
        <v>2.0874199999999998</v>
      </c>
      <c r="I405" s="39">
        <v>0.68200000000000005</v>
      </c>
      <c r="J405" s="39">
        <v>3.8439999999999999</v>
      </c>
      <c r="K405" s="41">
        <v>46112</v>
      </c>
      <c r="L405" s="35">
        <v>33.909999999999997</v>
      </c>
      <c r="M405" s="35">
        <v>29.96</v>
      </c>
      <c r="N405" s="39">
        <v>436.9554</v>
      </c>
      <c r="O405" s="43">
        <v>8.7406350338921669E-3</v>
      </c>
      <c r="P405" s="35">
        <v>113.1</v>
      </c>
      <c r="Q405" s="35">
        <v>112.12</v>
      </c>
    </row>
    <row r="406" spans="1:17" x14ac:dyDescent="0.15">
      <c r="A406" s="47">
        <v>405</v>
      </c>
      <c r="B406" s="35">
        <v>113646</v>
      </c>
      <c r="C406" s="35" t="s">
        <v>1987</v>
      </c>
      <c r="D406" s="35">
        <v>315.75</v>
      </c>
      <c r="E406" s="35">
        <v>289.57</v>
      </c>
      <c r="F406" s="50">
        <v>605.31999999999994</v>
      </c>
      <c r="G406" s="35">
        <v>-9.27</v>
      </c>
      <c r="H406" s="39">
        <v>1.45868</v>
      </c>
      <c r="I406" s="39">
        <v>-16.164000000000001</v>
      </c>
      <c r="J406" s="39">
        <v>5.8849999999999998</v>
      </c>
      <c r="K406" s="41">
        <v>46857</v>
      </c>
      <c r="L406" s="35">
        <v>8.76</v>
      </c>
      <c r="M406" s="35">
        <v>81.05</v>
      </c>
      <c r="N406" s="39">
        <v>216953.43830000001</v>
      </c>
      <c r="O406" s="43">
        <v>0.15025641025641023</v>
      </c>
      <c r="P406" s="35">
        <v>358.88</v>
      </c>
      <c r="Q406" s="35">
        <v>312</v>
      </c>
    </row>
    <row r="407" spans="1:17" x14ac:dyDescent="0.15">
      <c r="A407" s="47">
        <v>406</v>
      </c>
      <c r="B407" s="35">
        <v>123072</v>
      </c>
      <c r="C407" s="35" t="s">
        <v>1988</v>
      </c>
      <c r="D407" s="35">
        <v>129.63499999999999</v>
      </c>
      <c r="E407" s="35">
        <v>290.47000000000003</v>
      </c>
      <c r="F407" s="50">
        <v>420.10500000000002</v>
      </c>
      <c r="G407" s="35">
        <v>-0.62</v>
      </c>
      <c r="H407" s="39">
        <v>1.419144</v>
      </c>
      <c r="I407" s="39">
        <v>-9.69E-2</v>
      </c>
      <c r="J407" s="39">
        <v>4.4029999999999996</v>
      </c>
      <c r="K407" s="41">
        <v>46316</v>
      </c>
      <c r="L407" s="35">
        <v>48.98</v>
      </c>
      <c r="M407" s="35">
        <v>33.200000000000003</v>
      </c>
      <c r="N407" s="39">
        <v>10148.814649799999</v>
      </c>
      <c r="O407" s="43">
        <v>2.3041117145073689E-2</v>
      </c>
      <c r="P407" s="35">
        <v>131.87</v>
      </c>
      <c r="Q407" s="35">
        <v>128.9</v>
      </c>
    </row>
    <row r="408" spans="1:17" x14ac:dyDescent="0.15">
      <c r="A408" s="47">
        <v>407</v>
      </c>
      <c r="B408" s="35">
        <v>123135</v>
      </c>
      <c r="C408" s="35" t="s">
        <v>1989</v>
      </c>
      <c r="D408" s="35">
        <v>307.57799999999997</v>
      </c>
      <c r="E408" s="35">
        <v>318.02</v>
      </c>
      <c r="F408" s="50">
        <v>625.59799999999996</v>
      </c>
      <c r="G408" s="35">
        <v>-0.72</v>
      </c>
      <c r="H408" s="39">
        <v>2.1</v>
      </c>
      <c r="I408" s="39">
        <v>-15.5571</v>
      </c>
      <c r="J408" s="39">
        <v>5.5890000000000004</v>
      </c>
      <c r="K408" s="41">
        <v>46749</v>
      </c>
      <c r="L408" s="35">
        <v>54.43</v>
      </c>
      <c r="M408" s="35">
        <v>73.58</v>
      </c>
      <c r="N408" s="39">
        <v>41699.075367699996</v>
      </c>
      <c r="O408" s="43">
        <v>3.6311239193083537E-2</v>
      </c>
      <c r="P408" s="35">
        <v>312.85199999999998</v>
      </c>
      <c r="Q408" s="35">
        <v>301.89</v>
      </c>
    </row>
    <row r="409" spans="1:17" x14ac:dyDescent="0.15">
      <c r="A409" s="47">
        <v>408</v>
      </c>
      <c r="B409" s="35">
        <v>123134</v>
      </c>
      <c r="C409" s="35" t="s">
        <v>280</v>
      </c>
      <c r="D409" s="35">
        <v>402.9</v>
      </c>
      <c r="E409" s="35">
        <v>341.97</v>
      </c>
      <c r="F409" s="50">
        <v>744.87</v>
      </c>
      <c r="G409" s="35">
        <v>2.2599999999999998</v>
      </c>
      <c r="H409" s="39">
        <v>2.79</v>
      </c>
      <c r="I409" s="39">
        <v>-19.618300000000001</v>
      </c>
      <c r="J409" s="39">
        <v>5.5860000000000003</v>
      </c>
      <c r="K409" s="41">
        <v>46748</v>
      </c>
      <c r="L409" s="35">
        <v>76</v>
      </c>
      <c r="M409" s="35">
        <v>91.16</v>
      </c>
      <c r="N409" s="39">
        <v>413657.32830280002</v>
      </c>
      <c r="O409" s="43">
        <v>8.9646464646464641E-2</v>
      </c>
      <c r="P409" s="35">
        <v>431.5</v>
      </c>
      <c r="Q409" s="35">
        <v>396</v>
      </c>
    </row>
    <row r="410" spans="1:17" x14ac:dyDescent="0.15">
      <c r="A410" s="47">
        <v>409</v>
      </c>
      <c r="B410" s="35">
        <v>123013</v>
      </c>
      <c r="C410" s="35" t="s">
        <v>1990</v>
      </c>
      <c r="D410" s="35">
        <v>503</v>
      </c>
      <c r="E410" s="35">
        <v>524.61</v>
      </c>
      <c r="F410" s="50">
        <v>1027.6100000000001</v>
      </c>
      <c r="G410" s="35">
        <v>0.11</v>
      </c>
      <c r="H410" s="39">
        <v>0.37926300000000002</v>
      </c>
      <c r="I410" s="39">
        <v>-50.093200000000003</v>
      </c>
      <c r="J410" s="39">
        <v>2.1640000000000001</v>
      </c>
      <c r="K410" s="41">
        <v>45499</v>
      </c>
      <c r="L410" s="35">
        <v>9.0399999999999991</v>
      </c>
      <c r="M410" s="35">
        <v>80.53</v>
      </c>
      <c r="N410" s="39">
        <v>250833.3510765</v>
      </c>
      <c r="O410" s="43">
        <v>5.0202585768095366E-2</v>
      </c>
      <c r="P410" s="35">
        <v>515.80700000000002</v>
      </c>
      <c r="Q410" s="35">
        <v>491.15</v>
      </c>
    </row>
    <row r="411" spans="1:17" x14ac:dyDescent="0.15">
      <c r="A411" s="47">
        <v>410</v>
      </c>
      <c r="B411" s="35">
        <v>123015</v>
      </c>
      <c r="C411" s="35" t="s">
        <v>1991</v>
      </c>
      <c r="D411" s="35">
        <v>262.47000000000003</v>
      </c>
      <c r="E411" s="35">
        <v>874.28</v>
      </c>
      <c r="F411" s="50">
        <v>1136.75</v>
      </c>
      <c r="G411" s="35">
        <v>1.61</v>
      </c>
      <c r="H411" s="39">
        <v>1.001509</v>
      </c>
      <c r="I411" s="39">
        <v>-32.482900000000001</v>
      </c>
      <c r="J411" s="39">
        <v>2.214</v>
      </c>
      <c r="K411" s="41">
        <v>45517</v>
      </c>
      <c r="L411" s="35">
        <v>5.79</v>
      </c>
      <c r="M411" s="35">
        <v>26.94</v>
      </c>
      <c r="N411" s="39">
        <v>224015.83167459999</v>
      </c>
      <c r="O411" s="43">
        <v>7.1400062607606882E-2</v>
      </c>
      <c r="P411" s="35">
        <v>273.80700000000002</v>
      </c>
      <c r="Q411" s="35">
        <v>255.56</v>
      </c>
    </row>
    <row r="412" spans="1:17" x14ac:dyDescent="0.15">
      <c r="B412" s="44"/>
      <c r="C412" s="44"/>
      <c r="D412" s="44"/>
      <c r="E412" s="44"/>
      <c r="F412" s="51"/>
      <c r="G412" s="44"/>
      <c r="H412" s="45"/>
      <c r="I412" s="45"/>
      <c r="J412" s="45"/>
      <c r="K412" s="44"/>
      <c r="L412" s="44"/>
      <c r="M412" s="44"/>
      <c r="N412" s="45"/>
      <c r="O412" s="46"/>
      <c r="P412" s="44"/>
      <c r="Q412" s="44"/>
    </row>
  </sheetData>
  <autoFilter ref="A1:Q411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fresh_convertible_bond">
                <anchor moveWithCells="1" sizeWithCells="1">
                  <from>
                    <xdr:col>18</xdr:col>
                    <xdr:colOff>247650</xdr:colOff>
                    <xdr:row>2</xdr:row>
                    <xdr:rowOff>57150</xdr:rowOff>
                  </from>
                  <to>
                    <xdr:col>19</xdr:col>
                    <xdr:colOff>400050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U412"/>
  <sheetViews>
    <sheetView zoomScaleNormal="100" workbookViewId="0">
      <pane ySplit="2" topLeftCell="A3" activePane="bottomLeft" state="frozen"/>
      <selection pane="bottomLeft" activeCell="K1" sqref="K1"/>
    </sheetView>
  </sheetViews>
  <sheetFormatPr defaultRowHeight="14.25" x14ac:dyDescent="0.15"/>
  <cols>
    <col min="1" max="2" width="12.25" style="7" bestFit="1" customWidth="1"/>
    <col min="3" max="3" width="8.5" style="7" bestFit="1" customWidth="1"/>
    <col min="4" max="4" width="16.375" style="13" customWidth="1"/>
    <col min="5" max="5" width="16" style="13" bestFit="1" customWidth="1"/>
    <col min="6" max="7" width="9" style="7"/>
    <col min="8" max="8" width="3.75" style="17" customWidth="1"/>
    <col min="9" max="10" width="12.25" style="7" bestFit="1" customWidth="1"/>
    <col min="11" max="11" width="8.5" style="7" bestFit="1" customWidth="1"/>
    <col min="12" max="12" width="10.125" style="53" bestFit="1" customWidth="1"/>
    <col min="13" max="13" width="10.125" style="56" customWidth="1"/>
    <col min="14" max="14" width="12.25" style="7" bestFit="1" customWidth="1"/>
    <col min="15" max="16" width="9" style="7"/>
    <col min="17" max="17" width="3.75" style="17" customWidth="1"/>
    <col min="18" max="19" width="12.25" style="7" bestFit="1" customWidth="1"/>
    <col min="20" max="20" width="8.375" style="7" customWidth="1"/>
    <col min="21" max="21" width="12.25" style="7" bestFit="1" customWidth="1"/>
    <col min="22" max="16384" width="9" style="7"/>
  </cols>
  <sheetData>
    <row r="1" spans="1:21" x14ac:dyDescent="0.15">
      <c r="A1" s="8" t="s">
        <v>281</v>
      </c>
      <c r="B1" s="8"/>
      <c r="D1" s="12"/>
      <c r="E1" s="12"/>
      <c r="I1" s="8" t="s">
        <v>2002</v>
      </c>
      <c r="J1" s="8"/>
      <c r="K1" s="57" t="s">
        <v>2003</v>
      </c>
      <c r="L1" s="58"/>
      <c r="M1" s="59"/>
      <c r="N1" s="57"/>
      <c r="O1" s="57"/>
      <c r="P1" s="57"/>
      <c r="R1" s="8" t="s">
        <v>815</v>
      </c>
    </row>
    <row r="2" spans="1:21" s="6" customFormat="1" x14ac:dyDescent="0.15">
      <c r="A2" s="6" t="s">
        <v>59</v>
      </c>
      <c r="B2" s="6" t="s">
        <v>58</v>
      </c>
      <c r="C2" s="6" t="s">
        <v>57</v>
      </c>
      <c r="D2" s="4" t="s">
        <v>272</v>
      </c>
      <c r="E2" s="4" t="s">
        <v>804</v>
      </c>
      <c r="H2" s="18"/>
      <c r="I2" s="6" t="s">
        <v>1992</v>
      </c>
      <c r="J2" s="6" t="s">
        <v>1993</v>
      </c>
      <c r="K2" s="6" t="s">
        <v>1813</v>
      </c>
      <c r="L2" s="54" t="s">
        <v>35</v>
      </c>
      <c r="M2" s="55" t="s">
        <v>1995</v>
      </c>
      <c r="N2" s="4" t="s">
        <v>256</v>
      </c>
      <c r="Q2" s="18"/>
      <c r="R2" s="6" t="s">
        <v>59</v>
      </c>
      <c r="S2" s="6" t="s">
        <v>58</v>
      </c>
      <c r="T2" s="6" t="s">
        <v>57</v>
      </c>
      <c r="U2" s="4" t="s">
        <v>256</v>
      </c>
    </row>
    <row r="3" spans="1:21" x14ac:dyDescent="0.15">
      <c r="A3" s="1">
        <v>123012</v>
      </c>
      <c r="B3" s="1" t="s">
        <v>56</v>
      </c>
      <c r="C3" s="7">
        <f>VLOOKUP(A3,$I$1:$K$1000,3,FALSE)</f>
        <v>168.976</v>
      </c>
      <c r="D3" s="5">
        <f>MATCH(A3,$I$1:$I$1000,0)-2</f>
        <v>38</v>
      </c>
      <c r="E3" s="5">
        <f t="shared" ref="E3:E40" si="0">MATCH(A3,$R$1:$R$200,0)-2</f>
        <v>1</v>
      </c>
      <c r="H3" s="17">
        <v>1</v>
      </c>
      <c r="I3">
        <v>128107</v>
      </c>
      <c r="J3" t="s">
        <v>2001</v>
      </c>
      <c r="K3">
        <v>130.69999999999999</v>
      </c>
      <c r="L3" s="20">
        <v>-0.89</v>
      </c>
      <c r="M3" s="21">
        <v>8.8772090000000006</v>
      </c>
      <c r="N3" s="5" t="str">
        <f>IF(ISNA(MATCH(I3,$A$3:$A$1000,0)),"未买","Yes")</f>
        <v>未买</v>
      </c>
      <c r="Q3" s="17">
        <v>1</v>
      </c>
      <c r="R3" s="7">
        <v>123012</v>
      </c>
      <c r="S3" s="7" t="s">
        <v>56</v>
      </c>
      <c r="T3" s="7">
        <f>VLOOKUP(R3,$I$1:$K$1000,3,FALSE)</f>
        <v>168.976</v>
      </c>
      <c r="U3" s="5" t="str">
        <f t="shared" ref="U3:U34" si="1">IF(ISNA(MATCH(R3,$A$2:$A$301,0)),"未买","Yes")</f>
        <v>Yes</v>
      </c>
    </row>
    <row r="4" spans="1:21" x14ac:dyDescent="0.15">
      <c r="A4" s="1">
        <v>123045</v>
      </c>
      <c r="B4" s="1" t="s">
        <v>109</v>
      </c>
      <c r="C4" s="7">
        <f t="shared" ref="C4:C40" si="2">VLOOKUP(A4,$I$1:$K$1000,3,FALSE)</f>
        <v>129.07900000000001</v>
      </c>
      <c r="D4" s="5">
        <f t="shared" ref="D4:D40" si="3">MATCH(A4,$I$1:$I$1000,0)-2</f>
        <v>162</v>
      </c>
      <c r="E4" s="5">
        <f t="shared" si="0"/>
        <v>33</v>
      </c>
      <c r="H4" s="17">
        <v>2</v>
      </c>
      <c r="I4">
        <v>127013</v>
      </c>
      <c r="J4" t="s">
        <v>193</v>
      </c>
      <c r="K4">
        <v>132.94</v>
      </c>
      <c r="L4" s="20">
        <v>-0.23</v>
      </c>
      <c r="M4" s="21">
        <v>9.7660520000000002</v>
      </c>
      <c r="N4" s="5" t="str">
        <f t="shared" ref="N4:N67" si="4">IF(ISNA(MATCH(I4,$A$3:$A$1000,0)),"未买","Yes")</f>
        <v>未买</v>
      </c>
      <c r="Q4" s="17">
        <v>2</v>
      </c>
      <c r="R4" s="7">
        <v>113541</v>
      </c>
      <c r="S4" s="7" t="s">
        <v>44</v>
      </c>
      <c r="T4" s="7">
        <f t="shared" ref="T4:T37" si="5">VLOOKUP(R4,$I$1:$K$1000,3,FALSE)</f>
        <v>122.78</v>
      </c>
      <c r="U4" s="5" t="str">
        <f t="shared" si="1"/>
        <v>Yes</v>
      </c>
    </row>
    <row r="5" spans="1:21" x14ac:dyDescent="0.15">
      <c r="A5" s="1">
        <v>123052</v>
      </c>
      <c r="B5" s="1" t="s">
        <v>794</v>
      </c>
      <c r="C5" s="7">
        <f t="shared" si="2"/>
        <v>141.80000000000001</v>
      </c>
      <c r="D5" s="5">
        <f t="shared" si="3"/>
        <v>136</v>
      </c>
      <c r="E5" s="5" t="e">
        <f t="shared" si="0"/>
        <v>#N/A</v>
      </c>
      <c r="H5" s="17">
        <v>3</v>
      </c>
      <c r="I5">
        <v>127027</v>
      </c>
      <c r="J5" t="s">
        <v>1820</v>
      </c>
      <c r="K5">
        <v>141.899</v>
      </c>
      <c r="L5" s="20">
        <v>-0.22</v>
      </c>
      <c r="M5" s="21">
        <v>22.003689000000001</v>
      </c>
      <c r="N5" s="5" t="str">
        <f t="shared" si="4"/>
        <v>未买</v>
      </c>
      <c r="Q5" s="17">
        <v>3</v>
      </c>
      <c r="R5" s="7">
        <v>128100</v>
      </c>
      <c r="S5" s="7" t="s">
        <v>48</v>
      </c>
      <c r="T5" s="7">
        <f t="shared" si="5"/>
        <v>99.36</v>
      </c>
      <c r="U5" s="5" t="str">
        <f t="shared" si="1"/>
        <v>Yes</v>
      </c>
    </row>
    <row r="6" spans="1:21" x14ac:dyDescent="0.15">
      <c r="A6" s="1">
        <v>123057</v>
      </c>
      <c r="B6" s="1" t="s">
        <v>795</v>
      </c>
      <c r="C6" s="7">
        <f t="shared" si="2"/>
        <v>146</v>
      </c>
      <c r="D6" s="5">
        <f t="shared" si="3"/>
        <v>62</v>
      </c>
      <c r="E6" s="5">
        <f t="shared" si="0"/>
        <v>26</v>
      </c>
      <c r="H6" s="17">
        <v>4</v>
      </c>
      <c r="I6">
        <v>110071</v>
      </c>
      <c r="J6" t="s">
        <v>97</v>
      </c>
      <c r="K6">
        <v>140.9</v>
      </c>
      <c r="L6" s="20">
        <v>0.35</v>
      </c>
      <c r="M6" s="21">
        <v>7.1959299999999997</v>
      </c>
      <c r="N6" s="5" t="str">
        <f t="shared" si="4"/>
        <v>未买</v>
      </c>
      <c r="Q6" s="17">
        <v>4</v>
      </c>
      <c r="R6" s="7">
        <v>128085</v>
      </c>
      <c r="S6" s="7" t="s">
        <v>801</v>
      </c>
      <c r="T6" s="7">
        <f t="shared" si="5"/>
        <v>114.839</v>
      </c>
      <c r="U6" s="5" t="str">
        <f t="shared" si="1"/>
        <v>Yes</v>
      </c>
    </row>
    <row r="7" spans="1:21" x14ac:dyDescent="0.15">
      <c r="A7" s="1">
        <v>123067</v>
      </c>
      <c r="B7" s="1" t="s">
        <v>796</v>
      </c>
      <c r="C7" s="7">
        <f t="shared" si="2"/>
        <v>152.595</v>
      </c>
      <c r="D7" s="5">
        <f t="shared" si="3"/>
        <v>42</v>
      </c>
      <c r="E7" s="5" t="e">
        <f t="shared" si="0"/>
        <v>#N/A</v>
      </c>
      <c r="H7" s="17">
        <v>5</v>
      </c>
      <c r="I7">
        <v>123086</v>
      </c>
      <c r="J7" t="s">
        <v>1821</v>
      </c>
      <c r="K7">
        <v>161.6</v>
      </c>
      <c r="L7" s="20">
        <v>0.41</v>
      </c>
      <c r="M7" s="21">
        <v>4.3500980000000009</v>
      </c>
      <c r="N7" s="5" t="str">
        <f t="shared" si="4"/>
        <v>未买</v>
      </c>
      <c r="Q7" s="17">
        <v>5</v>
      </c>
      <c r="R7" s="7">
        <v>113567</v>
      </c>
      <c r="S7" s="7" t="s">
        <v>43</v>
      </c>
      <c r="T7" s="7">
        <f t="shared" si="5"/>
        <v>129.85</v>
      </c>
      <c r="U7" s="5" t="str">
        <f t="shared" si="1"/>
        <v>Yes</v>
      </c>
    </row>
    <row r="8" spans="1:21" x14ac:dyDescent="0.15">
      <c r="A8" s="1">
        <v>123073</v>
      </c>
      <c r="B8" s="1" t="s">
        <v>797</v>
      </c>
      <c r="C8" s="7">
        <f t="shared" si="2"/>
        <v>201.46299999999999</v>
      </c>
      <c r="D8" s="5">
        <f t="shared" si="3"/>
        <v>28</v>
      </c>
      <c r="E8" s="5" t="e">
        <f t="shared" si="0"/>
        <v>#N/A</v>
      </c>
      <c r="H8" s="17">
        <v>6</v>
      </c>
      <c r="I8">
        <v>123092</v>
      </c>
      <c r="J8" t="s">
        <v>1822</v>
      </c>
      <c r="K8">
        <v>174.12299999999999</v>
      </c>
      <c r="L8" s="20">
        <v>0.52</v>
      </c>
      <c r="M8" s="21">
        <v>4.1420899999999996</v>
      </c>
      <c r="N8" s="5" t="str">
        <f t="shared" si="4"/>
        <v>未买</v>
      </c>
      <c r="Q8" s="17">
        <v>6</v>
      </c>
      <c r="R8" s="7">
        <v>113525</v>
      </c>
      <c r="S8" s="7" t="s">
        <v>134</v>
      </c>
      <c r="T8" s="7">
        <f t="shared" si="5"/>
        <v>165.33</v>
      </c>
      <c r="U8" s="5" t="str">
        <f t="shared" si="1"/>
        <v>Yes</v>
      </c>
    </row>
    <row r="9" spans="1:21" x14ac:dyDescent="0.15">
      <c r="A9" s="1">
        <v>123080</v>
      </c>
      <c r="B9" s="1" t="s">
        <v>54</v>
      </c>
      <c r="C9" s="7">
        <f t="shared" si="2"/>
        <v>130.09399999999999</v>
      </c>
      <c r="D9" s="5">
        <f t="shared" si="3"/>
        <v>39</v>
      </c>
      <c r="E9" s="5" t="e">
        <f t="shared" si="0"/>
        <v>#N/A</v>
      </c>
      <c r="H9" s="17">
        <v>7</v>
      </c>
      <c r="I9">
        <v>113548</v>
      </c>
      <c r="J9" t="s">
        <v>1823</v>
      </c>
      <c r="K9">
        <v>566.1</v>
      </c>
      <c r="L9" s="20">
        <v>0.72</v>
      </c>
      <c r="M9" s="21">
        <v>0.87580999999999998</v>
      </c>
      <c r="N9" s="5" t="str">
        <f t="shared" si="4"/>
        <v>未买</v>
      </c>
      <c r="Q9" s="17">
        <v>7</v>
      </c>
      <c r="R9" s="7">
        <v>113585</v>
      </c>
      <c r="S9" s="7" t="s">
        <v>809</v>
      </c>
      <c r="T9" s="7">
        <f t="shared" si="5"/>
        <v>190.61</v>
      </c>
      <c r="U9" s="5" t="str">
        <f t="shared" si="1"/>
        <v>Yes</v>
      </c>
    </row>
    <row r="10" spans="1:21" x14ac:dyDescent="0.15">
      <c r="A10" s="1">
        <v>123089</v>
      </c>
      <c r="B10" s="1" t="s">
        <v>798</v>
      </c>
      <c r="C10" s="7">
        <f t="shared" si="2"/>
        <v>134.17599999999999</v>
      </c>
      <c r="D10" s="5">
        <f t="shared" si="3"/>
        <v>40</v>
      </c>
      <c r="E10" s="5" t="e">
        <f t="shared" si="0"/>
        <v>#N/A</v>
      </c>
      <c r="H10" s="17">
        <v>8</v>
      </c>
      <c r="I10">
        <v>128111</v>
      </c>
      <c r="J10" t="s">
        <v>1824</v>
      </c>
      <c r="K10">
        <v>659</v>
      </c>
      <c r="L10" s="20">
        <v>0.92</v>
      </c>
      <c r="M10" s="21">
        <v>1.3679619999999999</v>
      </c>
      <c r="N10" s="5" t="str">
        <f t="shared" si="4"/>
        <v>未买</v>
      </c>
      <c r="Q10" s="17">
        <v>8</v>
      </c>
      <c r="R10" s="7">
        <v>128040</v>
      </c>
      <c r="S10" s="7" t="s">
        <v>49</v>
      </c>
      <c r="T10" s="7">
        <f t="shared" si="5"/>
        <v>149.6</v>
      </c>
      <c r="U10" s="5" t="str">
        <f t="shared" si="1"/>
        <v>Yes</v>
      </c>
    </row>
    <row r="11" spans="1:21" x14ac:dyDescent="0.15">
      <c r="A11" s="1">
        <v>123137</v>
      </c>
      <c r="B11" s="1" t="s">
        <v>786</v>
      </c>
      <c r="C11" s="7">
        <f t="shared" si="2"/>
        <v>131.61000000000001</v>
      </c>
      <c r="D11" s="5">
        <f t="shared" si="3"/>
        <v>127</v>
      </c>
      <c r="E11" s="5" t="e">
        <f t="shared" si="0"/>
        <v>#N/A</v>
      </c>
      <c r="H11" s="17">
        <v>9</v>
      </c>
      <c r="I11">
        <v>128046</v>
      </c>
      <c r="J11" t="s">
        <v>800</v>
      </c>
      <c r="K11">
        <v>177.417</v>
      </c>
      <c r="L11" s="20">
        <v>1.33</v>
      </c>
      <c r="M11" s="21">
        <v>7.748437</v>
      </c>
      <c r="N11" s="5" t="str">
        <f t="shared" si="4"/>
        <v>Yes</v>
      </c>
      <c r="Q11" s="17">
        <v>9</v>
      </c>
      <c r="R11" s="7">
        <v>113537</v>
      </c>
      <c r="S11" s="7" t="s">
        <v>822</v>
      </c>
      <c r="T11" s="7">
        <f t="shared" si="5"/>
        <v>241.3</v>
      </c>
      <c r="U11" s="5" t="str">
        <f t="shared" si="1"/>
        <v>未买</v>
      </c>
    </row>
    <row r="12" spans="1:21" x14ac:dyDescent="0.15">
      <c r="A12" s="1">
        <v>127003</v>
      </c>
      <c r="B12" s="1" t="s">
        <v>53</v>
      </c>
      <c r="C12" s="7" t="e">
        <f t="shared" si="2"/>
        <v>#N/A</v>
      </c>
      <c r="D12" s="5" t="e">
        <f t="shared" si="3"/>
        <v>#N/A</v>
      </c>
      <c r="E12" s="5" t="e">
        <f t="shared" si="0"/>
        <v>#N/A</v>
      </c>
      <c r="H12" s="17">
        <v>10</v>
      </c>
      <c r="I12">
        <v>113615</v>
      </c>
      <c r="J12" t="s">
        <v>1825</v>
      </c>
      <c r="K12">
        <v>177.14</v>
      </c>
      <c r="L12" s="20">
        <v>1.4</v>
      </c>
      <c r="M12" s="21">
        <v>8.5466999999999995</v>
      </c>
      <c r="N12" s="5" t="str">
        <f t="shared" si="4"/>
        <v>未买</v>
      </c>
      <c r="Q12" s="17">
        <v>10</v>
      </c>
      <c r="R12" s="7">
        <v>113027</v>
      </c>
      <c r="S12" s="7" t="s">
        <v>46</v>
      </c>
      <c r="T12" s="7">
        <f t="shared" si="5"/>
        <v>180.4</v>
      </c>
      <c r="U12" s="5" t="str">
        <f t="shared" si="1"/>
        <v>Yes</v>
      </c>
    </row>
    <row r="13" spans="1:21" x14ac:dyDescent="0.15">
      <c r="A13" s="1">
        <v>127007</v>
      </c>
      <c r="B13" s="1" t="s">
        <v>808</v>
      </c>
      <c r="C13" s="7">
        <f t="shared" si="2"/>
        <v>174.05</v>
      </c>
      <c r="D13" s="5">
        <f t="shared" si="3"/>
        <v>29</v>
      </c>
      <c r="E13" s="5">
        <f t="shared" si="0"/>
        <v>11</v>
      </c>
      <c r="H13" s="17">
        <v>11</v>
      </c>
      <c r="I13">
        <v>118000</v>
      </c>
      <c r="J13" t="s">
        <v>1913</v>
      </c>
      <c r="K13">
        <v>177.14</v>
      </c>
      <c r="L13" s="20">
        <v>1.4</v>
      </c>
      <c r="M13" s="21">
        <v>8.5466999999999995</v>
      </c>
      <c r="N13" s="5" t="str">
        <f t="shared" si="4"/>
        <v>未买</v>
      </c>
      <c r="Q13" s="17">
        <v>11</v>
      </c>
      <c r="R13" s="7">
        <v>127007</v>
      </c>
      <c r="S13" s="7" t="s">
        <v>808</v>
      </c>
      <c r="T13" s="7">
        <f t="shared" si="5"/>
        <v>174.05</v>
      </c>
      <c r="U13" s="5" t="str">
        <f t="shared" si="1"/>
        <v>Yes</v>
      </c>
    </row>
    <row r="14" spans="1:21" x14ac:dyDescent="0.15">
      <c r="A14" s="1">
        <v>127030</v>
      </c>
      <c r="B14" s="1" t="s">
        <v>783</v>
      </c>
      <c r="C14" s="7">
        <f t="shared" si="2"/>
        <v>141.31299999999999</v>
      </c>
      <c r="D14" s="5">
        <f t="shared" si="3"/>
        <v>112</v>
      </c>
      <c r="E14" s="5" t="e">
        <f t="shared" si="0"/>
        <v>#N/A</v>
      </c>
      <c r="H14" s="17">
        <v>12</v>
      </c>
      <c r="I14">
        <v>123070</v>
      </c>
      <c r="J14" t="s">
        <v>1826</v>
      </c>
      <c r="K14">
        <v>219.99</v>
      </c>
      <c r="L14" s="20">
        <v>2.04</v>
      </c>
      <c r="M14" s="21">
        <v>5.5721239999999996</v>
      </c>
      <c r="N14" s="5" t="str">
        <f t="shared" si="4"/>
        <v>未买</v>
      </c>
      <c r="Q14" s="17">
        <v>12</v>
      </c>
      <c r="R14" s="7">
        <v>113016</v>
      </c>
      <c r="S14" s="7" t="s">
        <v>129</v>
      </c>
      <c r="T14" s="7">
        <f t="shared" si="5"/>
        <v>360.03</v>
      </c>
      <c r="U14" s="5" t="str">
        <f t="shared" si="1"/>
        <v>未买</v>
      </c>
    </row>
    <row r="15" spans="1:21" x14ac:dyDescent="0.15">
      <c r="A15" s="1">
        <v>128013</v>
      </c>
      <c r="B15" s="1" t="s">
        <v>52</v>
      </c>
      <c r="C15" s="7">
        <f t="shared" si="2"/>
        <v>110.75</v>
      </c>
      <c r="D15" s="5">
        <f t="shared" si="3"/>
        <v>24</v>
      </c>
      <c r="E15" s="5">
        <f t="shared" si="0"/>
        <v>21</v>
      </c>
      <c r="H15" s="17">
        <v>13</v>
      </c>
      <c r="I15">
        <v>127043</v>
      </c>
      <c r="J15" t="s">
        <v>1827</v>
      </c>
      <c r="K15">
        <v>158.30000000000001</v>
      </c>
      <c r="L15" s="20">
        <v>2.79</v>
      </c>
      <c r="M15" s="21">
        <v>11.586394</v>
      </c>
      <c r="N15" s="5" t="str">
        <f t="shared" si="4"/>
        <v>未买</v>
      </c>
      <c r="Q15" s="17">
        <v>13</v>
      </c>
      <c r="R15" s="7">
        <v>113548</v>
      </c>
      <c r="S15" s="7" t="s">
        <v>823</v>
      </c>
      <c r="T15" s="7">
        <f t="shared" si="5"/>
        <v>566.1</v>
      </c>
      <c r="U15" s="5" t="str">
        <f t="shared" si="1"/>
        <v>未买</v>
      </c>
    </row>
    <row r="16" spans="1:21" x14ac:dyDescent="0.15">
      <c r="A16" s="1">
        <v>128025</v>
      </c>
      <c r="B16" s="1" t="s">
        <v>50</v>
      </c>
      <c r="C16" s="7">
        <f t="shared" si="2"/>
        <v>123.099</v>
      </c>
      <c r="D16" s="5">
        <f t="shared" si="3"/>
        <v>97</v>
      </c>
      <c r="E16" s="5" t="e">
        <f t="shared" si="0"/>
        <v>#N/A</v>
      </c>
      <c r="H16" s="17">
        <v>14</v>
      </c>
      <c r="I16">
        <v>113541</v>
      </c>
      <c r="J16" t="s">
        <v>1828</v>
      </c>
      <c r="K16">
        <v>122.78</v>
      </c>
      <c r="L16" s="20">
        <v>3.18</v>
      </c>
      <c r="M16" s="21">
        <v>1.4928600000000001</v>
      </c>
      <c r="N16" s="5" t="str">
        <f t="shared" si="4"/>
        <v>Yes</v>
      </c>
      <c r="Q16" s="17">
        <v>14</v>
      </c>
      <c r="R16" s="7">
        <v>123046</v>
      </c>
      <c r="S16" s="7" t="s">
        <v>824</v>
      </c>
      <c r="T16" s="7">
        <f t="shared" si="5"/>
        <v>267</v>
      </c>
      <c r="U16" s="5" t="str">
        <f t="shared" si="1"/>
        <v>未买</v>
      </c>
    </row>
    <row r="17" spans="1:21" x14ac:dyDescent="0.15">
      <c r="A17" s="1">
        <v>128029</v>
      </c>
      <c r="B17" s="1" t="s">
        <v>799</v>
      </c>
      <c r="C17" s="7">
        <f t="shared" si="2"/>
        <v>160.20099999999999</v>
      </c>
      <c r="D17" s="5">
        <f t="shared" si="3"/>
        <v>43</v>
      </c>
      <c r="E17" s="5">
        <f t="shared" si="0"/>
        <v>18</v>
      </c>
      <c r="H17" s="17">
        <v>15</v>
      </c>
      <c r="I17">
        <v>113568</v>
      </c>
      <c r="J17" t="s">
        <v>132</v>
      </c>
      <c r="K17">
        <v>155.18</v>
      </c>
      <c r="L17" s="20">
        <v>4.05</v>
      </c>
      <c r="M17" s="21">
        <v>2.4309099999999999</v>
      </c>
      <c r="N17" s="5" t="str">
        <f t="shared" si="4"/>
        <v>Yes</v>
      </c>
      <c r="Q17" s="17">
        <v>15</v>
      </c>
      <c r="R17" s="7">
        <v>113568</v>
      </c>
      <c r="S17" s="7" t="s">
        <v>132</v>
      </c>
      <c r="T17" s="7">
        <f t="shared" si="5"/>
        <v>155.18</v>
      </c>
      <c r="U17" s="5" t="str">
        <f t="shared" si="1"/>
        <v>Yes</v>
      </c>
    </row>
    <row r="18" spans="1:21" x14ac:dyDescent="0.15">
      <c r="A18" s="1">
        <v>128036</v>
      </c>
      <c r="B18" s="1" t="s">
        <v>182</v>
      </c>
      <c r="C18" s="7">
        <f t="shared" si="2"/>
        <v>141.38900000000001</v>
      </c>
      <c r="D18" s="5">
        <f t="shared" si="3"/>
        <v>263</v>
      </c>
      <c r="E18" s="5">
        <f t="shared" si="0"/>
        <v>23</v>
      </c>
      <c r="H18" s="17">
        <v>16</v>
      </c>
      <c r="I18">
        <v>113025</v>
      </c>
      <c r="J18" t="s">
        <v>1829</v>
      </c>
      <c r="K18">
        <v>351.18</v>
      </c>
      <c r="L18" s="20">
        <v>5.49</v>
      </c>
      <c r="M18" s="21">
        <v>10.14791</v>
      </c>
      <c r="N18" s="5" t="str">
        <f t="shared" si="4"/>
        <v>未买</v>
      </c>
      <c r="Q18" s="17">
        <v>16</v>
      </c>
      <c r="R18" s="7">
        <v>128106</v>
      </c>
      <c r="S18" s="7" t="s">
        <v>803</v>
      </c>
      <c r="T18" s="7">
        <f t="shared" si="5"/>
        <v>151.94999999999999</v>
      </c>
      <c r="U18" s="5" t="str">
        <f t="shared" si="1"/>
        <v>Yes</v>
      </c>
    </row>
    <row r="19" spans="1:21" x14ac:dyDescent="0.15">
      <c r="A19" s="1">
        <v>128037</v>
      </c>
      <c r="B19" s="1" t="s">
        <v>73</v>
      </c>
      <c r="C19" s="7">
        <f t="shared" si="2"/>
        <v>115.593</v>
      </c>
      <c r="D19" s="5">
        <f t="shared" si="3"/>
        <v>89</v>
      </c>
      <c r="E19" s="5" t="e">
        <f t="shared" si="0"/>
        <v>#N/A</v>
      </c>
      <c r="H19" s="17">
        <v>17</v>
      </c>
      <c r="I19">
        <v>127040</v>
      </c>
      <c r="J19" t="s">
        <v>1830</v>
      </c>
      <c r="K19">
        <v>125.45099999999999</v>
      </c>
      <c r="L19" s="20">
        <v>5.69</v>
      </c>
      <c r="M19" s="21">
        <v>42.577635000000001</v>
      </c>
      <c r="N19" s="5" t="str">
        <f t="shared" si="4"/>
        <v>未买</v>
      </c>
      <c r="Q19" s="17">
        <v>17</v>
      </c>
      <c r="R19" s="7">
        <v>128091</v>
      </c>
      <c r="S19" s="7" t="s">
        <v>802</v>
      </c>
      <c r="T19" s="7">
        <f t="shared" si="5"/>
        <v>160.36000000000001</v>
      </c>
      <c r="U19" s="5" t="str">
        <f t="shared" si="1"/>
        <v>Yes</v>
      </c>
    </row>
    <row r="20" spans="1:21" x14ac:dyDescent="0.15">
      <c r="A20" s="1">
        <v>128040</v>
      </c>
      <c r="B20" s="1" t="s">
        <v>49</v>
      </c>
      <c r="C20" s="7">
        <f t="shared" si="2"/>
        <v>149.6</v>
      </c>
      <c r="D20" s="5">
        <f t="shared" si="3"/>
        <v>56</v>
      </c>
      <c r="E20" s="5">
        <f t="shared" si="0"/>
        <v>8</v>
      </c>
      <c r="H20" s="17">
        <v>18</v>
      </c>
      <c r="I20">
        <v>128141</v>
      </c>
      <c r="J20" t="s">
        <v>1831</v>
      </c>
      <c r="K20">
        <v>134.80000000000001</v>
      </c>
      <c r="L20" s="20">
        <v>5.78</v>
      </c>
      <c r="M20" s="21">
        <v>12.701748</v>
      </c>
      <c r="N20" s="5" t="str">
        <f t="shared" si="4"/>
        <v>未买</v>
      </c>
      <c r="Q20" s="17">
        <v>18</v>
      </c>
      <c r="R20" s="7">
        <v>128029</v>
      </c>
      <c r="S20" s="7" t="s">
        <v>799</v>
      </c>
      <c r="T20" s="7">
        <f t="shared" si="5"/>
        <v>160.20099999999999</v>
      </c>
      <c r="U20" s="5" t="str">
        <f t="shared" si="1"/>
        <v>Yes</v>
      </c>
    </row>
    <row r="21" spans="1:21" x14ac:dyDescent="0.15">
      <c r="A21" s="1">
        <v>128046</v>
      </c>
      <c r="B21" s="1" t="s">
        <v>800</v>
      </c>
      <c r="C21" s="7">
        <f t="shared" si="2"/>
        <v>177.417</v>
      </c>
      <c r="D21" s="5">
        <f t="shared" si="3"/>
        <v>9</v>
      </c>
      <c r="E21" s="5">
        <f t="shared" si="0"/>
        <v>32</v>
      </c>
      <c r="H21" s="17">
        <v>19</v>
      </c>
      <c r="I21">
        <v>123085</v>
      </c>
      <c r="J21" t="s">
        <v>1832</v>
      </c>
      <c r="K21">
        <v>137.03899999999999</v>
      </c>
      <c r="L21" s="20">
        <v>6.47</v>
      </c>
      <c r="M21" s="21">
        <v>8.4949070000000013</v>
      </c>
      <c r="N21" s="5" t="str">
        <f t="shared" si="4"/>
        <v>未买</v>
      </c>
      <c r="Q21" s="17">
        <v>19</v>
      </c>
      <c r="R21" s="7">
        <v>113504</v>
      </c>
      <c r="S21" s="7" t="s">
        <v>128</v>
      </c>
      <c r="T21" s="7">
        <f t="shared" si="5"/>
        <v>149.38</v>
      </c>
      <c r="U21" s="5" t="str">
        <f t="shared" si="1"/>
        <v>Yes</v>
      </c>
    </row>
    <row r="22" spans="1:21" x14ac:dyDescent="0.15">
      <c r="A22" s="1">
        <v>128053</v>
      </c>
      <c r="B22" s="1" t="s">
        <v>61</v>
      </c>
      <c r="C22" s="7">
        <f t="shared" si="2"/>
        <v>134.499</v>
      </c>
      <c r="D22" s="5">
        <f t="shared" si="3"/>
        <v>233</v>
      </c>
      <c r="E22" s="5" t="e">
        <f t="shared" si="0"/>
        <v>#N/A</v>
      </c>
      <c r="H22" s="17">
        <v>20</v>
      </c>
      <c r="I22">
        <v>128106</v>
      </c>
      <c r="J22" t="s">
        <v>1833</v>
      </c>
      <c r="K22">
        <v>151.94999999999999</v>
      </c>
      <c r="L22" s="20">
        <v>6.57</v>
      </c>
      <c r="M22" s="21">
        <v>2.8925260000000002</v>
      </c>
      <c r="N22" s="5" t="str">
        <f t="shared" si="4"/>
        <v>Yes</v>
      </c>
      <c r="Q22" s="17">
        <v>20</v>
      </c>
      <c r="R22" s="7">
        <v>128111</v>
      </c>
      <c r="S22" s="7" t="s">
        <v>825</v>
      </c>
      <c r="T22" s="7">
        <f t="shared" si="5"/>
        <v>659</v>
      </c>
      <c r="U22" s="5" t="str">
        <f t="shared" si="1"/>
        <v>未买</v>
      </c>
    </row>
    <row r="23" spans="1:21" x14ac:dyDescent="0.15">
      <c r="A23" s="1">
        <v>128066</v>
      </c>
      <c r="B23" s="1" t="s">
        <v>99</v>
      </c>
      <c r="C23" s="7">
        <f t="shared" si="2"/>
        <v>116.29</v>
      </c>
      <c r="D23" s="5">
        <f t="shared" si="3"/>
        <v>87</v>
      </c>
      <c r="E23" s="5" t="e">
        <f t="shared" si="0"/>
        <v>#N/A</v>
      </c>
      <c r="H23" s="17">
        <v>21</v>
      </c>
      <c r="I23">
        <v>123083</v>
      </c>
      <c r="J23" t="s">
        <v>114</v>
      </c>
      <c r="K23">
        <v>168.5</v>
      </c>
      <c r="L23" s="20">
        <v>8.3800000000000008</v>
      </c>
      <c r="M23" s="21">
        <v>5.482971</v>
      </c>
      <c r="N23" s="5" t="str">
        <f t="shared" si="4"/>
        <v>未买</v>
      </c>
      <c r="Q23" s="17">
        <v>21</v>
      </c>
      <c r="R23" s="7">
        <v>128013</v>
      </c>
      <c r="S23" s="7" t="s">
        <v>52</v>
      </c>
      <c r="T23" s="7">
        <f t="shared" si="5"/>
        <v>110.75</v>
      </c>
      <c r="U23" s="5" t="str">
        <f t="shared" si="1"/>
        <v>Yes</v>
      </c>
    </row>
    <row r="24" spans="1:21" x14ac:dyDescent="0.15">
      <c r="A24" s="1">
        <v>128076</v>
      </c>
      <c r="B24" s="1" t="s">
        <v>130</v>
      </c>
      <c r="C24" s="7">
        <f t="shared" si="2"/>
        <v>121.697</v>
      </c>
      <c r="D24" s="5">
        <f t="shared" si="3"/>
        <v>167</v>
      </c>
      <c r="E24" s="5">
        <f t="shared" si="0"/>
        <v>34</v>
      </c>
      <c r="H24" s="17">
        <v>22</v>
      </c>
      <c r="I24">
        <v>113585</v>
      </c>
      <c r="J24" t="s">
        <v>1834</v>
      </c>
      <c r="K24">
        <v>190.61</v>
      </c>
      <c r="L24" s="20">
        <v>8.5500000000000007</v>
      </c>
      <c r="M24" s="21">
        <v>1.0027999999999999</v>
      </c>
      <c r="N24" s="5" t="str">
        <f t="shared" si="4"/>
        <v>Yes</v>
      </c>
      <c r="Q24" s="17">
        <v>22</v>
      </c>
      <c r="R24" s="7">
        <v>113039</v>
      </c>
      <c r="S24" s="7" t="s">
        <v>45</v>
      </c>
      <c r="T24" s="7">
        <f t="shared" si="5"/>
        <v>134.77000000000001</v>
      </c>
      <c r="U24" s="5" t="str">
        <f t="shared" si="1"/>
        <v>Yes</v>
      </c>
    </row>
    <row r="25" spans="1:21" x14ac:dyDescent="0.15">
      <c r="A25" s="1">
        <v>128085</v>
      </c>
      <c r="B25" s="1" t="s">
        <v>801</v>
      </c>
      <c r="C25" s="7">
        <f t="shared" si="2"/>
        <v>114.839</v>
      </c>
      <c r="D25" s="5">
        <f t="shared" si="3"/>
        <v>121</v>
      </c>
      <c r="E25" s="5">
        <f t="shared" si="0"/>
        <v>4</v>
      </c>
      <c r="H25" s="17">
        <v>23</v>
      </c>
      <c r="I25">
        <v>128128</v>
      </c>
      <c r="J25" t="s">
        <v>1835</v>
      </c>
      <c r="K25">
        <v>151.5</v>
      </c>
      <c r="L25" s="20">
        <v>8.84</v>
      </c>
      <c r="M25" s="21">
        <v>6.8044089999999997</v>
      </c>
      <c r="N25" s="5" t="str">
        <f t="shared" si="4"/>
        <v>未买</v>
      </c>
      <c r="Q25" s="17">
        <v>23</v>
      </c>
      <c r="R25" s="7">
        <v>128036</v>
      </c>
      <c r="S25" s="7" t="s">
        <v>182</v>
      </c>
      <c r="T25" s="7">
        <f t="shared" si="5"/>
        <v>141.38900000000001</v>
      </c>
      <c r="U25" s="5" t="str">
        <f t="shared" si="1"/>
        <v>Yes</v>
      </c>
    </row>
    <row r="26" spans="1:21" x14ac:dyDescent="0.15">
      <c r="A26" s="1">
        <v>128091</v>
      </c>
      <c r="B26" s="1" t="s">
        <v>802</v>
      </c>
      <c r="C26" s="7">
        <f t="shared" si="2"/>
        <v>160.36000000000001</v>
      </c>
      <c r="D26" s="5">
        <f t="shared" si="3"/>
        <v>84</v>
      </c>
      <c r="E26" s="5">
        <f t="shared" si="0"/>
        <v>17</v>
      </c>
      <c r="H26" s="17">
        <v>24</v>
      </c>
      <c r="I26">
        <v>128013</v>
      </c>
      <c r="J26" t="s">
        <v>52</v>
      </c>
      <c r="K26">
        <v>110.75</v>
      </c>
      <c r="L26" s="20">
        <v>8.8699999999999992</v>
      </c>
      <c r="M26" s="21">
        <v>7.8508710000000015</v>
      </c>
      <c r="N26" s="5" t="str">
        <f t="shared" si="4"/>
        <v>Yes</v>
      </c>
      <c r="Q26" s="17">
        <v>24</v>
      </c>
      <c r="R26" s="7">
        <v>113570</v>
      </c>
      <c r="S26" s="7" t="s">
        <v>42</v>
      </c>
      <c r="T26" s="7">
        <f t="shared" si="5"/>
        <v>122.14</v>
      </c>
      <c r="U26" s="5" t="str">
        <f t="shared" si="1"/>
        <v>Yes</v>
      </c>
    </row>
    <row r="27" spans="1:21" x14ac:dyDescent="0.15">
      <c r="A27" s="1">
        <v>128100</v>
      </c>
      <c r="B27" s="1" t="s">
        <v>48</v>
      </c>
      <c r="C27" s="7">
        <f t="shared" si="2"/>
        <v>99.36</v>
      </c>
      <c r="D27" s="5">
        <f t="shared" si="3"/>
        <v>122</v>
      </c>
      <c r="E27" s="5">
        <f t="shared" si="0"/>
        <v>3</v>
      </c>
      <c r="H27" s="17">
        <v>25</v>
      </c>
      <c r="I27">
        <v>113534</v>
      </c>
      <c r="J27" t="s">
        <v>828</v>
      </c>
      <c r="K27">
        <v>220.53</v>
      </c>
      <c r="L27" s="20">
        <v>8.9</v>
      </c>
      <c r="M27" s="21">
        <v>4.0375399999999999</v>
      </c>
      <c r="N27" s="5" t="str">
        <f t="shared" si="4"/>
        <v>未买</v>
      </c>
      <c r="Q27" s="17">
        <v>25</v>
      </c>
      <c r="R27" s="7">
        <v>128017</v>
      </c>
      <c r="S27" s="7" t="s">
        <v>826</v>
      </c>
      <c r="T27" s="7">
        <f t="shared" si="5"/>
        <v>192.3</v>
      </c>
      <c r="U27" s="5" t="str">
        <f t="shared" si="1"/>
        <v>未买</v>
      </c>
    </row>
    <row r="28" spans="1:21" x14ac:dyDescent="0.15">
      <c r="A28" s="1">
        <v>128106</v>
      </c>
      <c r="B28" s="1" t="s">
        <v>803</v>
      </c>
      <c r="C28" s="7">
        <f t="shared" si="2"/>
        <v>151.94999999999999</v>
      </c>
      <c r="D28" s="5">
        <f t="shared" si="3"/>
        <v>20</v>
      </c>
      <c r="E28" s="5">
        <f t="shared" si="0"/>
        <v>16</v>
      </c>
      <c r="H28" s="17">
        <v>26</v>
      </c>
      <c r="I28">
        <v>110061</v>
      </c>
      <c r="J28" t="s">
        <v>1836</v>
      </c>
      <c r="K28">
        <v>140.19</v>
      </c>
      <c r="L28" s="20">
        <v>8.93</v>
      </c>
      <c r="M28" s="21">
        <v>39.61562</v>
      </c>
      <c r="N28" s="5" t="str">
        <f t="shared" si="4"/>
        <v>未买</v>
      </c>
      <c r="Q28" s="17">
        <v>26</v>
      </c>
      <c r="R28" s="7">
        <v>123057</v>
      </c>
      <c r="S28" s="7" t="s">
        <v>795</v>
      </c>
      <c r="T28" s="7">
        <f t="shared" si="5"/>
        <v>146</v>
      </c>
      <c r="U28" s="5" t="str">
        <f t="shared" si="1"/>
        <v>Yes</v>
      </c>
    </row>
    <row r="29" spans="1:21" x14ac:dyDescent="0.15">
      <c r="A29" s="1">
        <v>113027</v>
      </c>
      <c r="B29" s="1" t="s">
        <v>46</v>
      </c>
      <c r="C29" s="7">
        <f t="shared" si="2"/>
        <v>180.4</v>
      </c>
      <c r="D29" s="5">
        <f t="shared" si="3"/>
        <v>110</v>
      </c>
      <c r="E29" s="5">
        <f t="shared" si="0"/>
        <v>10</v>
      </c>
      <c r="H29" s="17">
        <v>27</v>
      </c>
      <c r="I29">
        <v>113537</v>
      </c>
      <c r="J29" t="s">
        <v>1837</v>
      </c>
      <c r="K29">
        <v>241.3</v>
      </c>
      <c r="L29" s="20">
        <v>9.0500000000000007</v>
      </c>
      <c r="M29" s="21">
        <v>1.4047400000000001</v>
      </c>
      <c r="N29" s="5" t="str">
        <f t="shared" si="4"/>
        <v>未买</v>
      </c>
      <c r="Q29" s="17">
        <v>27</v>
      </c>
      <c r="R29" s="7">
        <v>113030</v>
      </c>
      <c r="S29" s="7" t="s">
        <v>96</v>
      </c>
      <c r="T29" s="7">
        <f t="shared" si="5"/>
        <v>120.72</v>
      </c>
      <c r="U29" s="5" t="str">
        <f t="shared" si="1"/>
        <v>未买</v>
      </c>
    </row>
    <row r="30" spans="1:21" x14ac:dyDescent="0.15">
      <c r="A30" s="1">
        <v>113039</v>
      </c>
      <c r="B30" s="1" t="s">
        <v>45</v>
      </c>
      <c r="C30" s="7">
        <f t="shared" si="2"/>
        <v>134.77000000000001</v>
      </c>
      <c r="D30" s="5">
        <f t="shared" si="3"/>
        <v>53</v>
      </c>
      <c r="E30" s="5">
        <f t="shared" si="0"/>
        <v>22</v>
      </c>
      <c r="H30" s="17">
        <v>28</v>
      </c>
      <c r="I30">
        <v>123073</v>
      </c>
      <c r="J30" t="s">
        <v>1838</v>
      </c>
      <c r="K30">
        <v>201.46299999999999</v>
      </c>
      <c r="L30" s="20">
        <v>9.09</v>
      </c>
      <c r="M30" s="21">
        <v>2.5521029999999998</v>
      </c>
      <c r="N30" s="5" t="str">
        <f t="shared" si="4"/>
        <v>Yes</v>
      </c>
      <c r="Q30" s="17">
        <v>28</v>
      </c>
      <c r="R30" s="7">
        <v>123060</v>
      </c>
      <c r="S30" s="7" t="s">
        <v>827</v>
      </c>
      <c r="T30" s="7">
        <f t="shared" si="5"/>
        <v>169.90100000000001</v>
      </c>
      <c r="U30" s="5" t="str">
        <f t="shared" si="1"/>
        <v>未买</v>
      </c>
    </row>
    <row r="31" spans="1:21" x14ac:dyDescent="0.15">
      <c r="A31" s="1">
        <v>113504</v>
      </c>
      <c r="B31" s="1" t="s">
        <v>128</v>
      </c>
      <c r="C31" s="7">
        <f t="shared" si="2"/>
        <v>149.38</v>
      </c>
      <c r="D31" s="5">
        <f t="shared" si="3"/>
        <v>67</v>
      </c>
      <c r="E31" s="5">
        <f t="shared" si="0"/>
        <v>19</v>
      </c>
      <c r="H31" s="17">
        <v>29</v>
      </c>
      <c r="I31">
        <v>127007</v>
      </c>
      <c r="J31" t="s">
        <v>1839</v>
      </c>
      <c r="K31">
        <v>174.05</v>
      </c>
      <c r="L31" s="20">
        <v>9.1199999999999992</v>
      </c>
      <c r="M31" s="21">
        <v>3.6980269999999993</v>
      </c>
      <c r="N31" s="5" t="str">
        <f t="shared" si="4"/>
        <v>Yes</v>
      </c>
      <c r="Q31" s="17">
        <v>29</v>
      </c>
      <c r="R31" s="7">
        <v>123083</v>
      </c>
      <c r="S31" s="7" t="s">
        <v>114</v>
      </c>
      <c r="T31" s="7">
        <f t="shared" si="5"/>
        <v>168.5</v>
      </c>
      <c r="U31" s="5" t="str">
        <f t="shared" si="1"/>
        <v>未买</v>
      </c>
    </row>
    <row r="32" spans="1:21" x14ac:dyDescent="0.15">
      <c r="A32" s="1">
        <v>113525</v>
      </c>
      <c r="B32" s="1" t="s">
        <v>134</v>
      </c>
      <c r="C32" s="7">
        <f t="shared" si="2"/>
        <v>165.33</v>
      </c>
      <c r="D32" s="5">
        <f t="shared" si="3"/>
        <v>80</v>
      </c>
      <c r="E32" s="5">
        <f t="shared" si="0"/>
        <v>6</v>
      </c>
      <c r="H32" s="17">
        <v>30</v>
      </c>
      <c r="I32">
        <v>110077</v>
      </c>
      <c r="J32" t="s">
        <v>1840</v>
      </c>
      <c r="K32">
        <v>132.61000000000001</v>
      </c>
      <c r="L32" s="20">
        <v>9.18</v>
      </c>
      <c r="M32" s="21">
        <v>17.676649999999999</v>
      </c>
      <c r="N32" s="5" t="str">
        <f t="shared" si="4"/>
        <v>未买</v>
      </c>
      <c r="Q32" s="17">
        <v>30</v>
      </c>
      <c r="R32" s="7">
        <v>113534</v>
      </c>
      <c r="S32" s="7" t="s">
        <v>828</v>
      </c>
      <c r="T32" s="7">
        <f t="shared" si="5"/>
        <v>220.53</v>
      </c>
      <c r="U32" s="5" t="str">
        <f t="shared" si="1"/>
        <v>未买</v>
      </c>
    </row>
    <row r="33" spans="1:21" x14ac:dyDescent="0.15">
      <c r="A33" s="1">
        <v>113526</v>
      </c>
      <c r="B33" s="1" t="s">
        <v>144</v>
      </c>
      <c r="C33" s="7">
        <f t="shared" si="2"/>
        <v>136.65</v>
      </c>
      <c r="D33" s="5">
        <f t="shared" si="3"/>
        <v>157</v>
      </c>
      <c r="E33" s="5" t="e">
        <f t="shared" si="0"/>
        <v>#N/A</v>
      </c>
      <c r="H33" s="17">
        <v>31</v>
      </c>
      <c r="I33">
        <v>113626</v>
      </c>
      <c r="J33" t="s">
        <v>1841</v>
      </c>
      <c r="K33">
        <v>193.75</v>
      </c>
      <c r="L33" s="20">
        <v>10.39</v>
      </c>
      <c r="M33" s="21">
        <v>9.0150299999999994</v>
      </c>
      <c r="N33" s="5" t="str">
        <f t="shared" si="4"/>
        <v>未买</v>
      </c>
      <c r="Q33" s="17">
        <v>31</v>
      </c>
      <c r="R33" s="7">
        <v>128128</v>
      </c>
      <c r="S33" s="7" t="s">
        <v>829</v>
      </c>
      <c r="T33" s="7">
        <f t="shared" si="5"/>
        <v>151.5</v>
      </c>
      <c r="U33" s="5" t="str">
        <f t="shared" si="1"/>
        <v>未买</v>
      </c>
    </row>
    <row r="34" spans="1:21" x14ac:dyDescent="0.15">
      <c r="A34" s="1">
        <v>113541</v>
      </c>
      <c r="B34" s="1" t="s">
        <v>44</v>
      </c>
      <c r="C34" s="7">
        <f t="shared" si="2"/>
        <v>122.78</v>
      </c>
      <c r="D34" s="5">
        <f t="shared" si="3"/>
        <v>14</v>
      </c>
      <c r="E34" s="5">
        <f t="shared" si="0"/>
        <v>2</v>
      </c>
      <c r="H34" s="17">
        <v>32</v>
      </c>
      <c r="I34">
        <v>110053</v>
      </c>
      <c r="J34" t="s">
        <v>1842</v>
      </c>
      <c r="K34">
        <v>122.08</v>
      </c>
      <c r="L34" s="20">
        <v>10.59</v>
      </c>
      <c r="M34" s="21">
        <v>199.99213</v>
      </c>
      <c r="N34" s="5" t="str">
        <f t="shared" si="4"/>
        <v>未买</v>
      </c>
      <c r="Q34" s="17">
        <v>32</v>
      </c>
      <c r="R34" s="7">
        <v>128046</v>
      </c>
      <c r="S34" s="7" t="s">
        <v>800</v>
      </c>
      <c r="T34" s="7">
        <f t="shared" si="5"/>
        <v>177.417</v>
      </c>
      <c r="U34" s="5" t="str">
        <f t="shared" si="1"/>
        <v>Yes</v>
      </c>
    </row>
    <row r="35" spans="1:21" x14ac:dyDescent="0.15">
      <c r="A35" s="1">
        <v>113565</v>
      </c>
      <c r="B35" s="1" t="s">
        <v>123</v>
      </c>
      <c r="C35" s="7">
        <f t="shared" si="2"/>
        <v>121.87</v>
      </c>
      <c r="D35" s="5">
        <f t="shared" si="3"/>
        <v>217</v>
      </c>
      <c r="E35" s="5" t="e">
        <f t="shared" si="0"/>
        <v>#N/A</v>
      </c>
      <c r="H35" s="17">
        <v>33</v>
      </c>
      <c r="I35">
        <v>113599</v>
      </c>
      <c r="J35" t="s">
        <v>63</v>
      </c>
      <c r="K35">
        <v>134.25</v>
      </c>
      <c r="L35" s="20">
        <v>10.79</v>
      </c>
      <c r="M35" s="21">
        <v>7.1961500000000003</v>
      </c>
      <c r="N35" s="5" t="str">
        <f t="shared" si="4"/>
        <v>未买</v>
      </c>
      <c r="Q35" s="17">
        <v>33</v>
      </c>
      <c r="R35" s="7">
        <v>123045</v>
      </c>
      <c r="S35" s="7" t="s">
        <v>109</v>
      </c>
      <c r="T35" s="7">
        <f t="shared" si="5"/>
        <v>129.07900000000001</v>
      </c>
      <c r="U35" s="5" t="str">
        <f t="shared" ref="U35:U37" si="6">IF(ISNA(MATCH(R35,$A$2:$A$301,0)),"未买","Yes")</f>
        <v>Yes</v>
      </c>
    </row>
    <row r="36" spans="1:21" x14ac:dyDescent="0.15">
      <c r="A36" s="1">
        <v>113567</v>
      </c>
      <c r="B36" s="1" t="s">
        <v>43</v>
      </c>
      <c r="C36" s="7">
        <f t="shared" si="2"/>
        <v>129.85</v>
      </c>
      <c r="D36" s="5">
        <f t="shared" si="3"/>
        <v>34</v>
      </c>
      <c r="E36" s="5">
        <f t="shared" si="0"/>
        <v>5</v>
      </c>
      <c r="H36" s="17">
        <v>34</v>
      </c>
      <c r="I36">
        <v>113567</v>
      </c>
      <c r="J36" t="s">
        <v>1843</v>
      </c>
      <c r="K36">
        <v>129.85</v>
      </c>
      <c r="L36" s="20">
        <v>10.79</v>
      </c>
      <c r="M36" s="21">
        <v>1.9354100000000001</v>
      </c>
      <c r="N36" s="5" t="str">
        <f t="shared" si="4"/>
        <v>Yes</v>
      </c>
      <c r="Q36" s="17">
        <v>34</v>
      </c>
      <c r="R36" s="7">
        <v>128076</v>
      </c>
      <c r="S36" s="7" t="s">
        <v>130</v>
      </c>
      <c r="T36" s="7">
        <f t="shared" si="5"/>
        <v>121.697</v>
      </c>
      <c r="U36" s="5" t="str">
        <f t="shared" si="6"/>
        <v>Yes</v>
      </c>
    </row>
    <row r="37" spans="1:21" x14ac:dyDescent="0.15">
      <c r="A37" s="1">
        <v>113568</v>
      </c>
      <c r="B37" s="1" t="s">
        <v>132</v>
      </c>
      <c r="C37" s="7">
        <f t="shared" si="2"/>
        <v>155.18</v>
      </c>
      <c r="D37" s="5">
        <f t="shared" si="3"/>
        <v>15</v>
      </c>
      <c r="E37" s="5">
        <f t="shared" si="0"/>
        <v>15</v>
      </c>
      <c r="H37" s="17">
        <v>35</v>
      </c>
      <c r="I37">
        <v>110068</v>
      </c>
      <c r="J37" t="s">
        <v>1844</v>
      </c>
      <c r="K37">
        <v>120.16</v>
      </c>
      <c r="L37" s="20">
        <v>11.1</v>
      </c>
      <c r="M37" s="21">
        <v>19.99616</v>
      </c>
      <c r="N37" s="5" t="str">
        <f t="shared" si="4"/>
        <v>未买</v>
      </c>
      <c r="Q37" s="17">
        <v>35</v>
      </c>
      <c r="R37" s="7">
        <v>110055</v>
      </c>
      <c r="S37" s="7" t="s">
        <v>830</v>
      </c>
      <c r="T37" s="7">
        <f t="shared" si="5"/>
        <v>189.01</v>
      </c>
      <c r="U37" s="5" t="str">
        <f t="shared" si="6"/>
        <v>未买</v>
      </c>
    </row>
    <row r="38" spans="1:21" x14ac:dyDescent="0.15">
      <c r="A38" s="1">
        <v>113570</v>
      </c>
      <c r="B38" s="1" t="s">
        <v>42</v>
      </c>
      <c r="C38" s="7">
        <f t="shared" si="2"/>
        <v>122.14</v>
      </c>
      <c r="D38" s="5">
        <f t="shared" si="3"/>
        <v>68</v>
      </c>
      <c r="E38" s="5">
        <f t="shared" si="0"/>
        <v>24</v>
      </c>
      <c r="H38" s="17">
        <v>36</v>
      </c>
      <c r="I38">
        <v>113050</v>
      </c>
      <c r="J38" t="s">
        <v>1845</v>
      </c>
      <c r="K38">
        <v>122.51</v>
      </c>
      <c r="L38" s="20">
        <v>11.17</v>
      </c>
      <c r="M38" s="21">
        <v>169.83662000000001</v>
      </c>
      <c r="N38" s="5" t="str">
        <f t="shared" si="4"/>
        <v>未买</v>
      </c>
      <c r="Q38" s="17">
        <v>36</v>
      </c>
      <c r="U38" s="5"/>
    </row>
    <row r="39" spans="1:21" x14ac:dyDescent="0.15">
      <c r="A39" s="1">
        <v>113585</v>
      </c>
      <c r="B39" s="1" t="s">
        <v>809</v>
      </c>
      <c r="C39" s="7">
        <f t="shared" si="2"/>
        <v>190.61</v>
      </c>
      <c r="D39" s="5">
        <f t="shared" si="3"/>
        <v>22</v>
      </c>
      <c r="E39" s="5">
        <f t="shared" si="0"/>
        <v>7</v>
      </c>
      <c r="H39" s="17">
        <v>37</v>
      </c>
      <c r="I39">
        <v>128095</v>
      </c>
      <c r="J39" t="s">
        <v>1846</v>
      </c>
      <c r="K39">
        <v>365</v>
      </c>
      <c r="L39" s="20">
        <v>11.34</v>
      </c>
      <c r="M39" s="21">
        <v>4.5395649999999996</v>
      </c>
      <c r="N39" s="5" t="str">
        <f t="shared" si="4"/>
        <v>未买</v>
      </c>
      <c r="Q39" s="17">
        <v>37</v>
      </c>
      <c r="U39" s="5"/>
    </row>
    <row r="40" spans="1:21" x14ac:dyDescent="0.15">
      <c r="A40" s="1">
        <v>113591</v>
      </c>
      <c r="B40" s="1" t="s">
        <v>41</v>
      </c>
      <c r="C40" s="7">
        <f t="shared" si="2"/>
        <v>114.99</v>
      </c>
      <c r="D40" s="5">
        <f t="shared" si="3"/>
        <v>109</v>
      </c>
      <c r="E40" s="5" t="e">
        <f t="shared" si="0"/>
        <v>#N/A</v>
      </c>
      <c r="H40" s="17">
        <v>38</v>
      </c>
      <c r="I40">
        <v>123012</v>
      </c>
      <c r="J40" t="s">
        <v>1847</v>
      </c>
      <c r="K40">
        <v>168.976</v>
      </c>
      <c r="L40" s="20">
        <v>11.59</v>
      </c>
      <c r="M40" s="21">
        <v>1.223781</v>
      </c>
      <c r="N40" s="5" t="str">
        <f t="shared" si="4"/>
        <v>Yes</v>
      </c>
      <c r="Q40" s="17">
        <v>38</v>
      </c>
      <c r="U40" s="5"/>
    </row>
    <row r="41" spans="1:21" x14ac:dyDescent="0.15">
      <c r="D41" s="5"/>
      <c r="E41" s="5"/>
      <c r="H41" s="17">
        <v>39</v>
      </c>
      <c r="I41">
        <v>123080</v>
      </c>
      <c r="J41" t="s">
        <v>54</v>
      </c>
      <c r="K41">
        <v>130.09399999999999</v>
      </c>
      <c r="L41" s="20">
        <v>11.84</v>
      </c>
      <c r="M41" s="21">
        <v>2.4344640000000002</v>
      </c>
      <c r="N41" s="5" t="str">
        <f t="shared" si="4"/>
        <v>Yes</v>
      </c>
      <c r="Q41" s="17">
        <v>39</v>
      </c>
      <c r="U41" s="5"/>
    </row>
    <row r="42" spans="1:21" x14ac:dyDescent="0.15">
      <c r="D42" s="5"/>
      <c r="E42" s="5"/>
      <c r="H42" s="17">
        <v>40</v>
      </c>
      <c r="I42">
        <v>123089</v>
      </c>
      <c r="J42" t="s">
        <v>798</v>
      </c>
      <c r="K42">
        <v>134.17599999999999</v>
      </c>
      <c r="L42" s="20">
        <v>11.92</v>
      </c>
      <c r="M42" s="21">
        <v>3.0624280000000002</v>
      </c>
      <c r="N42" s="5" t="str">
        <f t="shared" si="4"/>
        <v>Yes</v>
      </c>
      <c r="Q42" s="17">
        <v>40</v>
      </c>
      <c r="U42" s="5"/>
    </row>
    <row r="43" spans="1:21" x14ac:dyDescent="0.15">
      <c r="D43" s="5"/>
      <c r="E43" s="5"/>
      <c r="H43" s="17">
        <v>41</v>
      </c>
      <c r="I43">
        <v>128114</v>
      </c>
      <c r="J43" t="s">
        <v>1848</v>
      </c>
      <c r="K43">
        <v>111.2</v>
      </c>
      <c r="L43" s="20">
        <v>12.12</v>
      </c>
      <c r="M43" s="21">
        <v>15.958168000000001</v>
      </c>
      <c r="N43" s="5" t="str">
        <f t="shared" si="4"/>
        <v>未买</v>
      </c>
      <c r="Q43" s="17">
        <v>41</v>
      </c>
    </row>
    <row r="44" spans="1:21" x14ac:dyDescent="0.15">
      <c r="D44" s="5"/>
      <c r="E44" s="5"/>
      <c r="H44" s="17">
        <v>42</v>
      </c>
      <c r="I44">
        <v>123067</v>
      </c>
      <c r="J44" t="s">
        <v>796</v>
      </c>
      <c r="K44">
        <v>152.595</v>
      </c>
      <c r="L44" s="20">
        <v>12.28</v>
      </c>
      <c r="M44" s="21">
        <v>2.397818</v>
      </c>
      <c r="N44" s="5" t="str">
        <f t="shared" si="4"/>
        <v>Yes</v>
      </c>
      <c r="Q44" s="17">
        <v>42</v>
      </c>
    </row>
    <row r="45" spans="1:21" x14ac:dyDescent="0.15">
      <c r="D45" s="5"/>
      <c r="E45" s="5"/>
      <c r="H45" s="17">
        <v>43</v>
      </c>
      <c r="I45">
        <v>128029</v>
      </c>
      <c r="J45" t="s">
        <v>1849</v>
      </c>
      <c r="K45">
        <v>160.20099999999999</v>
      </c>
      <c r="L45" s="20">
        <v>12.43</v>
      </c>
      <c r="M45" s="21">
        <v>9.0859769999999997</v>
      </c>
      <c r="N45" s="5" t="str">
        <f t="shared" si="4"/>
        <v>Yes</v>
      </c>
      <c r="Q45" s="17">
        <v>43</v>
      </c>
    </row>
    <row r="46" spans="1:21" x14ac:dyDescent="0.15">
      <c r="D46" s="5"/>
      <c r="E46" s="5"/>
      <c r="H46" s="17">
        <v>44</v>
      </c>
      <c r="I46">
        <v>128021</v>
      </c>
      <c r="J46" t="s">
        <v>51</v>
      </c>
      <c r="K46">
        <v>131.19900000000001</v>
      </c>
      <c r="L46" s="20">
        <v>12.93</v>
      </c>
      <c r="M46" s="21">
        <v>2.6520320000000002</v>
      </c>
      <c r="N46" s="5" t="str">
        <f t="shared" si="4"/>
        <v>未买</v>
      </c>
      <c r="Q46" s="17">
        <v>44</v>
      </c>
    </row>
    <row r="47" spans="1:21" x14ac:dyDescent="0.15">
      <c r="D47" s="5"/>
      <c r="E47" s="5"/>
      <c r="H47" s="17">
        <v>45</v>
      </c>
      <c r="I47">
        <v>113630</v>
      </c>
      <c r="J47" t="s">
        <v>188</v>
      </c>
      <c r="K47">
        <v>134.97999999999999</v>
      </c>
      <c r="L47" s="20">
        <v>13.02</v>
      </c>
      <c r="M47" s="21">
        <v>6.9976000000000003</v>
      </c>
      <c r="N47" s="5" t="str">
        <f t="shared" si="4"/>
        <v>未买</v>
      </c>
      <c r="Q47" s="17">
        <v>45</v>
      </c>
    </row>
    <row r="48" spans="1:21" x14ac:dyDescent="0.15">
      <c r="D48" s="5"/>
      <c r="E48" s="5"/>
      <c r="H48" s="17">
        <v>46</v>
      </c>
      <c r="I48">
        <v>123063</v>
      </c>
      <c r="J48" t="s">
        <v>91</v>
      </c>
      <c r="K48">
        <v>132.1</v>
      </c>
      <c r="L48" s="20">
        <v>13.2</v>
      </c>
      <c r="M48" s="21">
        <v>6.3457590000000001</v>
      </c>
      <c r="N48" s="5" t="str">
        <f t="shared" si="4"/>
        <v>未买</v>
      </c>
      <c r="Q48" s="17">
        <v>46</v>
      </c>
    </row>
    <row r="49" spans="4:17" x14ac:dyDescent="0.15">
      <c r="D49" s="5"/>
      <c r="E49" s="5"/>
      <c r="H49" s="17">
        <v>47</v>
      </c>
      <c r="I49">
        <v>123078</v>
      </c>
      <c r="J49" t="s">
        <v>1850</v>
      </c>
      <c r="K49">
        <v>150.23500000000001</v>
      </c>
      <c r="L49" s="20">
        <v>13.21</v>
      </c>
      <c r="M49" s="21">
        <v>6.1840869999999999</v>
      </c>
      <c r="N49" s="5" t="str">
        <f t="shared" si="4"/>
        <v>未买</v>
      </c>
      <c r="Q49" s="17">
        <v>47</v>
      </c>
    </row>
    <row r="50" spans="4:17" x14ac:dyDescent="0.15">
      <c r="D50" s="5"/>
      <c r="E50" s="5"/>
      <c r="H50" s="17">
        <v>48</v>
      </c>
      <c r="I50">
        <v>128017</v>
      </c>
      <c r="J50" t="s">
        <v>1851</v>
      </c>
      <c r="K50">
        <v>192.3</v>
      </c>
      <c r="L50" s="20">
        <v>13.91</v>
      </c>
      <c r="M50" s="21">
        <v>5.5183169999999997</v>
      </c>
      <c r="N50" s="5" t="str">
        <f t="shared" si="4"/>
        <v>未买</v>
      </c>
      <c r="Q50" s="17">
        <v>48</v>
      </c>
    </row>
    <row r="51" spans="4:17" x14ac:dyDescent="0.15">
      <c r="D51" s="5"/>
      <c r="E51" s="5"/>
      <c r="H51" s="17">
        <v>49</v>
      </c>
      <c r="I51">
        <v>128048</v>
      </c>
      <c r="J51" t="s">
        <v>1852</v>
      </c>
      <c r="K51">
        <v>122.985</v>
      </c>
      <c r="L51" s="20">
        <v>13.93</v>
      </c>
      <c r="M51" s="21">
        <v>24.970395</v>
      </c>
      <c r="N51" s="5" t="str">
        <f t="shared" si="4"/>
        <v>未买</v>
      </c>
      <c r="Q51" s="17">
        <v>49</v>
      </c>
    </row>
    <row r="52" spans="4:17" x14ac:dyDescent="0.15">
      <c r="D52" s="5"/>
      <c r="E52" s="5"/>
      <c r="H52" s="17">
        <v>50</v>
      </c>
      <c r="I52">
        <v>110064</v>
      </c>
      <c r="J52" t="s">
        <v>1853</v>
      </c>
      <c r="K52">
        <v>124.31</v>
      </c>
      <c r="L52" s="20">
        <v>13.99</v>
      </c>
      <c r="M52" s="21">
        <v>12.64597</v>
      </c>
      <c r="N52" s="5" t="str">
        <f t="shared" si="4"/>
        <v>未买</v>
      </c>
      <c r="Q52" s="17">
        <v>50</v>
      </c>
    </row>
    <row r="53" spans="4:17" x14ac:dyDescent="0.15">
      <c r="D53" s="5"/>
      <c r="E53" s="5"/>
      <c r="H53" s="17">
        <v>51</v>
      </c>
      <c r="I53">
        <v>128130</v>
      </c>
      <c r="J53" t="s">
        <v>106</v>
      </c>
      <c r="K53">
        <v>119.648</v>
      </c>
      <c r="L53" s="20">
        <v>14.27</v>
      </c>
      <c r="M53" s="21">
        <v>9.9868059999999996</v>
      </c>
      <c r="N53" s="5" t="str">
        <f t="shared" si="4"/>
        <v>未买</v>
      </c>
      <c r="Q53" s="17">
        <v>51</v>
      </c>
    </row>
    <row r="54" spans="4:17" x14ac:dyDescent="0.15">
      <c r="D54" s="5"/>
      <c r="E54" s="5"/>
      <c r="H54" s="17">
        <v>52</v>
      </c>
      <c r="I54">
        <v>128081</v>
      </c>
      <c r="J54" t="s">
        <v>92</v>
      </c>
      <c r="K54">
        <v>122.9</v>
      </c>
      <c r="L54" s="20">
        <v>14.62</v>
      </c>
      <c r="M54" s="21">
        <v>30.054950999999999</v>
      </c>
      <c r="N54" s="5" t="str">
        <f t="shared" si="4"/>
        <v>未买</v>
      </c>
      <c r="Q54" s="17">
        <v>52</v>
      </c>
    </row>
    <row r="55" spans="4:17" x14ac:dyDescent="0.15">
      <c r="D55" s="5"/>
      <c r="E55" s="5"/>
      <c r="H55" s="17">
        <v>53</v>
      </c>
      <c r="I55">
        <v>113039</v>
      </c>
      <c r="J55" t="s">
        <v>45</v>
      </c>
      <c r="K55">
        <v>134.77000000000001</v>
      </c>
      <c r="L55" s="20">
        <v>14.85</v>
      </c>
      <c r="M55" s="21">
        <v>2.88449</v>
      </c>
      <c r="N55" s="5" t="str">
        <f t="shared" si="4"/>
        <v>Yes</v>
      </c>
      <c r="Q55" s="17">
        <v>53</v>
      </c>
    </row>
    <row r="56" spans="4:17" x14ac:dyDescent="0.15">
      <c r="D56" s="5"/>
      <c r="E56" s="5"/>
      <c r="H56" s="17">
        <v>54</v>
      </c>
      <c r="I56">
        <v>110080</v>
      </c>
      <c r="J56" t="s">
        <v>232</v>
      </c>
      <c r="K56">
        <v>119.57</v>
      </c>
      <c r="L56" s="20">
        <v>15</v>
      </c>
      <c r="M56" s="21">
        <v>15.491210000000001</v>
      </c>
      <c r="N56" s="5" t="str">
        <f t="shared" si="4"/>
        <v>未买</v>
      </c>
      <c r="Q56" s="17">
        <v>54</v>
      </c>
    </row>
    <row r="57" spans="4:17" x14ac:dyDescent="0.15">
      <c r="D57" s="5"/>
      <c r="E57" s="5"/>
      <c r="H57" s="17">
        <v>55</v>
      </c>
      <c r="I57">
        <v>123060</v>
      </c>
      <c r="J57" t="s">
        <v>1854</v>
      </c>
      <c r="K57">
        <v>169.90100000000001</v>
      </c>
      <c r="L57" s="20">
        <v>15.23</v>
      </c>
      <c r="M57" s="21">
        <v>3.0963069999999999</v>
      </c>
      <c r="N57" s="5" t="str">
        <f t="shared" si="4"/>
        <v>未买</v>
      </c>
      <c r="Q57" s="17">
        <v>55</v>
      </c>
    </row>
    <row r="58" spans="4:17" x14ac:dyDescent="0.15">
      <c r="D58" s="5"/>
      <c r="E58" s="5"/>
      <c r="H58" s="17">
        <v>56</v>
      </c>
      <c r="I58">
        <v>128040</v>
      </c>
      <c r="J58" t="s">
        <v>1855</v>
      </c>
      <c r="K58">
        <v>149.6</v>
      </c>
      <c r="L58" s="20">
        <v>15.42</v>
      </c>
      <c r="M58" s="21">
        <v>2.0056020000000001</v>
      </c>
      <c r="N58" s="5" t="str">
        <f t="shared" si="4"/>
        <v>Yes</v>
      </c>
      <c r="Q58" s="17">
        <v>56</v>
      </c>
    </row>
    <row r="59" spans="4:17" x14ac:dyDescent="0.15">
      <c r="D59" s="5"/>
      <c r="E59" s="5"/>
      <c r="H59" s="17">
        <v>57</v>
      </c>
      <c r="I59">
        <v>127029</v>
      </c>
      <c r="J59" t="s">
        <v>1856</v>
      </c>
      <c r="K59">
        <v>125.1</v>
      </c>
      <c r="L59" s="20">
        <v>15.66</v>
      </c>
      <c r="M59" s="21">
        <v>8.1914259999999999</v>
      </c>
      <c r="N59" s="5" t="str">
        <f t="shared" si="4"/>
        <v>未买</v>
      </c>
      <c r="Q59" s="17">
        <v>57</v>
      </c>
    </row>
    <row r="60" spans="4:17" x14ac:dyDescent="0.15">
      <c r="D60" s="5"/>
      <c r="E60" s="5"/>
      <c r="H60" s="17">
        <v>58</v>
      </c>
      <c r="I60">
        <v>110085</v>
      </c>
      <c r="J60" t="s">
        <v>1857</v>
      </c>
      <c r="K60">
        <v>131.82</v>
      </c>
      <c r="L60" s="20">
        <v>15.89</v>
      </c>
      <c r="M60" s="21">
        <v>120</v>
      </c>
      <c r="N60" s="5" t="str">
        <f t="shared" si="4"/>
        <v>未买</v>
      </c>
      <c r="Q60" s="17">
        <v>58</v>
      </c>
    </row>
    <row r="61" spans="4:17" x14ac:dyDescent="0.15">
      <c r="D61" s="5"/>
      <c r="E61" s="5"/>
      <c r="H61" s="17">
        <v>59</v>
      </c>
      <c r="I61">
        <v>113055</v>
      </c>
      <c r="J61" t="s">
        <v>1858</v>
      </c>
      <c r="K61">
        <v>126.01</v>
      </c>
      <c r="L61" s="20">
        <v>16.03</v>
      </c>
      <c r="M61" s="21">
        <v>80</v>
      </c>
      <c r="N61" s="5" t="str">
        <f t="shared" si="4"/>
        <v>未买</v>
      </c>
      <c r="Q61" s="17">
        <v>59</v>
      </c>
    </row>
    <row r="62" spans="4:17" x14ac:dyDescent="0.15">
      <c r="D62" s="5"/>
      <c r="E62" s="5"/>
      <c r="H62" s="17">
        <v>60</v>
      </c>
      <c r="I62">
        <v>123023</v>
      </c>
      <c r="J62" t="s">
        <v>209</v>
      </c>
      <c r="K62">
        <v>117.59</v>
      </c>
      <c r="L62" s="20">
        <v>16.07</v>
      </c>
      <c r="M62" s="21">
        <v>5.2936360000000002</v>
      </c>
      <c r="N62" s="5" t="str">
        <f t="shared" si="4"/>
        <v>未买</v>
      </c>
      <c r="Q62" s="17">
        <v>60</v>
      </c>
    </row>
    <row r="63" spans="4:17" x14ac:dyDescent="0.15">
      <c r="D63" s="5"/>
      <c r="E63" s="5"/>
      <c r="H63" s="17">
        <v>61</v>
      </c>
      <c r="I63">
        <v>110079</v>
      </c>
      <c r="J63" t="s">
        <v>1859</v>
      </c>
      <c r="K63">
        <v>121.51</v>
      </c>
      <c r="L63" s="20">
        <v>16.14</v>
      </c>
      <c r="M63" s="21">
        <v>149.99064999999999</v>
      </c>
      <c r="N63" s="5" t="str">
        <f t="shared" si="4"/>
        <v>未买</v>
      </c>
      <c r="Q63" s="17">
        <v>61</v>
      </c>
    </row>
    <row r="64" spans="4:17" x14ac:dyDescent="0.15">
      <c r="D64" s="5"/>
      <c r="E64" s="5"/>
      <c r="H64" s="17">
        <v>62</v>
      </c>
      <c r="I64">
        <v>123057</v>
      </c>
      <c r="J64" t="s">
        <v>1860</v>
      </c>
      <c r="K64">
        <v>146</v>
      </c>
      <c r="L64" s="20">
        <v>16.170000000000002</v>
      </c>
      <c r="M64" s="21">
        <v>2.0650419999999996</v>
      </c>
      <c r="N64" s="5" t="str">
        <f t="shared" si="4"/>
        <v>Yes</v>
      </c>
      <c r="Q64" s="17">
        <v>62</v>
      </c>
    </row>
    <row r="65" spans="4:17" x14ac:dyDescent="0.15">
      <c r="D65" s="5"/>
      <c r="E65" s="5"/>
      <c r="H65" s="17">
        <v>63</v>
      </c>
      <c r="I65">
        <v>113044</v>
      </c>
      <c r="J65" t="s">
        <v>1861</v>
      </c>
      <c r="K65">
        <v>109.83</v>
      </c>
      <c r="L65" s="20">
        <v>16.649999999999999</v>
      </c>
      <c r="M65" s="21">
        <v>319.99041</v>
      </c>
      <c r="N65" s="5" t="str">
        <f t="shared" si="4"/>
        <v>未买</v>
      </c>
      <c r="Q65" s="17">
        <v>63</v>
      </c>
    </row>
    <row r="66" spans="4:17" x14ac:dyDescent="0.15">
      <c r="D66" s="5"/>
      <c r="E66" s="5"/>
      <c r="H66" s="17">
        <v>64</v>
      </c>
      <c r="I66">
        <v>123098</v>
      </c>
      <c r="J66" t="s">
        <v>1862</v>
      </c>
      <c r="K66">
        <v>130.30000000000001</v>
      </c>
      <c r="L66" s="20">
        <v>16.72</v>
      </c>
      <c r="M66" s="21">
        <v>4.2361180000000003</v>
      </c>
      <c r="N66" s="5" t="str">
        <f t="shared" si="4"/>
        <v>未买</v>
      </c>
      <c r="Q66" s="17">
        <v>64</v>
      </c>
    </row>
    <row r="67" spans="4:17" x14ac:dyDescent="0.15">
      <c r="D67" s="5"/>
      <c r="E67" s="5"/>
      <c r="H67" s="17">
        <v>65</v>
      </c>
      <c r="I67">
        <v>110048</v>
      </c>
      <c r="J67" t="s">
        <v>1863</v>
      </c>
      <c r="K67">
        <v>186.17</v>
      </c>
      <c r="L67" s="20">
        <v>16.82</v>
      </c>
      <c r="M67" s="21">
        <v>12.761939999999999</v>
      </c>
      <c r="N67" s="5" t="str">
        <f t="shared" si="4"/>
        <v>未买</v>
      </c>
      <c r="Q67" s="17">
        <v>65</v>
      </c>
    </row>
    <row r="68" spans="4:17" x14ac:dyDescent="0.15">
      <c r="D68" s="5"/>
      <c r="E68" s="5"/>
      <c r="H68" s="17">
        <v>66</v>
      </c>
      <c r="I68">
        <v>128087</v>
      </c>
      <c r="J68" t="s">
        <v>121</v>
      </c>
      <c r="K68">
        <v>115.723</v>
      </c>
      <c r="L68" s="20">
        <v>17.13</v>
      </c>
      <c r="M68" s="21">
        <v>6.4940579999999999</v>
      </c>
      <c r="N68" s="5" t="str">
        <f t="shared" ref="N68:N131" si="7">IF(ISNA(MATCH(I68,$A$3:$A$1000,0)),"未买","Yes")</f>
        <v>未买</v>
      </c>
      <c r="Q68" s="17">
        <v>66</v>
      </c>
    </row>
    <row r="69" spans="4:17" x14ac:dyDescent="0.15">
      <c r="D69" s="5"/>
      <c r="E69" s="5"/>
      <c r="H69" s="17">
        <v>67</v>
      </c>
      <c r="I69">
        <v>113504</v>
      </c>
      <c r="J69" t="s">
        <v>128</v>
      </c>
      <c r="K69">
        <v>149.38</v>
      </c>
      <c r="L69" s="20">
        <v>17.309999999999999</v>
      </c>
      <c r="M69" s="21">
        <v>4.6277299999999997</v>
      </c>
      <c r="N69" s="5" t="str">
        <f t="shared" si="7"/>
        <v>Yes</v>
      </c>
      <c r="Q69" s="17">
        <v>67</v>
      </c>
    </row>
    <row r="70" spans="4:17" x14ac:dyDescent="0.15">
      <c r="D70" s="5"/>
      <c r="E70" s="5"/>
      <c r="H70" s="17">
        <v>68</v>
      </c>
      <c r="I70">
        <v>113570</v>
      </c>
      <c r="J70" t="s">
        <v>42</v>
      </c>
      <c r="K70">
        <v>122.14</v>
      </c>
      <c r="L70" s="20">
        <v>17.48</v>
      </c>
      <c r="M70" s="21">
        <v>2.7993199999999998</v>
      </c>
      <c r="N70" s="5" t="str">
        <f t="shared" si="7"/>
        <v>Yes</v>
      </c>
      <c r="Q70" s="17">
        <v>68</v>
      </c>
    </row>
    <row r="71" spans="4:17" x14ac:dyDescent="0.15">
      <c r="D71" s="5"/>
      <c r="E71" s="5"/>
      <c r="H71" s="17">
        <v>69</v>
      </c>
      <c r="I71">
        <v>128119</v>
      </c>
      <c r="J71" t="s">
        <v>246</v>
      </c>
      <c r="K71">
        <v>125</v>
      </c>
      <c r="L71" s="20">
        <v>17.649999999999999</v>
      </c>
      <c r="M71" s="21">
        <v>9.4608120000000007</v>
      </c>
      <c r="N71" s="5" t="str">
        <f t="shared" si="7"/>
        <v>未买</v>
      </c>
      <c r="Q71" s="17">
        <v>69</v>
      </c>
    </row>
    <row r="72" spans="4:17" x14ac:dyDescent="0.15">
      <c r="D72" s="5"/>
      <c r="E72" s="5"/>
      <c r="H72" s="17">
        <v>70</v>
      </c>
      <c r="I72">
        <v>127058</v>
      </c>
      <c r="J72" t="s">
        <v>1864</v>
      </c>
      <c r="K72">
        <v>124</v>
      </c>
      <c r="L72" s="20">
        <v>17.73</v>
      </c>
      <c r="M72" s="21">
        <v>30</v>
      </c>
      <c r="N72" s="5" t="str">
        <f t="shared" si="7"/>
        <v>未买</v>
      </c>
      <c r="Q72" s="17">
        <v>70</v>
      </c>
    </row>
    <row r="73" spans="4:17" x14ac:dyDescent="0.15">
      <c r="D73" s="5"/>
      <c r="E73" s="5"/>
      <c r="H73" s="17">
        <v>71</v>
      </c>
      <c r="I73">
        <v>127038</v>
      </c>
      <c r="J73" t="s">
        <v>1865</v>
      </c>
      <c r="K73">
        <v>156.9</v>
      </c>
      <c r="L73" s="20">
        <v>18.13</v>
      </c>
      <c r="M73" s="21">
        <v>14.939162</v>
      </c>
      <c r="N73" s="5" t="str">
        <f t="shared" si="7"/>
        <v>未买</v>
      </c>
      <c r="Q73" s="17">
        <v>71</v>
      </c>
    </row>
    <row r="74" spans="4:17" x14ac:dyDescent="0.15">
      <c r="D74" s="5"/>
      <c r="E74" s="5"/>
      <c r="H74" s="17">
        <v>72</v>
      </c>
      <c r="I74">
        <v>110043</v>
      </c>
      <c r="J74" t="s">
        <v>1819</v>
      </c>
      <c r="K74">
        <v>116.88</v>
      </c>
      <c r="L74" s="20">
        <v>18.14</v>
      </c>
      <c r="M74" s="21">
        <v>29.2134</v>
      </c>
      <c r="N74" s="5" t="str">
        <f t="shared" si="7"/>
        <v>未买</v>
      </c>
      <c r="Q74" s="17">
        <v>72</v>
      </c>
    </row>
    <row r="75" spans="4:17" x14ac:dyDescent="0.15">
      <c r="D75" s="5"/>
      <c r="E75" s="5"/>
      <c r="H75" s="17">
        <v>73</v>
      </c>
      <c r="I75">
        <v>123114</v>
      </c>
      <c r="J75" t="s">
        <v>1866</v>
      </c>
      <c r="K75">
        <v>147.6</v>
      </c>
      <c r="L75" s="20">
        <v>18.39</v>
      </c>
      <c r="M75" s="21">
        <v>9.0091009999999994</v>
      </c>
      <c r="N75" s="5" t="str">
        <f t="shared" si="7"/>
        <v>未买</v>
      </c>
      <c r="Q75" s="17">
        <v>73</v>
      </c>
    </row>
    <row r="76" spans="4:17" x14ac:dyDescent="0.15">
      <c r="D76" s="5"/>
      <c r="E76" s="5"/>
      <c r="H76" s="17">
        <v>74</v>
      </c>
      <c r="I76">
        <v>113582</v>
      </c>
      <c r="J76" t="s">
        <v>1867</v>
      </c>
      <c r="K76">
        <v>191.24</v>
      </c>
      <c r="L76" s="20">
        <v>18.52</v>
      </c>
      <c r="M76" s="21">
        <v>4.1769800000000004</v>
      </c>
      <c r="N76" s="5" t="str">
        <f t="shared" si="7"/>
        <v>未买</v>
      </c>
      <c r="Q76" s="17">
        <v>74</v>
      </c>
    </row>
    <row r="77" spans="4:17" x14ac:dyDescent="0.15">
      <c r="D77" s="5"/>
      <c r="E77" s="5"/>
      <c r="H77" s="17">
        <v>75</v>
      </c>
      <c r="I77">
        <v>123103</v>
      </c>
      <c r="J77" t="s">
        <v>818</v>
      </c>
      <c r="K77">
        <v>138.33500000000001</v>
      </c>
      <c r="L77" s="20">
        <v>18.55</v>
      </c>
      <c r="M77" s="21">
        <v>2.4949629999999998</v>
      </c>
      <c r="N77" s="5" t="str">
        <f t="shared" si="7"/>
        <v>未买</v>
      </c>
      <c r="Q77" s="17">
        <v>75</v>
      </c>
    </row>
    <row r="78" spans="4:17" x14ac:dyDescent="0.15">
      <c r="D78" s="5"/>
      <c r="E78" s="5"/>
      <c r="H78" s="17">
        <v>76</v>
      </c>
      <c r="I78">
        <v>128034</v>
      </c>
      <c r="J78" t="s">
        <v>1868</v>
      </c>
      <c r="K78">
        <v>116.657</v>
      </c>
      <c r="L78" s="20">
        <v>18.66</v>
      </c>
      <c r="M78" s="21">
        <v>17.580943999999999</v>
      </c>
      <c r="N78" s="5" t="str">
        <f t="shared" si="7"/>
        <v>未买</v>
      </c>
      <c r="Q78" s="17">
        <v>76</v>
      </c>
    </row>
    <row r="79" spans="4:17" x14ac:dyDescent="0.15">
      <c r="D79" s="5"/>
      <c r="E79" s="5"/>
      <c r="H79" s="17">
        <v>77</v>
      </c>
      <c r="I79">
        <v>113620</v>
      </c>
      <c r="J79" t="s">
        <v>1869</v>
      </c>
      <c r="K79">
        <v>132.65</v>
      </c>
      <c r="L79" s="20">
        <v>18.920000000000002</v>
      </c>
      <c r="M79" s="21">
        <v>8.4637399999999996</v>
      </c>
      <c r="N79" s="5" t="str">
        <f t="shared" si="7"/>
        <v>未买</v>
      </c>
      <c r="Q79" s="17">
        <v>77</v>
      </c>
    </row>
    <row r="80" spans="4:17" x14ac:dyDescent="0.15">
      <c r="D80" s="5"/>
      <c r="E80" s="5"/>
      <c r="H80" s="17">
        <v>78</v>
      </c>
      <c r="I80">
        <v>128082</v>
      </c>
      <c r="J80" t="s">
        <v>1870</v>
      </c>
      <c r="K80">
        <v>140.30000000000001</v>
      </c>
      <c r="L80" s="20">
        <v>18.940000000000001</v>
      </c>
      <c r="M80" s="21">
        <v>2.0338740000000004</v>
      </c>
      <c r="N80" s="5" t="str">
        <f t="shared" si="7"/>
        <v>未买</v>
      </c>
      <c r="Q80" s="17">
        <v>78</v>
      </c>
    </row>
    <row r="81" spans="4:17" x14ac:dyDescent="0.15">
      <c r="D81" s="5"/>
      <c r="E81" s="5"/>
      <c r="H81" s="17">
        <v>79</v>
      </c>
      <c r="I81">
        <v>110074</v>
      </c>
      <c r="J81" t="s">
        <v>1871</v>
      </c>
      <c r="K81">
        <v>147.96</v>
      </c>
      <c r="L81" s="20">
        <v>19.2</v>
      </c>
      <c r="M81" s="21">
        <v>5.09626</v>
      </c>
      <c r="N81" s="5" t="str">
        <f t="shared" si="7"/>
        <v>未买</v>
      </c>
      <c r="Q81" s="17">
        <v>79</v>
      </c>
    </row>
    <row r="82" spans="4:17" x14ac:dyDescent="0.15">
      <c r="D82" s="5"/>
      <c r="E82" s="5"/>
      <c r="H82" s="17">
        <v>80</v>
      </c>
      <c r="I82">
        <v>113525</v>
      </c>
      <c r="J82" t="s">
        <v>1872</v>
      </c>
      <c r="K82">
        <v>165.33</v>
      </c>
      <c r="L82" s="20">
        <v>19.21</v>
      </c>
      <c r="M82" s="21">
        <v>1.85362</v>
      </c>
      <c r="N82" s="5" t="str">
        <f t="shared" si="7"/>
        <v>Yes</v>
      </c>
      <c r="Q82" s="17">
        <v>80</v>
      </c>
    </row>
    <row r="83" spans="4:17" x14ac:dyDescent="0.15">
      <c r="D83" s="5"/>
      <c r="E83" s="5"/>
      <c r="H83" s="17">
        <v>81</v>
      </c>
      <c r="I83">
        <v>128022</v>
      </c>
      <c r="J83" t="s">
        <v>159</v>
      </c>
      <c r="K83">
        <v>125.108</v>
      </c>
      <c r="L83" s="20">
        <v>19.670000000000002</v>
      </c>
      <c r="M83" s="21">
        <v>4.5522499999999999</v>
      </c>
      <c r="N83" s="5" t="str">
        <f t="shared" si="7"/>
        <v>未买</v>
      </c>
      <c r="Q83" s="17">
        <v>81</v>
      </c>
    </row>
    <row r="84" spans="4:17" x14ac:dyDescent="0.15">
      <c r="D84" s="5"/>
      <c r="E84" s="5"/>
      <c r="H84" s="17">
        <v>82</v>
      </c>
      <c r="I84">
        <v>113011</v>
      </c>
      <c r="J84" t="s">
        <v>1873</v>
      </c>
      <c r="K84">
        <v>105.57</v>
      </c>
      <c r="L84" s="20">
        <v>19.73</v>
      </c>
      <c r="M84" s="21">
        <v>241.98865000000001</v>
      </c>
      <c r="N84" s="5" t="str">
        <f t="shared" si="7"/>
        <v>未买</v>
      </c>
      <c r="Q84" s="17">
        <v>82</v>
      </c>
    </row>
    <row r="85" spans="4:17" x14ac:dyDescent="0.15">
      <c r="D85" s="5"/>
      <c r="E85" s="5"/>
      <c r="H85" s="17">
        <v>83</v>
      </c>
      <c r="I85">
        <v>113051</v>
      </c>
      <c r="J85" t="s">
        <v>1874</v>
      </c>
      <c r="K85">
        <v>131.87</v>
      </c>
      <c r="L85" s="20">
        <v>19.88</v>
      </c>
      <c r="M85" s="21">
        <v>29.9909</v>
      </c>
      <c r="N85" s="5" t="str">
        <f t="shared" si="7"/>
        <v>未买</v>
      </c>
      <c r="Q85" s="17">
        <v>83</v>
      </c>
    </row>
    <row r="86" spans="4:17" x14ac:dyDescent="0.15">
      <c r="D86" s="5"/>
      <c r="E86" s="5"/>
      <c r="H86" s="17">
        <v>84</v>
      </c>
      <c r="I86">
        <v>128091</v>
      </c>
      <c r="J86" t="s">
        <v>1875</v>
      </c>
      <c r="K86">
        <v>160.36000000000001</v>
      </c>
      <c r="L86" s="20">
        <v>19.91</v>
      </c>
      <c r="M86" s="21">
        <v>1.5412429999999999</v>
      </c>
      <c r="N86" s="5" t="str">
        <f t="shared" si="7"/>
        <v>Yes</v>
      </c>
      <c r="Q86" s="17">
        <v>84</v>
      </c>
    </row>
    <row r="87" spans="4:17" x14ac:dyDescent="0.15">
      <c r="D87" s="5"/>
      <c r="E87" s="5"/>
      <c r="H87" s="17">
        <v>85</v>
      </c>
      <c r="I87">
        <v>110083</v>
      </c>
      <c r="J87" t="s">
        <v>1876</v>
      </c>
      <c r="K87">
        <v>115.37</v>
      </c>
      <c r="L87" s="20">
        <v>20.25</v>
      </c>
      <c r="M87" s="21">
        <v>49.998559999999998</v>
      </c>
      <c r="N87" s="5" t="str">
        <f t="shared" si="7"/>
        <v>未买</v>
      </c>
      <c r="Q87" s="17">
        <v>85</v>
      </c>
    </row>
    <row r="88" spans="4:17" x14ac:dyDescent="0.15">
      <c r="D88" s="5"/>
      <c r="E88" s="5"/>
      <c r="H88" s="17">
        <v>86</v>
      </c>
      <c r="I88">
        <v>127045</v>
      </c>
      <c r="J88" t="s">
        <v>1877</v>
      </c>
      <c r="K88">
        <v>124.32</v>
      </c>
      <c r="L88" s="20">
        <v>20.29</v>
      </c>
      <c r="M88" s="21">
        <v>95.480232999999998</v>
      </c>
      <c r="N88" s="5" t="str">
        <f t="shared" si="7"/>
        <v>未买</v>
      </c>
      <c r="Q88" s="17">
        <v>86</v>
      </c>
    </row>
    <row r="89" spans="4:17" x14ac:dyDescent="0.15">
      <c r="D89" s="5"/>
      <c r="E89" s="5"/>
      <c r="H89" s="17">
        <v>87</v>
      </c>
      <c r="I89">
        <v>128066</v>
      </c>
      <c r="J89" t="s">
        <v>99</v>
      </c>
      <c r="K89">
        <v>116.29</v>
      </c>
      <c r="L89" s="20">
        <v>20.309999999999999</v>
      </c>
      <c r="M89" s="21">
        <v>4.6106319999999998</v>
      </c>
      <c r="N89" s="5" t="str">
        <f t="shared" si="7"/>
        <v>Yes</v>
      </c>
      <c r="Q89" s="17">
        <v>87</v>
      </c>
    </row>
    <row r="90" spans="4:17" x14ac:dyDescent="0.15">
      <c r="D90" s="5"/>
      <c r="E90" s="5"/>
      <c r="H90" s="17">
        <v>88</v>
      </c>
      <c r="I90">
        <v>113033</v>
      </c>
      <c r="J90" t="s">
        <v>90</v>
      </c>
      <c r="K90">
        <v>110.48</v>
      </c>
      <c r="L90" s="20">
        <v>20.440000000000001</v>
      </c>
      <c r="M90" s="21">
        <v>17.99794</v>
      </c>
      <c r="N90" s="5" t="str">
        <f t="shared" si="7"/>
        <v>未买</v>
      </c>
      <c r="Q90" s="17">
        <v>88</v>
      </c>
    </row>
    <row r="91" spans="4:17" x14ac:dyDescent="0.15">
      <c r="D91" s="5"/>
      <c r="E91" s="5"/>
      <c r="H91" s="17">
        <v>89</v>
      </c>
      <c r="I91">
        <v>128037</v>
      </c>
      <c r="J91" t="s">
        <v>73</v>
      </c>
      <c r="K91">
        <v>115.593</v>
      </c>
      <c r="L91" s="20">
        <v>20.65</v>
      </c>
      <c r="M91" s="21">
        <v>6.0227959999999996</v>
      </c>
      <c r="N91" s="5" t="str">
        <f t="shared" si="7"/>
        <v>Yes</v>
      </c>
      <c r="Q91" s="17">
        <v>89</v>
      </c>
    </row>
    <row r="92" spans="4:17" x14ac:dyDescent="0.15">
      <c r="D92" s="5"/>
      <c r="E92" s="5"/>
      <c r="H92" s="17">
        <v>90</v>
      </c>
      <c r="I92">
        <v>123091</v>
      </c>
      <c r="J92" t="s">
        <v>244</v>
      </c>
      <c r="K92">
        <v>130.62700000000001</v>
      </c>
      <c r="L92" s="20">
        <v>20.66</v>
      </c>
      <c r="M92" s="21">
        <v>5.497617</v>
      </c>
      <c r="N92" s="5" t="str">
        <f t="shared" si="7"/>
        <v>未买</v>
      </c>
      <c r="Q92" s="17">
        <v>90</v>
      </c>
    </row>
    <row r="93" spans="4:17" x14ac:dyDescent="0.15">
      <c r="D93" s="5"/>
      <c r="E93" s="5"/>
      <c r="H93" s="17">
        <v>91</v>
      </c>
      <c r="I93">
        <v>110084</v>
      </c>
      <c r="J93" t="s">
        <v>276</v>
      </c>
      <c r="K93">
        <v>116.01</v>
      </c>
      <c r="L93" s="20">
        <v>20.69</v>
      </c>
      <c r="M93" s="21">
        <v>10</v>
      </c>
      <c r="N93" s="5" t="str">
        <f t="shared" si="7"/>
        <v>未买</v>
      </c>
      <c r="Q93" s="17">
        <v>91</v>
      </c>
    </row>
    <row r="94" spans="4:17" x14ac:dyDescent="0.15">
      <c r="D94" s="5"/>
      <c r="E94" s="5"/>
      <c r="H94" s="17">
        <v>92</v>
      </c>
      <c r="I94">
        <v>127039</v>
      </c>
      <c r="J94" t="s">
        <v>1878</v>
      </c>
      <c r="K94">
        <v>121.54</v>
      </c>
      <c r="L94" s="20">
        <v>20.8</v>
      </c>
      <c r="M94" s="21">
        <v>17.631639000000003</v>
      </c>
      <c r="N94" s="5" t="str">
        <f t="shared" si="7"/>
        <v>未买</v>
      </c>
      <c r="Q94" s="17">
        <v>92</v>
      </c>
    </row>
    <row r="95" spans="4:17" x14ac:dyDescent="0.15">
      <c r="D95" s="5"/>
      <c r="E95" s="5"/>
      <c r="H95" s="17">
        <v>93</v>
      </c>
      <c r="I95">
        <v>128075</v>
      </c>
      <c r="J95" t="s">
        <v>125</v>
      </c>
      <c r="K95">
        <v>120.7</v>
      </c>
      <c r="L95" s="20">
        <v>20.93</v>
      </c>
      <c r="M95" s="21">
        <v>5.4375910000000003</v>
      </c>
      <c r="N95" s="5" t="str">
        <f t="shared" si="7"/>
        <v>未买</v>
      </c>
      <c r="Q95" s="17">
        <v>93</v>
      </c>
    </row>
    <row r="96" spans="4:17" x14ac:dyDescent="0.15">
      <c r="D96" s="5"/>
      <c r="E96" s="5"/>
      <c r="H96" s="17">
        <v>94</v>
      </c>
      <c r="I96">
        <v>123146</v>
      </c>
      <c r="J96" t="s">
        <v>1879</v>
      </c>
      <c r="K96">
        <v>115.03</v>
      </c>
      <c r="L96" s="20">
        <v>21.02</v>
      </c>
      <c r="M96" s="21">
        <v>8.64</v>
      </c>
      <c r="N96" s="5" t="str">
        <f t="shared" si="7"/>
        <v>未买</v>
      </c>
      <c r="Q96" s="17">
        <v>94</v>
      </c>
    </row>
    <row r="97" spans="4:17" x14ac:dyDescent="0.15">
      <c r="D97" s="5"/>
      <c r="E97" s="5"/>
      <c r="H97" s="17">
        <v>95</v>
      </c>
      <c r="I97">
        <v>113637</v>
      </c>
      <c r="J97" t="s">
        <v>273</v>
      </c>
      <c r="K97">
        <v>136.82</v>
      </c>
      <c r="L97" s="20">
        <v>21.15</v>
      </c>
      <c r="M97" s="21">
        <v>8</v>
      </c>
      <c r="N97" s="5" t="str">
        <f t="shared" si="7"/>
        <v>未买</v>
      </c>
      <c r="Q97" s="17">
        <v>95</v>
      </c>
    </row>
    <row r="98" spans="4:17" x14ac:dyDescent="0.15">
      <c r="D98" s="5"/>
      <c r="E98" s="5"/>
      <c r="H98" s="17">
        <v>96</v>
      </c>
      <c r="I98">
        <v>123097</v>
      </c>
      <c r="J98" t="s">
        <v>126</v>
      </c>
      <c r="K98">
        <v>120.5</v>
      </c>
      <c r="L98" s="20">
        <v>21.29</v>
      </c>
      <c r="M98" s="21">
        <v>2.9987979999999999</v>
      </c>
      <c r="N98" s="5" t="str">
        <f t="shared" si="7"/>
        <v>未买</v>
      </c>
      <c r="Q98" s="17">
        <v>96</v>
      </c>
    </row>
    <row r="99" spans="4:17" x14ac:dyDescent="0.15">
      <c r="D99" s="5"/>
      <c r="E99" s="5"/>
      <c r="H99" s="17">
        <v>97</v>
      </c>
      <c r="I99">
        <v>128025</v>
      </c>
      <c r="J99" t="s">
        <v>50</v>
      </c>
      <c r="K99">
        <v>123.099</v>
      </c>
      <c r="L99" s="20">
        <v>21.62</v>
      </c>
      <c r="M99" s="21">
        <v>2.9767440000000001</v>
      </c>
      <c r="N99" s="5" t="str">
        <f t="shared" si="7"/>
        <v>Yes</v>
      </c>
      <c r="Q99" s="17">
        <v>97</v>
      </c>
    </row>
    <row r="100" spans="4:17" x14ac:dyDescent="0.15">
      <c r="D100" s="5"/>
      <c r="E100" s="5"/>
      <c r="H100" s="17">
        <v>98</v>
      </c>
      <c r="I100">
        <v>113618</v>
      </c>
      <c r="J100" t="s">
        <v>1880</v>
      </c>
      <c r="K100">
        <v>142.06</v>
      </c>
      <c r="L100" s="20">
        <v>21.89</v>
      </c>
      <c r="M100" s="21">
        <v>4.7717900000000002</v>
      </c>
      <c r="N100" s="5" t="str">
        <f t="shared" si="7"/>
        <v>未买</v>
      </c>
      <c r="Q100" s="17">
        <v>98</v>
      </c>
    </row>
    <row r="101" spans="4:17" x14ac:dyDescent="0.15">
      <c r="D101" s="5"/>
      <c r="E101" s="5"/>
      <c r="H101" s="17">
        <v>99</v>
      </c>
      <c r="I101">
        <v>113634</v>
      </c>
      <c r="J101" t="s">
        <v>252</v>
      </c>
      <c r="K101">
        <v>130.22</v>
      </c>
      <c r="L101" s="20">
        <v>21.93</v>
      </c>
      <c r="M101" s="21">
        <v>7.5171299999999999</v>
      </c>
      <c r="N101" s="5" t="str">
        <f t="shared" si="7"/>
        <v>未买</v>
      </c>
      <c r="Q101" s="17">
        <v>99</v>
      </c>
    </row>
    <row r="102" spans="4:17" x14ac:dyDescent="0.15">
      <c r="H102" s="17">
        <v>100</v>
      </c>
      <c r="I102">
        <v>123107</v>
      </c>
      <c r="J102" t="s">
        <v>1881</v>
      </c>
      <c r="K102">
        <v>123.3</v>
      </c>
      <c r="L102" s="20">
        <v>21.98</v>
      </c>
      <c r="M102" s="21">
        <v>92.962732000000003</v>
      </c>
      <c r="N102" s="5" t="str">
        <f t="shared" si="7"/>
        <v>未买</v>
      </c>
      <c r="Q102" s="17">
        <v>100</v>
      </c>
    </row>
    <row r="103" spans="4:17" x14ac:dyDescent="0.15">
      <c r="H103" s="17">
        <v>101</v>
      </c>
      <c r="I103">
        <v>128083</v>
      </c>
      <c r="J103" t="s">
        <v>190</v>
      </c>
      <c r="K103">
        <v>117.6</v>
      </c>
      <c r="L103" s="20">
        <v>22.06</v>
      </c>
      <c r="M103" s="21">
        <v>8.7688389999999998</v>
      </c>
      <c r="N103" s="5" t="str">
        <f t="shared" si="7"/>
        <v>未买</v>
      </c>
      <c r="Q103" s="17">
        <v>101</v>
      </c>
    </row>
    <row r="104" spans="4:17" x14ac:dyDescent="0.15">
      <c r="H104" s="17">
        <v>102</v>
      </c>
      <c r="I104">
        <v>110038</v>
      </c>
      <c r="J104" t="s">
        <v>102</v>
      </c>
      <c r="K104">
        <v>124.12</v>
      </c>
      <c r="L104" s="20">
        <v>22.08</v>
      </c>
      <c r="M104" s="21">
        <v>6.3024399999999998</v>
      </c>
      <c r="N104" s="5" t="str">
        <f t="shared" si="7"/>
        <v>未买</v>
      </c>
      <c r="Q104" s="17">
        <v>102</v>
      </c>
    </row>
    <row r="105" spans="4:17" x14ac:dyDescent="0.15">
      <c r="H105" s="17">
        <v>103</v>
      </c>
      <c r="I105">
        <v>128140</v>
      </c>
      <c r="J105" t="s">
        <v>1882</v>
      </c>
      <c r="K105">
        <v>141.708</v>
      </c>
      <c r="L105" s="20">
        <v>22.1</v>
      </c>
      <c r="M105" s="21">
        <v>10.896411000000001</v>
      </c>
      <c r="N105" s="5" t="str">
        <f t="shared" si="7"/>
        <v>未买</v>
      </c>
      <c r="Q105" s="17">
        <v>103</v>
      </c>
    </row>
    <row r="106" spans="4:17" x14ac:dyDescent="0.15">
      <c r="H106" s="17">
        <v>104</v>
      </c>
      <c r="I106">
        <v>123130</v>
      </c>
      <c r="J106" t="s">
        <v>71</v>
      </c>
      <c r="K106">
        <v>146.19999999999999</v>
      </c>
      <c r="L106" s="20">
        <v>22.26</v>
      </c>
      <c r="M106" s="21">
        <v>3.7563980000000008</v>
      </c>
      <c r="N106" s="5" t="str">
        <f t="shared" si="7"/>
        <v>未买</v>
      </c>
      <c r="Q106" s="17">
        <v>104</v>
      </c>
    </row>
    <row r="107" spans="4:17" x14ac:dyDescent="0.15">
      <c r="H107" s="17">
        <v>105</v>
      </c>
      <c r="I107">
        <v>127049</v>
      </c>
      <c r="J107" t="s">
        <v>1883</v>
      </c>
      <c r="K107">
        <v>119.6</v>
      </c>
      <c r="L107" s="20">
        <v>22.39</v>
      </c>
      <c r="M107" s="21">
        <v>81.494648999999995</v>
      </c>
      <c r="N107" s="5" t="str">
        <f t="shared" si="7"/>
        <v>未买</v>
      </c>
      <c r="Q107" s="17">
        <v>105</v>
      </c>
    </row>
    <row r="108" spans="4:17" x14ac:dyDescent="0.15">
      <c r="H108" s="17">
        <v>106</v>
      </c>
      <c r="I108">
        <v>123105</v>
      </c>
      <c r="J108" t="s">
        <v>234</v>
      </c>
      <c r="K108">
        <v>128.886</v>
      </c>
      <c r="L108" s="20">
        <v>22.49</v>
      </c>
      <c r="M108" s="21">
        <v>7.9986300000000004</v>
      </c>
      <c r="N108" s="5" t="str">
        <f t="shared" si="7"/>
        <v>未买</v>
      </c>
      <c r="Q108" s="17">
        <v>106</v>
      </c>
    </row>
    <row r="109" spans="4:17" x14ac:dyDescent="0.15">
      <c r="H109" s="17">
        <v>107</v>
      </c>
      <c r="I109">
        <v>113545</v>
      </c>
      <c r="J109" t="s">
        <v>85</v>
      </c>
      <c r="K109">
        <v>125.79</v>
      </c>
      <c r="L109" s="20">
        <v>22.84</v>
      </c>
      <c r="M109" s="21">
        <v>9.8657599999999999</v>
      </c>
      <c r="N109" s="5" t="str">
        <f t="shared" si="7"/>
        <v>未买</v>
      </c>
      <c r="Q109" s="17">
        <v>107</v>
      </c>
    </row>
    <row r="110" spans="4:17" x14ac:dyDescent="0.15">
      <c r="H110" s="17">
        <v>108</v>
      </c>
      <c r="I110">
        <v>128073</v>
      </c>
      <c r="J110" t="s">
        <v>98</v>
      </c>
      <c r="K110">
        <v>122.44199999999999</v>
      </c>
      <c r="L110" s="20">
        <v>22.87</v>
      </c>
      <c r="M110" s="21">
        <v>2.9874689999999999</v>
      </c>
      <c r="N110" s="5" t="str">
        <f t="shared" si="7"/>
        <v>未买</v>
      </c>
      <c r="Q110" s="17">
        <v>108</v>
      </c>
    </row>
    <row r="111" spans="4:17" x14ac:dyDescent="0.15">
      <c r="H111" s="17">
        <v>109</v>
      </c>
      <c r="I111">
        <v>113591</v>
      </c>
      <c r="J111" t="s">
        <v>41</v>
      </c>
      <c r="K111">
        <v>114.99</v>
      </c>
      <c r="L111" s="20">
        <v>23</v>
      </c>
      <c r="M111" s="21">
        <v>4.7750000000000004</v>
      </c>
      <c r="N111" s="5" t="str">
        <f t="shared" si="7"/>
        <v>Yes</v>
      </c>
      <c r="Q111" s="17">
        <v>109</v>
      </c>
    </row>
    <row r="112" spans="4:17" x14ac:dyDescent="0.15">
      <c r="H112" s="17">
        <v>110</v>
      </c>
      <c r="I112">
        <v>113027</v>
      </c>
      <c r="J112" t="s">
        <v>1884</v>
      </c>
      <c r="K112">
        <v>180.4</v>
      </c>
      <c r="L112" s="20">
        <v>23.46</v>
      </c>
      <c r="M112" s="21">
        <v>2.38733</v>
      </c>
      <c r="N112" s="5" t="str">
        <f t="shared" si="7"/>
        <v>Yes</v>
      </c>
      <c r="Q112" s="17">
        <v>110</v>
      </c>
    </row>
    <row r="113" spans="8:17" x14ac:dyDescent="0.15">
      <c r="H113" s="17">
        <v>111</v>
      </c>
      <c r="I113">
        <v>127014</v>
      </c>
      <c r="J113" t="s">
        <v>231</v>
      </c>
      <c r="K113">
        <v>128.19</v>
      </c>
      <c r="L113" s="20">
        <v>23.63</v>
      </c>
      <c r="M113" s="21">
        <v>5.3444160000000007</v>
      </c>
      <c r="N113" s="5" t="str">
        <f t="shared" si="7"/>
        <v>未买</v>
      </c>
      <c r="Q113" s="17">
        <v>111</v>
      </c>
    </row>
    <row r="114" spans="8:17" x14ac:dyDescent="0.15">
      <c r="H114" s="17">
        <v>112</v>
      </c>
      <c r="I114">
        <v>127030</v>
      </c>
      <c r="J114" t="s">
        <v>783</v>
      </c>
      <c r="K114">
        <v>141.31299999999999</v>
      </c>
      <c r="L114" s="20">
        <v>23.98</v>
      </c>
      <c r="M114" s="21">
        <v>49.983575999999999</v>
      </c>
      <c r="N114" s="5" t="str">
        <f t="shared" si="7"/>
        <v>Yes</v>
      </c>
      <c r="Q114" s="17">
        <v>112</v>
      </c>
    </row>
    <row r="115" spans="8:17" x14ac:dyDescent="0.15">
      <c r="H115" s="17">
        <v>113</v>
      </c>
      <c r="I115">
        <v>110057</v>
      </c>
      <c r="J115" t="s">
        <v>1885</v>
      </c>
      <c r="K115">
        <v>114.5</v>
      </c>
      <c r="L115" s="20">
        <v>24.13</v>
      </c>
      <c r="M115" s="21">
        <v>16.155080000000002</v>
      </c>
      <c r="N115" s="5" t="str">
        <f t="shared" si="7"/>
        <v>未买</v>
      </c>
      <c r="Q115" s="17">
        <v>113</v>
      </c>
    </row>
    <row r="116" spans="8:17" x14ac:dyDescent="0.15">
      <c r="H116" s="17">
        <v>114</v>
      </c>
      <c r="I116">
        <v>113640</v>
      </c>
      <c r="J116" t="s">
        <v>784</v>
      </c>
      <c r="K116">
        <v>120.86</v>
      </c>
      <c r="L116" s="20">
        <v>24.57</v>
      </c>
      <c r="M116" s="21">
        <v>9.5721100000000003</v>
      </c>
      <c r="N116" s="5" t="str">
        <f t="shared" si="7"/>
        <v>未买</v>
      </c>
      <c r="Q116" s="17">
        <v>114</v>
      </c>
    </row>
    <row r="117" spans="8:17" x14ac:dyDescent="0.15">
      <c r="H117" s="17">
        <v>115</v>
      </c>
      <c r="I117">
        <v>113631</v>
      </c>
      <c r="J117" t="s">
        <v>224</v>
      </c>
      <c r="K117">
        <v>114.21</v>
      </c>
      <c r="L117" s="20">
        <v>24.75</v>
      </c>
      <c r="M117" s="21">
        <v>9.29983</v>
      </c>
      <c r="N117" s="5" t="str">
        <f t="shared" si="7"/>
        <v>未买</v>
      </c>
      <c r="Q117" s="17">
        <v>115</v>
      </c>
    </row>
    <row r="118" spans="8:17" x14ac:dyDescent="0.15">
      <c r="H118" s="17">
        <v>116</v>
      </c>
      <c r="I118">
        <v>110055</v>
      </c>
      <c r="J118" t="s">
        <v>1886</v>
      </c>
      <c r="K118">
        <v>189.01</v>
      </c>
      <c r="L118" s="20">
        <v>24.77</v>
      </c>
      <c r="M118" s="21">
        <v>2.4354499999999999</v>
      </c>
      <c r="N118" s="5" t="str">
        <f t="shared" si="7"/>
        <v>未买</v>
      </c>
      <c r="Q118" s="17">
        <v>116</v>
      </c>
    </row>
    <row r="119" spans="8:17" x14ac:dyDescent="0.15">
      <c r="H119" s="17">
        <v>117</v>
      </c>
      <c r="I119">
        <v>127028</v>
      </c>
      <c r="J119" t="s">
        <v>62</v>
      </c>
      <c r="K119">
        <v>116.001</v>
      </c>
      <c r="L119" s="20">
        <v>24.99</v>
      </c>
      <c r="M119" s="21">
        <v>5.9825270000000002</v>
      </c>
      <c r="N119" s="5" t="str">
        <f t="shared" si="7"/>
        <v>未买</v>
      </c>
      <c r="Q119" s="17">
        <v>117</v>
      </c>
    </row>
    <row r="120" spans="8:17" x14ac:dyDescent="0.15">
      <c r="H120" s="17">
        <v>118</v>
      </c>
      <c r="I120">
        <v>128121</v>
      </c>
      <c r="J120" t="s">
        <v>47</v>
      </c>
      <c r="K120">
        <v>123.28</v>
      </c>
      <c r="L120" s="20">
        <v>25.23</v>
      </c>
      <c r="M120" s="21">
        <v>6.6986129999999999</v>
      </c>
      <c r="N120" s="5" t="str">
        <f t="shared" si="7"/>
        <v>未买</v>
      </c>
      <c r="Q120" s="17">
        <v>118</v>
      </c>
    </row>
    <row r="121" spans="8:17" x14ac:dyDescent="0.15">
      <c r="H121" s="17">
        <v>119</v>
      </c>
      <c r="I121">
        <v>113516</v>
      </c>
      <c r="J121" t="s">
        <v>1887</v>
      </c>
      <c r="K121">
        <v>117.08</v>
      </c>
      <c r="L121" s="20">
        <v>25.25</v>
      </c>
      <c r="M121" s="21">
        <v>12.886039999999999</v>
      </c>
      <c r="N121" s="5" t="str">
        <f t="shared" si="7"/>
        <v>未买</v>
      </c>
      <c r="Q121" s="17">
        <v>119</v>
      </c>
    </row>
    <row r="122" spans="8:17" x14ac:dyDescent="0.15">
      <c r="H122" s="17">
        <v>120</v>
      </c>
      <c r="I122">
        <v>113017</v>
      </c>
      <c r="J122" t="s">
        <v>110</v>
      </c>
      <c r="K122">
        <v>114.1</v>
      </c>
      <c r="L122" s="20">
        <v>25.34</v>
      </c>
      <c r="M122" s="21">
        <v>11.35008</v>
      </c>
      <c r="N122" s="5" t="str">
        <f t="shared" si="7"/>
        <v>未买</v>
      </c>
      <c r="Q122" s="17">
        <v>120</v>
      </c>
    </row>
    <row r="123" spans="8:17" x14ac:dyDescent="0.15">
      <c r="H123" s="17">
        <v>121</v>
      </c>
      <c r="I123">
        <v>128085</v>
      </c>
      <c r="J123" t="s">
        <v>1888</v>
      </c>
      <c r="K123">
        <v>114.839</v>
      </c>
      <c r="L123" s="20">
        <v>25.42</v>
      </c>
      <c r="M123" s="21">
        <v>3.374628</v>
      </c>
      <c r="N123" s="5" t="str">
        <f t="shared" si="7"/>
        <v>Yes</v>
      </c>
      <c r="Q123" s="17">
        <v>121</v>
      </c>
    </row>
    <row r="124" spans="8:17" x14ac:dyDescent="0.15">
      <c r="H124" s="17">
        <v>122</v>
      </c>
      <c r="I124">
        <v>128100</v>
      </c>
      <c r="J124" t="s">
        <v>48</v>
      </c>
      <c r="K124">
        <v>99.36</v>
      </c>
      <c r="L124" s="20">
        <v>25.76</v>
      </c>
      <c r="M124" s="21">
        <v>7.9820419999999999</v>
      </c>
      <c r="N124" s="5" t="str">
        <f t="shared" si="7"/>
        <v>Yes</v>
      </c>
      <c r="Q124" s="17">
        <v>122</v>
      </c>
    </row>
    <row r="125" spans="8:17" x14ac:dyDescent="0.15">
      <c r="H125" s="17">
        <v>123</v>
      </c>
      <c r="I125">
        <v>127018</v>
      </c>
      <c r="J125" t="s">
        <v>1889</v>
      </c>
      <c r="K125">
        <v>116.538</v>
      </c>
      <c r="L125" s="20">
        <v>25.95</v>
      </c>
      <c r="M125" s="21">
        <v>56.310693999999991</v>
      </c>
      <c r="N125" s="5" t="str">
        <f t="shared" si="7"/>
        <v>未买</v>
      </c>
      <c r="Q125" s="17">
        <v>123</v>
      </c>
    </row>
    <row r="126" spans="8:17" x14ac:dyDescent="0.15">
      <c r="H126" s="17">
        <v>124</v>
      </c>
      <c r="I126">
        <v>123071</v>
      </c>
      <c r="J126" t="s">
        <v>1890</v>
      </c>
      <c r="K126">
        <v>139.81</v>
      </c>
      <c r="L126" s="20">
        <v>25.95</v>
      </c>
      <c r="M126" s="21">
        <v>6.9424130000000002</v>
      </c>
      <c r="N126" s="5" t="str">
        <f t="shared" si="7"/>
        <v>未买</v>
      </c>
      <c r="Q126" s="17">
        <v>124</v>
      </c>
    </row>
    <row r="127" spans="8:17" x14ac:dyDescent="0.15">
      <c r="H127" s="17">
        <v>125</v>
      </c>
      <c r="I127">
        <v>110075</v>
      </c>
      <c r="J127" t="s">
        <v>1891</v>
      </c>
      <c r="K127">
        <v>127.64</v>
      </c>
      <c r="L127" s="20">
        <v>26.03</v>
      </c>
      <c r="M127" s="21">
        <v>58.964399999999998</v>
      </c>
      <c r="N127" s="5" t="str">
        <f t="shared" si="7"/>
        <v>未买</v>
      </c>
      <c r="Q127" s="17">
        <v>125</v>
      </c>
    </row>
    <row r="128" spans="8:17" x14ac:dyDescent="0.15">
      <c r="H128" s="17">
        <v>126</v>
      </c>
      <c r="I128">
        <v>128139</v>
      </c>
      <c r="J128" t="s">
        <v>164</v>
      </c>
      <c r="K128">
        <v>121.56</v>
      </c>
      <c r="L128" s="20">
        <v>26.8</v>
      </c>
      <c r="M128" s="21">
        <v>6.4691850000000004</v>
      </c>
      <c r="N128" s="5" t="str">
        <f t="shared" si="7"/>
        <v>未买</v>
      </c>
      <c r="Q128" s="17">
        <v>126</v>
      </c>
    </row>
    <row r="129" spans="8:17" x14ac:dyDescent="0.15">
      <c r="H129" s="17">
        <v>127</v>
      </c>
      <c r="I129">
        <v>123137</v>
      </c>
      <c r="J129" t="s">
        <v>786</v>
      </c>
      <c r="K129">
        <v>131.61000000000001</v>
      </c>
      <c r="L129" s="20">
        <v>27.13</v>
      </c>
      <c r="M129" s="21">
        <v>8.9700000000000006</v>
      </c>
      <c r="N129" s="5" t="str">
        <f t="shared" si="7"/>
        <v>Yes</v>
      </c>
      <c r="Q129" s="17">
        <v>127</v>
      </c>
    </row>
    <row r="130" spans="8:17" x14ac:dyDescent="0.15">
      <c r="H130" s="17">
        <v>128</v>
      </c>
      <c r="I130">
        <v>113532</v>
      </c>
      <c r="J130" t="s">
        <v>202</v>
      </c>
      <c r="K130">
        <v>115.3</v>
      </c>
      <c r="L130" s="20">
        <v>27.14</v>
      </c>
      <c r="M130" s="21">
        <v>4.5855300000000003</v>
      </c>
      <c r="N130" s="5" t="str">
        <f t="shared" si="7"/>
        <v>未买</v>
      </c>
      <c r="Q130" s="17">
        <v>128</v>
      </c>
    </row>
    <row r="131" spans="8:17" x14ac:dyDescent="0.15">
      <c r="H131" s="17">
        <v>129</v>
      </c>
      <c r="I131">
        <v>127020</v>
      </c>
      <c r="J131" t="s">
        <v>1892</v>
      </c>
      <c r="K131">
        <v>116.88</v>
      </c>
      <c r="L131" s="20">
        <v>27.33</v>
      </c>
      <c r="M131" s="21">
        <v>30.228006000000001</v>
      </c>
      <c r="N131" s="5" t="str">
        <f t="shared" si="7"/>
        <v>未买</v>
      </c>
      <c r="Q131" s="17">
        <v>129</v>
      </c>
    </row>
    <row r="132" spans="8:17" x14ac:dyDescent="0.15">
      <c r="H132" s="17">
        <v>130</v>
      </c>
      <c r="I132">
        <v>123112</v>
      </c>
      <c r="J132" t="s">
        <v>127</v>
      </c>
      <c r="K132">
        <v>125.6</v>
      </c>
      <c r="L132" s="20">
        <v>27.6</v>
      </c>
      <c r="M132" s="21">
        <v>2.4541909999999998</v>
      </c>
      <c r="N132" s="5" t="str">
        <f t="shared" ref="N132:N195" si="8">IF(ISNA(MATCH(I132,$A$3:$A$1000,0)),"未买","Yes")</f>
        <v>未买</v>
      </c>
      <c r="Q132" s="17">
        <v>130</v>
      </c>
    </row>
    <row r="133" spans="8:17" x14ac:dyDescent="0.15">
      <c r="H133" s="17">
        <v>131</v>
      </c>
      <c r="I133">
        <v>123084</v>
      </c>
      <c r="J133" t="s">
        <v>113</v>
      </c>
      <c r="K133">
        <v>140.46</v>
      </c>
      <c r="L133" s="20">
        <v>27.83</v>
      </c>
      <c r="M133" s="21">
        <v>2.5422899999999999</v>
      </c>
      <c r="N133" s="5" t="str">
        <f t="shared" si="8"/>
        <v>未买</v>
      </c>
      <c r="Q133" s="17">
        <v>131</v>
      </c>
    </row>
    <row r="134" spans="8:17" x14ac:dyDescent="0.15">
      <c r="H134" s="17">
        <v>132</v>
      </c>
      <c r="I134">
        <v>128127</v>
      </c>
      <c r="J134" t="s">
        <v>218</v>
      </c>
      <c r="K134">
        <v>111.38</v>
      </c>
      <c r="L134" s="20">
        <v>27.89</v>
      </c>
      <c r="M134" s="21">
        <v>9.4930299999999992</v>
      </c>
      <c r="N134" s="5" t="str">
        <f t="shared" si="8"/>
        <v>未买</v>
      </c>
      <c r="Q134" s="17">
        <v>132</v>
      </c>
    </row>
    <row r="135" spans="8:17" x14ac:dyDescent="0.15">
      <c r="H135" s="17">
        <v>133</v>
      </c>
      <c r="I135">
        <v>123121</v>
      </c>
      <c r="J135" t="s">
        <v>237</v>
      </c>
      <c r="K135">
        <v>145</v>
      </c>
      <c r="L135" s="20">
        <v>28.05</v>
      </c>
      <c r="M135" s="21">
        <v>8.3956039999999987</v>
      </c>
      <c r="N135" s="5" t="str">
        <f t="shared" si="8"/>
        <v>未买</v>
      </c>
      <c r="Q135" s="17">
        <v>133</v>
      </c>
    </row>
    <row r="136" spans="8:17" x14ac:dyDescent="0.15">
      <c r="H136" s="17">
        <v>134</v>
      </c>
      <c r="I136">
        <v>128145</v>
      </c>
      <c r="J136" t="s">
        <v>105</v>
      </c>
      <c r="K136">
        <v>117.459</v>
      </c>
      <c r="L136" s="20">
        <v>28.26</v>
      </c>
      <c r="M136" s="21">
        <v>3.7962769999999995</v>
      </c>
      <c r="N136" s="5" t="str">
        <f t="shared" si="8"/>
        <v>未买</v>
      </c>
      <c r="Q136" s="17">
        <v>134</v>
      </c>
    </row>
    <row r="137" spans="8:17" x14ac:dyDescent="0.15">
      <c r="H137" s="17">
        <v>135</v>
      </c>
      <c r="I137">
        <v>123123</v>
      </c>
      <c r="J137" t="s">
        <v>196</v>
      </c>
      <c r="K137">
        <v>133.30000000000001</v>
      </c>
      <c r="L137" s="20">
        <v>28.31</v>
      </c>
      <c r="M137" s="21">
        <v>5.1604549999999998</v>
      </c>
      <c r="N137" s="5" t="str">
        <f t="shared" si="8"/>
        <v>未买</v>
      </c>
      <c r="Q137" s="17">
        <v>135</v>
      </c>
    </row>
    <row r="138" spans="8:17" x14ac:dyDescent="0.15">
      <c r="H138" s="17">
        <v>136</v>
      </c>
      <c r="I138">
        <v>123052</v>
      </c>
      <c r="J138" t="s">
        <v>1893</v>
      </c>
      <c r="K138">
        <v>141.80000000000001</v>
      </c>
      <c r="L138" s="20">
        <v>28.66</v>
      </c>
      <c r="M138" s="21">
        <v>1.503663</v>
      </c>
      <c r="N138" s="5" t="str">
        <f t="shared" si="8"/>
        <v>Yes</v>
      </c>
      <c r="Q138" s="17">
        <v>136</v>
      </c>
    </row>
    <row r="139" spans="8:17" x14ac:dyDescent="0.15">
      <c r="H139" s="17">
        <v>137</v>
      </c>
      <c r="I139">
        <v>111000</v>
      </c>
      <c r="J139" t="s">
        <v>84</v>
      </c>
      <c r="K139">
        <v>141.80000000000001</v>
      </c>
      <c r="L139" s="20">
        <v>28.66</v>
      </c>
      <c r="M139" s="21">
        <v>1.503663</v>
      </c>
      <c r="N139" s="5" t="str">
        <f t="shared" si="8"/>
        <v>未买</v>
      </c>
      <c r="Q139" s="17">
        <v>137</v>
      </c>
    </row>
    <row r="140" spans="8:17" x14ac:dyDescent="0.15">
      <c r="H140" s="17">
        <v>138</v>
      </c>
      <c r="I140">
        <v>113598</v>
      </c>
      <c r="J140" t="s">
        <v>101</v>
      </c>
      <c r="K140">
        <v>124.14</v>
      </c>
      <c r="L140" s="20">
        <v>29.06</v>
      </c>
      <c r="M140" s="21">
        <v>2.7526000000000002</v>
      </c>
      <c r="N140" s="5" t="str">
        <f t="shared" si="8"/>
        <v>未买</v>
      </c>
      <c r="Q140" s="17">
        <v>138</v>
      </c>
    </row>
    <row r="141" spans="8:17" x14ac:dyDescent="0.15">
      <c r="H141" s="17">
        <v>139</v>
      </c>
      <c r="I141">
        <v>110052</v>
      </c>
      <c r="J141" t="s">
        <v>1894</v>
      </c>
      <c r="K141">
        <v>115.27</v>
      </c>
      <c r="L141" s="20">
        <v>29.1</v>
      </c>
      <c r="M141" s="21">
        <v>14.21809</v>
      </c>
      <c r="N141" s="5" t="str">
        <f t="shared" si="8"/>
        <v>未买</v>
      </c>
      <c r="Q141" s="17">
        <v>139</v>
      </c>
    </row>
    <row r="142" spans="8:17" x14ac:dyDescent="0.15">
      <c r="H142" s="17">
        <v>140</v>
      </c>
      <c r="I142">
        <v>128044</v>
      </c>
      <c r="J142" t="s">
        <v>131</v>
      </c>
      <c r="K142">
        <v>114.89</v>
      </c>
      <c r="L142" s="20">
        <v>29.21</v>
      </c>
      <c r="M142" s="21">
        <v>6.5742390000000004</v>
      </c>
      <c r="N142" s="5" t="str">
        <f t="shared" si="8"/>
        <v>未买</v>
      </c>
      <c r="Q142" s="17">
        <v>140</v>
      </c>
    </row>
    <row r="143" spans="8:17" x14ac:dyDescent="0.15">
      <c r="H143" s="17">
        <v>141</v>
      </c>
      <c r="I143">
        <v>128132</v>
      </c>
      <c r="J143" t="s">
        <v>160</v>
      </c>
      <c r="K143">
        <v>122.18</v>
      </c>
      <c r="L143" s="20">
        <v>29.22</v>
      </c>
      <c r="M143" s="21">
        <v>8.4894379999999998</v>
      </c>
      <c r="N143" s="5" t="str">
        <f t="shared" si="8"/>
        <v>未买</v>
      </c>
      <c r="Q143" s="17">
        <v>141</v>
      </c>
    </row>
    <row r="144" spans="8:17" x14ac:dyDescent="0.15">
      <c r="H144" s="17">
        <v>142</v>
      </c>
      <c r="I144">
        <v>113016</v>
      </c>
      <c r="J144" t="s">
        <v>1895</v>
      </c>
      <c r="K144">
        <v>360.03</v>
      </c>
      <c r="L144" s="20">
        <v>29.28</v>
      </c>
      <c r="M144" s="21">
        <v>2.0657800000000002</v>
      </c>
      <c r="N144" s="5" t="str">
        <f t="shared" si="8"/>
        <v>未买</v>
      </c>
      <c r="Q144" s="17">
        <v>142</v>
      </c>
    </row>
    <row r="145" spans="8:17" x14ac:dyDescent="0.15">
      <c r="H145" s="17">
        <v>143</v>
      </c>
      <c r="I145">
        <v>110070</v>
      </c>
      <c r="J145" t="s">
        <v>89</v>
      </c>
      <c r="K145">
        <v>123.24</v>
      </c>
      <c r="L145" s="20">
        <v>29.75</v>
      </c>
      <c r="M145" s="21">
        <v>2.1708799999999999</v>
      </c>
      <c r="N145" s="5" t="str">
        <f t="shared" si="8"/>
        <v>未买</v>
      </c>
      <c r="Q145" s="17">
        <v>143</v>
      </c>
    </row>
    <row r="146" spans="8:17" x14ac:dyDescent="0.15">
      <c r="H146" s="17">
        <v>144</v>
      </c>
      <c r="I146">
        <v>127012</v>
      </c>
      <c r="J146" t="s">
        <v>1896</v>
      </c>
      <c r="K146">
        <v>115.82899999999999</v>
      </c>
      <c r="L146" s="20">
        <v>29.82</v>
      </c>
      <c r="M146" s="21">
        <v>49.998221000000001</v>
      </c>
      <c r="N146" s="5" t="str">
        <f t="shared" si="8"/>
        <v>未买</v>
      </c>
      <c r="Q146" s="17">
        <v>144</v>
      </c>
    </row>
    <row r="147" spans="8:17" x14ac:dyDescent="0.15">
      <c r="H147" s="17">
        <v>145</v>
      </c>
      <c r="I147">
        <v>110063</v>
      </c>
      <c r="J147" t="s">
        <v>1897</v>
      </c>
      <c r="K147">
        <v>111.98</v>
      </c>
      <c r="L147" s="20">
        <v>29.91</v>
      </c>
      <c r="M147" s="21">
        <v>18.444659999999999</v>
      </c>
      <c r="N147" s="5" t="str">
        <f t="shared" si="8"/>
        <v>未买</v>
      </c>
      <c r="Q147" s="17">
        <v>145</v>
      </c>
    </row>
    <row r="148" spans="8:17" x14ac:dyDescent="0.15">
      <c r="H148" s="17">
        <v>146</v>
      </c>
      <c r="I148">
        <v>123046</v>
      </c>
      <c r="J148" t="s">
        <v>1898</v>
      </c>
      <c r="K148">
        <v>267</v>
      </c>
      <c r="L148" s="20">
        <v>30.31</v>
      </c>
      <c r="M148" s="21">
        <v>0.58544499999999999</v>
      </c>
      <c r="N148" s="5" t="str">
        <f t="shared" si="8"/>
        <v>未买</v>
      </c>
      <c r="Q148" s="17">
        <v>146</v>
      </c>
    </row>
    <row r="149" spans="8:17" x14ac:dyDescent="0.15">
      <c r="H149" s="17">
        <v>147</v>
      </c>
      <c r="I149">
        <v>113057</v>
      </c>
      <c r="J149" t="s">
        <v>1899</v>
      </c>
      <c r="K149">
        <v>112.71</v>
      </c>
      <c r="L149" s="20">
        <v>30.56</v>
      </c>
      <c r="M149" s="21">
        <v>78</v>
      </c>
      <c r="N149" s="5" t="str">
        <f t="shared" si="8"/>
        <v>未买</v>
      </c>
      <c r="Q149" s="17">
        <v>147</v>
      </c>
    </row>
    <row r="150" spans="8:17" x14ac:dyDescent="0.15">
      <c r="H150" s="17">
        <v>148</v>
      </c>
      <c r="I150">
        <v>128042</v>
      </c>
      <c r="J150" t="s">
        <v>207</v>
      </c>
      <c r="K150">
        <v>117.5</v>
      </c>
      <c r="L150" s="20">
        <v>30.57</v>
      </c>
      <c r="M150" s="21">
        <v>4.1551119999999999</v>
      </c>
      <c r="N150" s="5" t="str">
        <f t="shared" si="8"/>
        <v>未买</v>
      </c>
      <c r="Q150" s="17">
        <v>148</v>
      </c>
    </row>
    <row r="151" spans="8:17" x14ac:dyDescent="0.15">
      <c r="H151" s="17">
        <v>149</v>
      </c>
      <c r="I151">
        <v>127033</v>
      </c>
      <c r="J151" t="s">
        <v>1900</v>
      </c>
      <c r="K151">
        <v>115.7</v>
      </c>
      <c r="L151" s="20">
        <v>30.6</v>
      </c>
      <c r="M151" s="21">
        <v>11.594339</v>
      </c>
      <c r="N151" s="5" t="str">
        <f t="shared" si="8"/>
        <v>未买</v>
      </c>
      <c r="Q151" s="17">
        <v>149</v>
      </c>
    </row>
    <row r="152" spans="8:17" x14ac:dyDescent="0.15">
      <c r="H152" s="17">
        <v>150</v>
      </c>
      <c r="I152">
        <v>127035</v>
      </c>
      <c r="J152" t="s">
        <v>228</v>
      </c>
      <c r="K152">
        <v>114.6</v>
      </c>
      <c r="L152" s="20">
        <v>30.85</v>
      </c>
      <c r="M152" s="21">
        <v>6.2622609999999996</v>
      </c>
      <c r="N152" s="5" t="str">
        <f t="shared" si="8"/>
        <v>未买</v>
      </c>
      <c r="Q152" s="17">
        <v>150</v>
      </c>
    </row>
    <row r="153" spans="8:17" x14ac:dyDescent="0.15">
      <c r="H153" s="17">
        <v>151</v>
      </c>
      <c r="I153">
        <v>110086</v>
      </c>
      <c r="J153" t="s">
        <v>1901</v>
      </c>
      <c r="K153">
        <v>117.39</v>
      </c>
      <c r="L153" s="20">
        <v>31.31</v>
      </c>
      <c r="M153" s="21">
        <v>20</v>
      </c>
      <c r="N153" s="5" t="str">
        <f t="shared" si="8"/>
        <v>未买</v>
      </c>
      <c r="Q153" s="17">
        <v>151</v>
      </c>
    </row>
    <row r="154" spans="8:17" x14ac:dyDescent="0.15">
      <c r="H154" s="17">
        <v>152</v>
      </c>
      <c r="I154">
        <v>113048</v>
      </c>
      <c r="J154" t="s">
        <v>1902</v>
      </c>
      <c r="K154">
        <v>125.37</v>
      </c>
      <c r="L154" s="20">
        <v>31.39</v>
      </c>
      <c r="M154" s="21">
        <v>22.965219999999999</v>
      </c>
      <c r="N154" s="5" t="str">
        <f t="shared" si="8"/>
        <v>未买</v>
      </c>
      <c r="Q154" s="17">
        <v>152</v>
      </c>
    </row>
    <row r="155" spans="8:17" x14ac:dyDescent="0.15">
      <c r="H155" s="17">
        <v>153</v>
      </c>
      <c r="I155">
        <v>123127</v>
      </c>
      <c r="J155" t="s">
        <v>115</v>
      </c>
      <c r="K155">
        <v>121.55500000000001</v>
      </c>
      <c r="L155" s="20">
        <v>31.97</v>
      </c>
      <c r="M155" s="21">
        <v>3.9997820000000002</v>
      </c>
      <c r="N155" s="5" t="str">
        <f t="shared" si="8"/>
        <v>未买</v>
      </c>
      <c r="Q155" s="17">
        <v>153</v>
      </c>
    </row>
    <row r="156" spans="8:17" x14ac:dyDescent="0.15">
      <c r="H156" s="17">
        <v>154</v>
      </c>
      <c r="I156">
        <v>110047</v>
      </c>
      <c r="J156" t="s">
        <v>1903</v>
      </c>
      <c r="K156">
        <v>112.58</v>
      </c>
      <c r="L156" s="20">
        <v>32.21</v>
      </c>
      <c r="M156" s="21">
        <v>22.461320000000001</v>
      </c>
      <c r="N156" s="5" t="str">
        <f t="shared" si="8"/>
        <v>未买</v>
      </c>
      <c r="Q156" s="17">
        <v>154</v>
      </c>
    </row>
    <row r="157" spans="8:17" x14ac:dyDescent="0.15">
      <c r="H157" s="17">
        <v>155</v>
      </c>
      <c r="I157">
        <v>111001</v>
      </c>
      <c r="J157" t="s">
        <v>223</v>
      </c>
      <c r="K157">
        <v>112.58</v>
      </c>
      <c r="L157" s="20">
        <v>32.21</v>
      </c>
      <c r="M157" s="21">
        <v>22.461320000000001</v>
      </c>
      <c r="N157" s="5" t="str">
        <f t="shared" si="8"/>
        <v>未买</v>
      </c>
      <c r="Q157" s="17">
        <v>155</v>
      </c>
    </row>
    <row r="158" spans="8:17" x14ac:dyDescent="0.15">
      <c r="H158" s="17">
        <v>156</v>
      </c>
      <c r="I158">
        <v>128109</v>
      </c>
      <c r="J158" t="s">
        <v>1904</v>
      </c>
      <c r="K158">
        <v>124.9</v>
      </c>
      <c r="L158" s="20">
        <v>32.25</v>
      </c>
      <c r="M158" s="21">
        <v>18.225552</v>
      </c>
      <c r="N158" s="5" t="str">
        <f t="shared" si="8"/>
        <v>未买</v>
      </c>
      <c r="Q158" s="17">
        <v>156</v>
      </c>
    </row>
    <row r="159" spans="8:17" x14ac:dyDescent="0.15">
      <c r="H159" s="17">
        <v>157</v>
      </c>
      <c r="I159">
        <v>113526</v>
      </c>
      <c r="J159" t="s">
        <v>144</v>
      </c>
      <c r="K159">
        <v>136.65</v>
      </c>
      <c r="L159" s="20">
        <v>32.619999999999997</v>
      </c>
      <c r="M159" s="21">
        <v>1.92994</v>
      </c>
      <c r="N159" s="5" t="str">
        <f t="shared" si="8"/>
        <v>Yes</v>
      </c>
      <c r="Q159" s="17">
        <v>157</v>
      </c>
    </row>
    <row r="160" spans="8:17" x14ac:dyDescent="0.15">
      <c r="H160" s="17">
        <v>158</v>
      </c>
      <c r="I160">
        <v>113519</v>
      </c>
      <c r="J160" t="s">
        <v>174</v>
      </c>
      <c r="K160">
        <v>117.14</v>
      </c>
      <c r="L160" s="20">
        <v>33.46</v>
      </c>
      <c r="M160" s="21">
        <v>6.9611200000000002</v>
      </c>
      <c r="N160" s="5" t="str">
        <f t="shared" si="8"/>
        <v>未买</v>
      </c>
      <c r="Q160" s="17">
        <v>158</v>
      </c>
    </row>
    <row r="161" spans="8:17" x14ac:dyDescent="0.15">
      <c r="H161" s="17">
        <v>159</v>
      </c>
      <c r="I161">
        <v>113502</v>
      </c>
      <c r="J161" t="s">
        <v>133</v>
      </c>
      <c r="K161">
        <v>128.11000000000001</v>
      </c>
      <c r="L161" s="20">
        <v>34.03</v>
      </c>
      <c r="M161" s="21">
        <v>1.8429500000000001</v>
      </c>
      <c r="N161" s="5" t="str">
        <f t="shared" si="8"/>
        <v>未买</v>
      </c>
      <c r="Q161" s="17">
        <v>159</v>
      </c>
    </row>
    <row r="162" spans="8:17" x14ac:dyDescent="0.15">
      <c r="H162" s="17">
        <v>160</v>
      </c>
      <c r="I162">
        <v>127032</v>
      </c>
      <c r="J162" t="s">
        <v>1905</v>
      </c>
      <c r="K162">
        <v>111.71</v>
      </c>
      <c r="L162" s="20">
        <v>34.4</v>
      </c>
      <c r="M162" s="21">
        <v>49.995736999999998</v>
      </c>
      <c r="N162" s="5" t="str">
        <f t="shared" si="8"/>
        <v>未买</v>
      </c>
      <c r="Q162" s="17">
        <v>160</v>
      </c>
    </row>
    <row r="163" spans="8:17" x14ac:dyDescent="0.15">
      <c r="H163" s="17">
        <v>161</v>
      </c>
      <c r="I163">
        <v>127031</v>
      </c>
      <c r="J163" t="s">
        <v>187</v>
      </c>
      <c r="K163">
        <v>125.108</v>
      </c>
      <c r="L163" s="20">
        <v>34.520000000000003</v>
      </c>
      <c r="M163" s="21">
        <v>9.9994130000000006</v>
      </c>
      <c r="N163" s="5" t="str">
        <f t="shared" si="8"/>
        <v>未买</v>
      </c>
      <c r="Q163" s="17">
        <v>161</v>
      </c>
    </row>
    <row r="164" spans="8:17" x14ac:dyDescent="0.15">
      <c r="H164" s="17">
        <v>162</v>
      </c>
      <c r="I164">
        <v>123045</v>
      </c>
      <c r="J164" t="s">
        <v>109</v>
      </c>
      <c r="K164">
        <v>129.07900000000001</v>
      </c>
      <c r="L164" s="20">
        <v>34.71</v>
      </c>
      <c r="M164" s="21">
        <v>1.6599440000000001</v>
      </c>
      <c r="N164" s="5" t="str">
        <f t="shared" si="8"/>
        <v>Yes</v>
      </c>
      <c r="Q164" s="17">
        <v>162</v>
      </c>
    </row>
    <row r="165" spans="8:17" x14ac:dyDescent="0.15">
      <c r="H165" s="17">
        <v>163</v>
      </c>
      <c r="I165">
        <v>127042</v>
      </c>
      <c r="J165" t="s">
        <v>93</v>
      </c>
      <c r="K165">
        <v>111.483</v>
      </c>
      <c r="L165" s="20">
        <v>34.72</v>
      </c>
      <c r="M165" s="21">
        <v>7.4982860000000002</v>
      </c>
      <c r="N165" s="5" t="str">
        <f t="shared" si="8"/>
        <v>未买</v>
      </c>
      <c r="Q165" s="17">
        <v>163</v>
      </c>
    </row>
    <row r="166" spans="8:17" x14ac:dyDescent="0.15">
      <c r="H166" s="17">
        <v>164</v>
      </c>
      <c r="I166">
        <v>128134</v>
      </c>
      <c r="J166" t="s">
        <v>1906</v>
      </c>
      <c r="K166">
        <v>124</v>
      </c>
      <c r="L166" s="20">
        <v>34.94</v>
      </c>
      <c r="M166" s="21">
        <v>15.728267000000002</v>
      </c>
      <c r="N166" s="5" t="str">
        <f t="shared" si="8"/>
        <v>未买</v>
      </c>
      <c r="Q166" s="17">
        <v>164</v>
      </c>
    </row>
    <row r="167" spans="8:17" x14ac:dyDescent="0.15">
      <c r="H167" s="17">
        <v>165</v>
      </c>
      <c r="I167">
        <v>123087</v>
      </c>
      <c r="J167" t="s">
        <v>72</v>
      </c>
      <c r="K167">
        <v>117.819</v>
      </c>
      <c r="L167" s="20">
        <v>35.36</v>
      </c>
      <c r="M167" s="21">
        <v>4.1892620000000003</v>
      </c>
      <c r="N167" s="5" t="str">
        <f t="shared" si="8"/>
        <v>未买</v>
      </c>
      <c r="Q167" s="17">
        <v>165</v>
      </c>
    </row>
    <row r="168" spans="8:17" x14ac:dyDescent="0.15">
      <c r="H168" s="17">
        <v>166</v>
      </c>
      <c r="I168">
        <v>113049</v>
      </c>
      <c r="J168" t="s">
        <v>1907</v>
      </c>
      <c r="K168">
        <v>125.07</v>
      </c>
      <c r="L168" s="20">
        <v>35.979999999999997</v>
      </c>
      <c r="M168" s="21">
        <v>34.988169999999997</v>
      </c>
      <c r="N168" s="5" t="str">
        <f t="shared" si="8"/>
        <v>未买</v>
      </c>
      <c r="Q168" s="17">
        <v>166</v>
      </c>
    </row>
    <row r="169" spans="8:17" x14ac:dyDescent="0.15">
      <c r="H169" s="17">
        <v>167</v>
      </c>
      <c r="I169">
        <v>128076</v>
      </c>
      <c r="J169" t="s">
        <v>130</v>
      </c>
      <c r="K169">
        <v>121.697</v>
      </c>
      <c r="L169" s="20">
        <v>36.08</v>
      </c>
      <c r="M169" s="21">
        <v>2.1374019999999998</v>
      </c>
      <c r="N169" s="5" t="str">
        <f t="shared" si="8"/>
        <v>Yes</v>
      </c>
      <c r="Q169" s="17">
        <v>167</v>
      </c>
    </row>
    <row r="170" spans="8:17" x14ac:dyDescent="0.15">
      <c r="H170" s="17">
        <v>168</v>
      </c>
      <c r="I170">
        <v>123120</v>
      </c>
      <c r="J170" t="s">
        <v>239</v>
      </c>
      <c r="K170">
        <v>124.25</v>
      </c>
      <c r="L170" s="20">
        <v>36.18</v>
      </c>
      <c r="M170" s="21">
        <v>7.9852639999999999</v>
      </c>
      <c r="N170" s="5" t="str">
        <f t="shared" si="8"/>
        <v>未买</v>
      </c>
      <c r="Q170" s="17">
        <v>168</v>
      </c>
    </row>
    <row r="171" spans="8:17" x14ac:dyDescent="0.15">
      <c r="H171" s="17">
        <v>169</v>
      </c>
      <c r="I171">
        <v>113636</v>
      </c>
      <c r="J171" t="s">
        <v>251</v>
      </c>
      <c r="K171">
        <v>124.18</v>
      </c>
      <c r="L171" s="20">
        <v>36.31</v>
      </c>
      <c r="M171" s="21">
        <v>10</v>
      </c>
      <c r="N171" s="5" t="str">
        <f t="shared" si="8"/>
        <v>未买</v>
      </c>
      <c r="Q171" s="17">
        <v>169</v>
      </c>
    </row>
    <row r="172" spans="8:17" x14ac:dyDescent="0.15">
      <c r="H172" s="17">
        <v>170</v>
      </c>
      <c r="I172">
        <v>113549</v>
      </c>
      <c r="J172" t="s">
        <v>100</v>
      </c>
      <c r="K172">
        <v>115.45</v>
      </c>
      <c r="L172" s="20">
        <v>36.72</v>
      </c>
      <c r="M172" s="21">
        <v>8.0473300000000005</v>
      </c>
      <c r="N172" s="5" t="str">
        <f t="shared" si="8"/>
        <v>未买</v>
      </c>
      <c r="Q172" s="17">
        <v>170</v>
      </c>
    </row>
    <row r="173" spans="8:17" x14ac:dyDescent="0.15">
      <c r="H173" s="17">
        <v>171</v>
      </c>
      <c r="I173">
        <v>113058</v>
      </c>
      <c r="J173" t="s">
        <v>1908</v>
      </c>
      <c r="K173">
        <v>112.02</v>
      </c>
      <c r="L173" s="20">
        <v>36.78</v>
      </c>
      <c r="M173" s="21">
        <v>20</v>
      </c>
      <c r="N173" s="5" t="str">
        <f t="shared" si="8"/>
        <v>未买</v>
      </c>
      <c r="Q173" s="17">
        <v>171</v>
      </c>
    </row>
    <row r="174" spans="8:17" x14ac:dyDescent="0.15">
      <c r="H174" s="17">
        <v>172</v>
      </c>
      <c r="I174">
        <v>113053</v>
      </c>
      <c r="J174" t="s">
        <v>1909</v>
      </c>
      <c r="K174">
        <v>124.58</v>
      </c>
      <c r="L174" s="20">
        <v>37.07</v>
      </c>
      <c r="M174" s="21">
        <v>70</v>
      </c>
      <c r="N174" s="5" t="str">
        <f t="shared" si="8"/>
        <v>未买</v>
      </c>
      <c r="Q174" s="17">
        <v>172</v>
      </c>
    </row>
    <row r="175" spans="8:17" x14ac:dyDescent="0.15">
      <c r="H175" s="17">
        <v>173</v>
      </c>
      <c r="I175">
        <v>127016</v>
      </c>
      <c r="J175" t="s">
        <v>1910</v>
      </c>
      <c r="K175">
        <v>112.985</v>
      </c>
      <c r="L175" s="20">
        <v>37.17</v>
      </c>
      <c r="M175" s="21">
        <v>13.998576</v>
      </c>
      <c r="N175" s="5" t="str">
        <f t="shared" si="8"/>
        <v>未买</v>
      </c>
      <c r="Q175" s="17">
        <v>173</v>
      </c>
    </row>
    <row r="176" spans="8:17" x14ac:dyDescent="0.15">
      <c r="H176" s="17">
        <v>174</v>
      </c>
      <c r="I176">
        <v>113024</v>
      </c>
      <c r="J176" t="s">
        <v>1911</v>
      </c>
      <c r="K176">
        <v>119.23</v>
      </c>
      <c r="L176" s="20">
        <v>37.68</v>
      </c>
      <c r="M176" s="21">
        <v>29.953800000000001</v>
      </c>
      <c r="N176" s="5" t="str">
        <f t="shared" si="8"/>
        <v>未买</v>
      </c>
      <c r="Q176" s="17">
        <v>174</v>
      </c>
    </row>
    <row r="177" spans="8:17" x14ac:dyDescent="0.15">
      <c r="H177" s="17">
        <v>175</v>
      </c>
      <c r="I177">
        <v>128135</v>
      </c>
      <c r="J177" t="s">
        <v>1912</v>
      </c>
      <c r="K177">
        <v>122.88</v>
      </c>
      <c r="L177" s="20">
        <v>38.24</v>
      </c>
      <c r="M177" s="21">
        <v>13.398632999999998</v>
      </c>
      <c r="N177" s="5" t="str">
        <f t="shared" si="8"/>
        <v>未买</v>
      </c>
      <c r="Q177" s="17">
        <v>175</v>
      </c>
    </row>
    <row r="178" spans="8:17" x14ac:dyDescent="0.15">
      <c r="H178" s="17">
        <v>176</v>
      </c>
      <c r="I178">
        <v>123125</v>
      </c>
      <c r="J178" t="s">
        <v>225</v>
      </c>
      <c r="K178">
        <v>116.34</v>
      </c>
      <c r="L178" s="20">
        <v>38.340000000000003</v>
      </c>
      <c r="M178" s="21">
        <v>8.9997199999999999</v>
      </c>
      <c r="N178" s="5" t="str">
        <f t="shared" si="8"/>
        <v>未买</v>
      </c>
      <c r="Q178" s="17">
        <v>176</v>
      </c>
    </row>
    <row r="179" spans="8:17" x14ac:dyDescent="0.15">
      <c r="H179" s="17">
        <v>177</v>
      </c>
      <c r="I179">
        <v>127022</v>
      </c>
      <c r="J179" t="s">
        <v>1914</v>
      </c>
      <c r="K179">
        <v>120.8</v>
      </c>
      <c r="L179" s="20">
        <v>38.479999999999997</v>
      </c>
      <c r="M179" s="21">
        <v>19.998301000000001</v>
      </c>
      <c r="N179" s="5" t="str">
        <f t="shared" si="8"/>
        <v>未买</v>
      </c>
      <c r="Q179" s="17">
        <v>177</v>
      </c>
    </row>
    <row r="180" spans="8:17" x14ac:dyDescent="0.15">
      <c r="H180" s="17">
        <v>178</v>
      </c>
      <c r="I180">
        <v>118001</v>
      </c>
      <c r="J180" t="s">
        <v>243</v>
      </c>
      <c r="K180">
        <v>120.8</v>
      </c>
      <c r="L180" s="20">
        <v>38.479999999999997</v>
      </c>
      <c r="M180" s="21">
        <v>19.998301000000001</v>
      </c>
      <c r="N180" s="5" t="str">
        <f t="shared" si="8"/>
        <v>未买</v>
      </c>
      <c r="Q180" s="17">
        <v>178</v>
      </c>
    </row>
    <row r="181" spans="8:17" x14ac:dyDescent="0.15">
      <c r="H181" s="17">
        <v>179</v>
      </c>
      <c r="I181">
        <v>113047</v>
      </c>
      <c r="J181" t="s">
        <v>1915</v>
      </c>
      <c r="K181">
        <v>125.37</v>
      </c>
      <c r="L181" s="20">
        <v>38.79</v>
      </c>
      <c r="M181" s="21">
        <v>14.98822</v>
      </c>
      <c r="N181" s="5" t="str">
        <f t="shared" si="8"/>
        <v>未买</v>
      </c>
      <c r="Q181" s="17">
        <v>179</v>
      </c>
    </row>
    <row r="182" spans="8:17" x14ac:dyDescent="0.15">
      <c r="H182" s="17">
        <v>180</v>
      </c>
      <c r="I182">
        <v>113030</v>
      </c>
      <c r="J182" t="s">
        <v>96</v>
      </c>
      <c r="K182">
        <v>120.72</v>
      </c>
      <c r="L182" s="20">
        <v>38.92</v>
      </c>
      <c r="M182" s="21">
        <v>2.9510800000000001</v>
      </c>
      <c r="N182" s="5" t="str">
        <f t="shared" si="8"/>
        <v>未买</v>
      </c>
      <c r="Q182" s="17">
        <v>180</v>
      </c>
    </row>
    <row r="183" spans="8:17" x14ac:dyDescent="0.15">
      <c r="H183" s="17">
        <v>181</v>
      </c>
      <c r="I183">
        <v>123082</v>
      </c>
      <c r="J183" t="s">
        <v>75</v>
      </c>
      <c r="K183">
        <v>114.273</v>
      </c>
      <c r="L183" s="20">
        <v>39.1</v>
      </c>
      <c r="M183" s="21">
        <v>4.9930450000000004</v>
      </c>
      <c r="N183" s="5" t="str">
        <f t="shared" si="8"/>
        <v>未买</v>
      </c>
      <c r="Q183" s="17">
        <v>181</v>
      </c>
    </row>
    <row r="184" spans="8:17" x14ac:dyDescent="0.15">
      <c r="H184" s="17">
        <v>182</v>
      </c>
      <c r="I184">
        <v>128090</v>
      </c>
      <c r="J184" t="s">
        <v>122</v>
      </c>
      <c r="K184">
        <v>122.6</v>
      </c>
      <c r="L184" s="20">
        <v>39.409999999999997</v>
      </c>
      <c r="M184" s="21">
        <v>3.0994130000000002</v>
      </c>
      <c r="N184" s="5" t="str">
        <f t="shared" si="8"/>
        <v>未买</v>
      </c>
      <c r="Q184" s="17">
        <v>182</v>
      </c>
    </row>
    <row r="185" spans="8:17" x14ac:dyDescent="0.15">
      <c r="H185" s="17">
        <v>183</v>
      </c>
      <c r="I185">
        <v>113647</v>
      </c>
      <c r="J185" t="s">
        <v>1916</v>
      </c>
      <c r="K185">
        <v>113.96</v>
      </c>
      <c r="L185" s="20">
        <v>39.49</v>
      </c>
      <c r="M185" s="21">
        <v>15</v>
      </c>
      <c r="N185" s="5" t="str">
        <f t="shared" si="8"/>
        <v>未买</v>
      </c>
      <c r="Q185" s="17">
        <v>183</v>
      </c>
    </row>
    <row r="186" spans="8:17" x14ac:dyDescent="0.15">
      <c r="H186" s="17">
        <v>184</v>
      </c>
      <c r="I186">
        <v>123077</v>
      </c>
      <c r="J186" t="s">
        <v>216</v>
      </c>
      <c r="K186">
        <v>119.20399999999999</v>
      </c>
      <c r="L186" s="20">
        <v>39.5</v>
      </c>
      <c r="M186" s="21">
        <v>9.3675669999999993</v>
      </c>
      <c r="N186" s="5" t="str">
        <f t="shared" si="8"/>
        <v>未买</v>
      </c>
      <c r="Q186" s="17">
        <v>184</v>
      </c>
    </row>
    <row r="187" spans="8:17" x14ac:dyDescent="0.15">
      <c r="H187" s="17">
        <v>185</v>
      </c>
      <c r="I187">
        <v>128129</v>
      </c>
      <c r="J187" t="s">
        <v>1917</v>
      </c>
      <c r="K187">
        <v>103.5</v>
      </c>
      <c r="L187" s="20">
        <v>39.729999999999997</v>
      </c>
      <c r="M187" s="21">
        <v>49.997489999999999</v>
      </c>
      <c r="N187" s="5" t="str">
        <f t="shared" si="8"/>
        <v>未买</v>
      </c>
      <c r="Q187" s="17">
        <v>185</v>
      </c>
    </row>
    <row r="188" spans="8:17" x14ac:dyDescent="0.15">
      <c r="H188" s="17">
        <v>186</v>
      </c>
      <c r="I188">
        <v>128071</v>
      </c>
      <c r="J188" t="s">
        <v>88</v>
      </c>
      <c r="K188">
        <v>112.375</v>
      </c>
      <c r="L188" s="20">
        <v>39.799999999999997</v>
      </c>
      <c r="M188" s="21">
        <v>2.999336</v>
      </c>
      <c r="N188" s="5" t="str">
        <f t="shared" si="8"/>
        <v>未买</v>
      </c>
      <c r="Q188" s="17">
        <v>186</v>
      </c>
    </row>
    <row r="189" spans="8:17" x14ac:dyDescent="0.15">
      <c r="H189" s="17">
        <v>187</v>
      </c>
      <c r="I189">
        <v>128144</v>
      </c>
      <c r="J189" t="s">
        <v>227</v>
      </c>
      <c r="K189">
        <v>118.125</v>
      </c>
      <c r="L189" s="20">
        <v>40.29</v>
      </c>
      <c r="M189" s="21">
        <v>9.7941780000000005</v>
      </c>
      <c r="N189" s="5" t="str">
        <f t="shared" si="8"/>
        <v>未买</v>
      </c>
      <c r="Q189" s="17">
        <v>187</v>
      </c>
    </row>
    <row r="190" spans="8:17" x14ac:dyDescent="0.15">
      <c r="H190" s="17">
        <v>188</v>
      </c>
      <c r="I190">
        <v>123035</v>
      </c>
      <c r="J190" t="s">
        <v>124</v>
      </c>
      <c r="K190">
        <v>122.7</v>
      </c>
      <c r="L190" s="20">
        <v>40.369999999999997</v>
      </c>
      <c r="M190" s="21">
        <v>7.9877429999999991</v>
      </c>
      <c r="N190" s="5" t="str">
        <f t="shared" si="8"/>
        <v>未买</v>
      </c>
      <c r="Q190" s="17">
        <v>188</v>
      </c>
    </row>
    <row r="191" spans="8:17" x14ac:dyDescent="0.15">
      <c r="H191" s="17">
        <v>189</v>
      </c>
      <c r="I191">
        <v>113013</v>
      </c>
      <c r="J191" t="s">
        <v>1918</v>
      </c>
      <c r="K191">
        <v>110.24</v>
      </c>
      <c r="L191" s="20">
        <v>40.950000000000003</v>
      </c>
      <c r="M191" s="21">
        <v>69.901780000000002</v>
      </c>
      <c r="N191" s="5" t="str">
        <f t="shared" si="8"/>
        <v>未买</v>
      </c>
      <c r="Q191" s="17">
        <v>189</v>
      </c>
    </row>
    <row r="192" spans="8:17" x14ac:dyDescent="0.15">
      <c r="H192" s="17">
        <v>190</v>
      </c>
      <c r="I192">
        <v>113505</v>
      </c>
      <c r="J192" t="s">
        <v>242</v>
      </c>
      <c r="K192">
        <v>114.52</v>
      </c>
      <c r="L192" s="20">
        <v>41.02</v>
      </c>
      <c r="M192" s="21">
        <v>7.4973799999999997</v>
      </c>
      <c r="N192" s="5" t="str">
        <f t="shared" si="8"/>
        <v>未买</v>
      </c>
      <c r="Q192" s="17">
        <v>190</v>
      </c>
    </row>
    <row r="193" spans="8:17" x14ac:dyDescent="0.15">
      <c r="H193" s="17">
        <v>191</v>
      </c>
      <c r="I193">
        <v>113052</v>
      </c>
      <c r="J193" t="s">
        <v>1919</v>
      </c>
      <c r="K193">
        <v>109.12</v>
      </c>
      <c r="L193" s="20">
        <v>41.16</v>
      </c>
      <c r="M193" s="21">
        <v>500</v>
      </c>
      <c r="N193" s="5" t="str">
        <f t="shared" si="8"/>
        <v>未买</v>
      </c>
      <c r="Q193" s="17">
        <v>191</v>
      </c>
    </row>
    <row r="194" spans="8:17" x14ac:dyDescent="0.15">
      <c r="H194" s="17">
        <v>192</v>
      </c>
      <c r="I194">
        <v>113609</v>
      </c>
      <c r="J194" t="s">
        <v>83</v>
      </c>
      <c r="K194">
        <v>109.51</v>
      </c>
      <c r="L194" s="20">
        <v>41.21</v>
      </c>
      <c r="M194" s="21">
        <v>7.3419299999999996</v>
      </c>
      <c r="N194" s="5" t="str">
        <f t="shared" si="8"/>
        <v>未买</v>
      </c>
      <c r="Q194" s="17">
        <v>192</v>
      </c>
    </row>
    <row r="195" spans="8:17" x14ac:dyDescent="0.15">
      <c r="H195" s="17">
        <v>193</v>
      </c>
      <c r="I195">
        <v>123022</v>
      </c>
      <c r="J195" t="s">
        <v>1920</v>
      </c>
      <c r="K195">
        <v>150.5</v>
      </c>
      <c r="L195" s="20">
        <v>41.38</v>
      </c>
      <c r="M195" s="21">
        <v>2.5627830000000005</v>
      </c>
      <c r="N195" s="5" t="str">
        <f t="shared" si="8"/>
        <v>未买</v>
      </c>
      <c r="Q195" s="17">
        <v>193</v>
      </c>
    </row>
    <row r="196" spans="8:17" x14ac:dyDescent="0.15">
      <c r="H196" s="17">
        <v>194</v>
      </c>
      <c r="I196">
        <v>127021</v>
      </c>
      <c r="J196" t="s">
        <v>220</v>
      </c>
      <c r="K196">
        <v>114.199</v>
      </c>
      <c r="L196" s="20">
        <v>41.41</v>
      </c>
      <c r="M196" s="21">
        <v>4.1596460000000004</v>
      </c>
      <c r="N196" s="5" t="str">
        <f t="shared" ref="N196:N259" si="9">IF(ISNA(MATCH(I196,$A$3:$A$1000,0)),"未买","Yes")</f>
        <v>未买</v>
      </c>
      <c r="Q196" s="17">
        <v>194</v>
      </c>
    </row>
    <row r="197" spans="8:17" x14ac:dyDescent="0.15">
      <c r="H197" s="17">
        <v>195</v>
      </c>
      <c r="I197">
        <v>128033</v>
      </c>
      <c r="J197" t="s">
        <v>69</v>
      </c>
      <c r="K197">
        <v>116.6</v>
      </c>
      <c r="L197" s="20">
        <v>41.42</v>
      </c>
      <c r="M197" s="21">
        <v>2.973023</v>
      </c>
      <c r="N197" s="5" t="str">
        <f t="shared" si="9"/>
        <v>未买</v>
      </c>
      <c r="Q197" s="17">
        <v>195</v>
      </c>
    </row>
    <row r="198" spans="8:17" x14ac:dyDescent="0.15">
      <c r="H198" s="17">
        <v>196</v>
      </c>
      <c r="I198">
        <v>127005</v>
      </c>
      <c r="J198" t="s">
        <v>1921</v>
      </c>
      <c r="K198">
        <v>112.026</v>
      </c>
      <c r="L198" s="20">
        <v>41.63</v>
      </c>
      <c r="M198" s="21">
        <v>49.964184000000003</v>
      </c>
      <c r="N198" s="5" t="str">
        <f t="shared" si="9"/>
        <v>未买</v>
      </c>
      <c r="Q198" s="17">
        <v>196</v>
      </c>
    </row>
    <row r="199" spans="8:17" x14ac:dyDescent="0.15">
      <c r="H199" s="17">
        <v>197</v>
      </c>
      <c r="I199">
        <v>127034</v>
      </c>
      <c r="J199" t="s">
        <v>204</v>
      </c>
      <c r="K199">
        <v>107.70099999999999</v>
      </c>
      <c r="L199" s="20">
        <v>41.99</v>
      </c>
      <c r="M199" s="21">
        <v>7.1178169999999996</v>
      </c>
      <c r="N199" s="5" t="str">
        <f t="shared" si="9"/>
        <v>未买</v>
      </c>
      <c r="Q199" s="17">
        <v>197</v>
      </c>
    </row>
    <row r="200" spans="8:17" x14ac:dyDescent="0.15">
      <c r="H200" s="17">
        <v>198</v>
      </c>
      <c r="I200">
        <v>127019</v>
      </c>
      <c r="J200" t="s">
        <v>176</v>
      </c>
      <c r="K200">
        <v>109.6</v>
      </c>
      <c r="L200" s="20">
        <v>42.3</v>
      </c>
      <c r="M200" s="21">
        <v>8.4978960000000008</v>
      </c>
      <c r="N200" s="5" t="str">
        <f t="shared" si="9"/>
        <v>未买</v>
      </c>
      <c r="Q200" s="17">
        <v>198</v>
      </c>
    </row>
    <row r="201" spans="8:17" x14ac:dyDescent="0.15">
      <c r="H201" s="17">
        <v>199</v>
      </c>
      <c r="I201">
        <v>113642</v>
      </c>
      <c r="J201" t="s">
        <v>1922</v>
      </c>
      <c r="K201">
        <v>131.94999999999999</v>
      </c>
      <c r="L201" s="20">
        <v>42.37</v>
      </c>
      <c r="M201" s="21">
        <v>24.7</v>
      </c>
      <c r="N201" s="5" t="str">
        <f t="shared" si="9"/>
        <v>未买</v>
      </c>
      <c r="Q201" s="17">
        <v>199</v>
      </c>
    </row>
    <row r="202" spans="8:17" x14ac:dyDescent="0.15">
      <c r="H202" s="17">
        <v>200</v>
      </c>
      <c r="I202">
        <v>123110</v>
      </c>
      <c r="J202" t="s">
        <v>107</v>
      </c>
      <c r="K202">
        <v>123.45399999999999</v>
      </c>
      <c r="L202" s="20">
        <v>42.51</v>
      </c>
      <c r="M202" s="21">
        <v>2.6979679999999999</v>
      </c>
      <c r="N202" s="5" t="str">
        <f t="shared" si="9"/>
        <v>未买</v>
      </c>
      <c r="Q202" s="17">
        <v>200</v>
      </c>
    </row>
    <row r="203" spans="8:17" x14ac:dyDescent="0.15">
      <c r="H203" s="17">
        <v>201</v>
      </c>
      <c r="I203">
        <v>123002</v>
      </c>
      <c r="J203" t="s">
        <v>81</v>
      </c>
      <c r="K203">
        <v>115.78</v>
      </c>
      <c r="L203" s="20">
        <v>43.19</v>
      </c>
      <c r="M203" s="21">
        <v>2.5214889999999999</v>
      </c>
      <c r="N203" s="5" t="str">
        <f t="shared" si="9"/>
        <v>未买</v>
      </c>
      <c r="Q203" s="17">
        <v>201</v>
      </c>
    </row>
    <row r="204" spans="8:17" x14ac:dyDescent="0.15">
      <c r="H204" s="17">
        <v>202</v>
      </c>
      <c r="I204">
        <v>113601</v>
      </c>
      <c r="J204" t="s">
        <v>65</v>
      </c>
      <c r="K204">
        <v>114.44</v>
      </c>
      <c r="L204" s="20">
        <v>43.52</v>
      </c>
      <c r="M204" s="21">
        <v>5.4290700000000003</v>
      </c>
      <c r="N204" s="5" t="str">
        <f t="shared" si="9"/>
        <v>未买</v>
      </c>
      <c r="Q204" s="17">
        <v>202</v>
      </c>
    </row>
    <row r="205" spans="8:17" x14ac:dyDescent="0.15">
      <c r="H205" s="17">
        <v>203</v>
      </c>
      <c r="I205">
        <v>127017</v>
      </c>
      <c r="J205" t="s">
        <v>197</v>
      </c>
      <c r="K205">
        <v>122.188</v>
      </c>
      <c r="L205" s="20">
        <v>43.63</v>
      </c>
      <c r="M205" s="21">
        <v>9.9959550000000004</v>
      </c>
      <c r="N205" s="5" t="str">
        <f t="shared" si="9"/>
        <v>未买</v>
      </c>
      <c r="Q205" s="17">
        <v>203</v>
      </c>
    </row>
    <row r="206" spans="8:17" x14ac:dyDescent="0.15">
      <c r="H206" s="17">
        <v>204</v>
      </c>
      <c r="I206">
        <v>111004</v>
      </c>
      <c r="J206" t="s">
        <v>816</v>
      </c>
      <c r="K206">
        <v>122.188</v>
      </c>
      <c r="L206" s="20">
        <v>43.63</v>
      </c>
      <c r="M206" s="21">
        <v>9.9959550000000004</v>
      </c>
      <c r="N206" s="5" t="str">
        <f t="shared" si="9"/>
        <v>未买</v>
      </c>
      <c r="Q206" s="17">
        <v>204</v>
      </c>
    </row>
    <row r="207" spans="8:17" x14ac:dyDescent="0.15">
      <c r="H207" s="17">
        <v>205</v>
      </c>
      <c r="I207">
        <v>123145</v>
      </c>
      <c r="J207" t="s">
        <v>1923</v>
      </c>
      <c r="K207">
        <v>126.77</v>
      </c>
      <c r="L207" s="20">
        <v>43.99</v>
      </c>
      <c r="M207" s="21">
        <v>11.5</v>
      </c>
      <c r="N207" s="5" t="str">
        <f t="shared" si="9"/>
        <v>未买</v>
      </c>
      <c r="Q207" s="17">
        <v>205</v>
      </c>
    </row>
    <row r="208" spans="8:17" x14ac:dyDescent="0.15">
      <c r="H208" s="17">
        <v>206</v>
      </c>
      <c r="I208">
        <v>113629</v>
      </c>
      <c r="J208" t="s">
        <v>80</v>
      </c>
      <c r="K208">
        <v>133.84</v>
      </c>
      <c r="L208" s="20">
        <v>44.04</v>
      </c>
      <c r="M208" s="21">
        <v>6.1978400000000002</v>
      </c>
      <c r="N208" s="5" t="str">
        <f t="shared" si="9"/>
        <v>未买</v>
      </c>
      <c r="Q208" s="17">
        <v>206</v>
      </c>
    </row>
    <row r="209" spans="8:17" x14ac:dyDescent="0.15">
      <c r="H209" s="17">
        <v>207</v>
      </c>
      <c r="I209">
        <v>113546</v>
      </c>
      <c r="J209" t="s">
        <v>87</v>
      </c>
      <c r="K209">
        <v>126.48</v>
      </c>
      <c r="L209" s="20">
        <v>44.48</v>
      </c>
      <c r="M209" s="21">
        <v>2.29684</v>
      </c>
      <c r="N209" s="5" t="str">
        <f t="shared" si="9"/>
        <v>未买</v>
      </c>
      <c r="Q209" s="17">
        <v>207</v>
      </c>
    </row>
    <row r="210" spans="8:17" x14ac:dyDescent="0.15">
      <c r="H210" s="17">
        <v>208</v>
      </c>
      <c r="I210">
        <v>123050</v>
      </c>
      <c r="J210" t="s">
        <v>68</v>
      </c>
      <c r="K210">
        <v>119.502</v>
      </c>
      <c r="L210" s="20">
        <v>44.89</v>
      </c>
      <c r="M210" s="21">
        <v>3.7459980000000006</v>
      </c>
      <c r="N210" s="5" t="str">
        <f t="shared" si="9"/>
        <v>未买</v>
      </c>
      <c r="Q210" s="17">
        <v>208</v>
      </c>
    </row>
    <row r="211" spans="8:17" x14ac:dyDescent="0.15">
      <c r="H211" s="17">
        <v>209</v>
      </c>
      <c r="I211">
        <v>113579</v>
      </c>
      <c r="J211" t="s">
        <v>108</v>
      </c>
      <c r="K211">
        <v>123.57</v>
      </c>
      <c r="L211" s="20">
        <v>44.95</v>
      </c>
      <c r="M211" s="21">
        <v>5.0250300000000001</v>
      </c>
      <c r="N211" s="5" t="str">
        <f t="shared" si="9"/>
        <v>未买</v>
      </c>
      <c r="Q211" s="17">
        <v>209</v>
      </c>
    </row>
    <row r="212" spans="8:17" x14ac:dyDescent="0.15">
      <c r="H212" s="17">
        <v>210</v>
      </c>
      <c r="I212">
        <v>127025</v>
      </c>
      <c r="J212" t="s">
        <v>1924</v>
      </c>
      <c r="K212">
        <v>111.75</v>
      </c>
      <c r="L212" s="20">
        <v>45</v>
      </c>
      <c r="M212" s="21">
        <v>17.764559999999999</v>
      </c>
      <c r="N212" s="5" t="str">
        <f t="shared" si="9"/>
        <v>未买</v>
      </c>
      <c r="Q212" s="17">
        <v>210</v>
      </c>
    </row>
    <row r="213" spans="8:17" x14ac:dyDescent="0.15">
      <c r="H213" s="17">
        <v>211</v>
      </c>
      <c r="I213">
        <v>123010</v>
      </c>
      <c r="J213" t="s">
        <v>198</v>
      </c>
      <c r="K213">
        <v>111.3</v>
      </c>
      <c r="L213" s="20">
        <v>45.15</v>
      </c>
      <c r="M213" s="21">
        <v>4.2960060000000002</v>
      </c>
      <c r="N213" s="5" t="str">
        <f t="shared" si="9"/>
        <v>未买</v>
      </c>
      <c r="Q213" s="17">
        <v>211</v>
      </c>
    </row>
    <row r="214" spans="8:17" x14ac:dyDescent="0.15">
      <c r="H214" s="17">
        <v>212</v>
      </c>
      <c r="I214">
        <v>123118</v>
      </c>
      <c r="J214" t="s">
        <v>241</v>
      </c>
      <c r="K214">
        <v>114.565</v>
      </c>
      <c r="L214" s="20">
        <v>45.2</v>
      </c>
      <c r="M214" s="21">
        <v>3.1992880000000001</v>
      </c>
      <c r="N214" s="5" t="str">
        <f t="shared" si="9"/>
        <v>未买</v>
      </c>
      <c r="Q214" s="17">
        <v>212</v>
      </c>
    </row>
    <row r="215" spans="8:17" x14ac:dyDescent="0.15">
      <c r="H215" s="17">
        <v>213</v>
      </c>
      <c r="I215">
        <v>113054</v>
      </c>
      <c r="J215" t="s">
        <v>1925</v>
      </c>
      <c r="K215">
        <v>108.81</v>
      </c>
      <c r="L215" s="20">
        <v>45.57</v>
      </c>
      <c r="M215" s="21">
        <v>23.6</v>
      </c>
      <c r="N215" s="5" t="str">
        <f t="shared" si="9"/>
        <v>未买</v>
      </c>
      <c r="Q215" s="17">
        <v>213</v>
      </c>
    </row>
    <row r="216" spans="8:17" x14ac:dyDescent="0.15">
      <c r="H216" s="17">
        <v>214</v>
      </c>
      <c r="I216">
        <v>128097</v>
      </c>
      <c r="J216" t="s">
        <v>111</v>
      </c>
      <c r="K216">
        <v>115.4</v>
      </c>
      <c r="L216" s="20">
        <v>45.69</v>
      </c>
      <c r="M216" s="21">
        <v>4.5857140000000003</v>
      </c>
      <c r="N216" s="5" t="str">
        <f t="shared" si="9"/>
        <v>未买</v>
      </c>
      <c r="Q216" s="17">
        <v>214</v>
      </c>
    </row>
    <row r="217" spans="8:17" x14ac:dyDescent="0.15">
      <c r="H217" s="17">
        <v>215</v>
      </c>
      <c r="I217">
        <v>127054</v>
      </c>
      <c r="J217" t="s">
        <v>785</v>
      </c>
      <c r="K217">
        <v>113.05</v>
      </c>
      <c r="L217" s="20">
        <v>45.76</v>
      </c>
      <c r="M217" s="21">
        <v>5.1364000000000001</v>
      </c>
      <c r="N217" s="5" t="str">
        <f t="shared" si="9"/>
        <v>未买</v>
      </c>
      <c r="Q217" s="17">
        <v>215</v>
      </c>
    </row>
    <row r="218" spans="8:17" x14ac:dyDescent="0.15">
      <c r="H218" s="17">
        <v>216</v>
      </c>
      <c r="I218">
        <v>113602</v>
      </c>
      <c r="J218" t="s">
        <v>1926</v>
      </c>
      <c r="K218">
        <v>115.3</v>
      </c>
      <c r="L218" s="20">
        <v>45.86</v>
      </c>
      <c r="M218" s="21">
        <v>17.798739999999999</v>
      </c>
      <c r="N218" s="5" t="str">
        <f t="shared" si="9"/>
        <v>未买</v>
      </c>
      <c r="Q218" s="17">
        <v>216</v>
      </c>
    </row>
    <row r="219" spans="8:17" x14ac:dyDescent="0.15">
      <c r="H219" s="17">
        <v>217</v>
      </c>
      <c r="I219">
        <v>113565</v>
      </c>
      <c r="J219" t="s">
        <v>123</v>
      </c>
      <c r="K219">
        <v>121.87</v>
      </c>
      <c r="L219" s="20">
        <v>45.93</v>
      </c>
      <c r="M219" s="21">
        <v>2.24926</v>
      </c>
      <c r="N219" s="5" t="str">
        <f t="shared" si="9"/>
        <v>Yes</v>
      </c>
      <c r="Q219" s="17">
        <v>217</v>
      </c>
    </row>
    <row r="220" spans="8:17" x14ac:dyDescent="0.15">
      <c r="H220" s="17">
        <v>218</v>
      </c>
      <c r="I220">
        <v>128137</v>
      </c>
      <c r="J220" t="s">
        <v>1928</v>
      </c>
      <c r="K220">
        <v>120.59399999999999</v>
      </c>
      <c r="L220" s="20">
        <v>46.02</v>
      </c>
      <c r="M220" s="21">
        <v>5.9940730000000002</v>
      </c>
      <c r="N220" s="5" t="str">
        <f t="shared" si="9"/>
        <v>未买</v>
      </c>
      <c r="Q220" s="17">
        <v>218</v>
      </c>
    </row>
    <row r="221" spans="8:17" x14ac:dyDescent="0.15">
      <c r="H221" s="17">
        <v>219</v>
      </c>
      <c r="I221">
        <v>113641</v>
      </c>
      <c r="J221" t="s">
        <v>1927</v>
      </c>
      <c r="K221">
        <v>118.93</v>
      </c>
      <c r="L221" s="20">
        <v>46.02</v>
      </c>
      <c r="M221" s="21">
        <v>76</v>
      </c>
      <c r="N221" s="5" t="str">
        <f t="shared" si="9"/>
        <v>未买</v>
      </c>
      <c r="Q221" s="17">
        <v>219</v>
      </c>
    </row>
    <row r="222" spans="8:17" x14ac:dyDescent="0.15">
      <c r="H222" s="17">
        <v>220</v>
      </c>
      <c r="I222">
        <v>113643</v>
      </c>
      <c r="J222" t="s">
        <v>817</v>
      </c>
      <c r="K222">
        <v>124.62</v>
      </c>
      <c r="L222" s="20">
        <v>46.04</v>
      </c>
      <c r="M222" s="21">
        <v>5</v>
      </c>
      <c r="N222" s="5" t="str">
        <f t="shared" si="9"/>
        <v>未买</v>
      </c>
      <c r="Q222" s="17">
        <v>220</v>
      </c>
    </row>
    <row r="223" spans="8:17" x14ac:dyDescent="0.15">
      <c r="H223" s="17">
        <v>221</v>
      </c>
      <c r="I223">
        <v>123027</v>
      </c>
      <c r="J223" t="s">
        <v>1929</v>
      </c>
      <c r="K223">
        <v>374.50099999999998</v>
      </c>
      <c r="L223" s="20">
        <v>46.16</v>
      </c>
      <c r="M223" s="21">
        <v>1.06755</v>
      </c>
      <c r="N223" s="5" t="str">
        <f t="shared" si="9"/>
        <v>未买</v>
      </c>
      <c r="Q223" s="17">
        <v>221</v>
      </c>
    </row>
    <row r="224" spans="8:17" x14ac:dyDescent="0.15">
      <c r="H224" s="17">
        <v>222</v>
      </c>
      <c r="I224">
        <v>123048</v>
      </c>
      <c r="J224" t="s">
        <v>236</v>
      </c>
      <c r="K224">
        <v>123</v>
      </c>
      <c r="L224" s="20">
        <v>46.22</v>
      </c>
      <c r="M224" s="21">
        <v>3.7914160000000008</v>
      </c>
      <c r="N224" s="5" t="str">
        <f t="shared" si="9"/>
        <v>未买</v>
      </c>
      <c r="Q224" s="17">
        <v>222</v>
      </c>
    </row>
    <row r="225" spans="8:17" x14ac:dyDescent="0.15">
      <c r="H225" s="17">
        <v>223</v>
      </c>
      <c r="I225">
        <v>128133</v>
      </c>
      <c r="J225" t="s">
        <v>226</v>
      </c>
      <c r="K225">
        <v>118.361</v>
      </c>
      <c r="L225" s="20">
        <v>46.85</v>
      </c>
      <c r="M225" s="21">
        <v>7.9943970000000002</v>
      </c>
      <c r="N225" s="5" t="str">
        <f t="shared" si="9"/>
        <v>未买</v>
      </c>
      <c r="Q225" s="17">
        <v>223</v>
      </c>
    </row>
    <row r="226" spans="8:17" x14ac:dyDescent="0.15">
      <c r="H226" s="17">
        <v>224</v>
      </c>
      <c r="I226">
        <v>110060</v>
      </c>
      <c r="J226" t="s">
        <v>215</v>
      </c>
      <c r="K226">
        <v>118.74</v>
      </c>
      <c r="L226" s="20">
        <v>46.97</v>
      </c>
      <c r="M226" s="21">
        <v>7.0625299999999998</v>
      </c>
      <c r="N226" s="5" t="str">
        <f t="shared" si="9"/>
        <v>未买</v>
      </c>
      <c r="Q226" s="17">
        <v>224</v>
      </c>
    </row>
    <row r="227" spans="8:17" x14ac:dyDescent="0.15">
      <c r="H227" s="17">
        <v>225</v>
      </c>
      <c r="I227">
        <v>113628</v>
      </c>
      <c r="J227" t="s">
        <v>229</v>
      </c>
      <c r="K227">
        <v>107.27</v>
      </c>
      <c r="L227" s="20">
        <v>47.01</v>
      </c>
      <c r="M227" s="21">
        <v>4.1498299999999997</v>
      </c>
      <c r="N227" s="5" t="str">
        <f t="shared" si="9"/>
        <v>未买</v>
      </c>
      <c r="Q227" s="17">
        <v>225</v>
      </c>
    </row>
    <row r="228" spans="8:17" x14ac:dyDescent="0.15">
      <c r="H228" s="17">
        <v>226</v>
      </c>
      <c r="I228">
        <v>123100</v>
      </c>
      <c r="J228" t="s">
        <v>104</v>
      </c>
      <c r="K228">
        <v>114.17</v>
      </c>
      <c r="L228" s="20">
        <v>47.28</v>
      </c>
      <c r="M228" s="21">
        <v>3.7985370000000001</v>
      </c>
      <c r="N228" s="5" t="str">
        <f t="shared" si="9"/>
        <v>未买</v>
      </c>
      <c r="Q228" s="17">
        <v>226</v>
      </c>
    </row>
    <row r="229" spans="8:17" x14ac:dyDescent="0.15">
      <c r="H229" s="17">
        <v>227</v>
      </c>
      <c r="I229">
        <v>113037</v>
      </c>
      <c r="J229" t="s">
        <v>1930</v>
      </c>
      <c r="K229">
        <v>104.22</v>
      </c>
      <c r="L229" s="20">
        <v>47.58</v>
      </c>
      <c r="M229" s="21">
        <v>44.99624</v>
      </c>
      <c r="N229" s="5" t="str">
        <f t="shared" si="9"/>
        <v>未买</v>
      </c>
      <c r="Q229" s="17">
        <v>227</v>
      </c>
    </row>
    <row r="230" spans="8:17" x14ac:dyDescent="0.15">
      <c r="H230" s="17">
        <v>228</v>
      </c>
      <c r="I230">
        <v>123144</v>
      </c>
      <c r="J230" t="s">
        <v>1931</v>
      </c>
      <c r="K230">
        <v>118.983</v>
      </c>
      <c r="L230" s="20">
        <v>47.71</v>
      </c>
      <c r="M230" s="21">
        <v>6</v>
      </c>
      <c r="N230" s="5" t="str">
        <f t="shared" si="9"/>
        <v>未买</v>
      </c>
      <c r="Q230" s="17">
        <v>228</v>
      </c>
    </row>
    <row r="231" spans="8:17" x14ac:dyDescent="0.15">
      <c r="H231" s="17">
        <v>229</v>
      </c>
      <c r="I231">
        <v>123044</v>
      </c>
      <c r="J231" t="s">
        <v>170</v>
      </c>
      <c r="K231">
        <v>115.63500000000001</v>
      </c>
      <c r="L231" s="20">
        <v>47.87</v>
      </c>
      <c r="M231" s="21">
        <v>5.4958999999999998</v>
      </c>
      <c r="N231" s="5" t="str">
        <f t="shared" si="9"/>
        <v>未买</v>
      </c>
      <c r="Q231" s="17">
        <v>229</v>
      </c>
    </row>
    <row r="232" spans="8:17" x14ac:dyDescent="0.15">
      <c r="H232" s="17">
        <v>230</v>
      </c>
      <c r="I232">
        <v>113619</v>
      </c>
      <c r="J232" t="s">
        <v>230</v>
      </c>
      <c r="K232">
        <v>121.91</v>
      </c>
      <c r="L232" s="20">
        <v>47.9</v>
      </c>
      <c r="M232" s="21">
        <v>9.9967699999999997</v>
      </c>
      <c r="N232" s="5" t="str">
        <f t="shared" si="9"/>
        <v>未买</v>
      </c>
      <c r="Q232" s="17">
        <v>230</v>
      </c>
    </row>
    <row r="233" spans="8:17" x14ac:dyDescent="0.15">
      <c r="H233" s="17">
        <v>231</v>
      </c>
      <c r="I233">
        <v>113606</v>
      </c>
      <c r="J233" t="s">
        <v>212</v>
      </c>
      <c r="K233">
        <v>110.55</v>
      </c>
      <c r="L233" s="20">
        <v>48.13</v>
      </c>
      <c r="M233" s="21">
        <v>5.9988799999999998</v>
      </c>
      <c r="N233" s="5" t="str">
        <f t="shared" si="9"/>
        <v>未买</v>
      </c>
      <c r="Q233" s="17">
        <v>231</v>
      </c>
    </row>
    <row r="234" spans="8:17" x14ac:dyDescent="0.15">
      <c r="H234" s="17">
        <v>232</v>
      </c>
      <c r="I234">
        <v>113524</v>
      </c>
      <c r="J234" t="s">
        <v>222</v>
      </c>
      <c r="K234">
        <v>115.5</v>
      </c>
      <c r="L234" s="20">
        <v>48.5</v>
      </c>
      <c r="M234" s="21">
        <v>3.2980100000000001</v>
      </c>
      <c r="N234" s="5" t="str">
        <f t="shared" si="9"/>
        <v>未买</v>
      </c>
      <c r="Q234" s="17">
        <v>232</v>
      </c>
    </row>
    <row r="235" spans="8:17" x14ac:dyDescent="0.15">
      <c r="H235" s="17">
        <v>233</v>
      </c>
      <c r="I235">
        <v>128053</v>
      </c>
      <c r="J235" t="s">
        <v>61</v>
      </c>
      <c r="K235">
        <v>134.499</v>
      </c>
      <c r="L235" s="20">
        <v>48.5</v>
      </c>
      <c r="M235" s="21">
        <v>1.9004799999999999</v>
      </c>
      <c r="N235" s="5" t="str">
        <f t="shared" si="9"/>
        <v>Yes</v>
      </c>
      <c r="Q235" s="17">
        <v>233</v>
      </c>
    </row>
    <row r="236" spans="8:17" x14ac:dyDescent="0.15">
      <c r="H236" s="17">
        <v>234</v>
      </c>
      <c r="I236">
        <v>123062</v>
      </c>
      <c r="J236" t="s">
        <v>103</v>
      </c>
      <c r="K236">
        <v>119.218</v>
      </c>
      <c r="L236" s="20">
        <v>48.52</v>
      </c>
      <c r="M236" s="21">
        <v>1.947703</v>
      </c>
      <c r="N236" s="5" t="str">
        <f t="shared" si="9"/>
        <v>未买</v>
      </c>
      <c r="Q236" s="17">
        <v>234</v>
      </c>
    </row>
    <row r="237" spans="8:17" x14ac:dyDescent="0.15">
      <c r="H237" s="17">
        <v>235</v>
      </c>
      <c r="I237">
        <v>110072</v>
      </c>
      <c r="J237" t="s">
        <v>1932</v>
      </c>
      <c r="K237">
        <v>99.03</v>
      </c>
      <c r="L237" s="20">
        <v>48.92</v>
      </c>
      <c r="M237" s="21">
        <v>33.663229999999999</v>
      </c>
      <c r="N237" s="5" t="str">
        <f t="shared" si="9"/>
        <v>未买</v>
      </c>
      <c r="Q237" s="17">
        <v>235</v>
      </c>
    </row>
    <row r="238" spans="8:17" x14ac:dyDescent="0.15">
      <c r="H238" s="17">
        <v>236</v>
      </c>
      <c r="I238">
        <v>113056</v>
      </c>
      <c r="J238" t="s">
        <v>1933</v>
      </c>
      <c r="K238">
        <v>101.49</v>
      </c>
      <c r="L238" s="20">
        <v>49.05</v>
      </c>
      <c r="M238" s="21">
        <v>130</v>
      </c>
      <c r="N238" s="5" t="str">
        <f t="shared" si="9"/>
        <v>未买</v>
      </c>
      <c r="Q238" s="17">
        <v>236</v>
      </c>
    </row>
    <row r="239" spans="8:17" x14ac:dyDescent="0.15">
      <c r="H239" s="17">
        <v>237</v>
      </c>
      <c r="I239">
        <v>128049</v>
      </c>
      <c r="J239" t="s">
        <v>205</v>
      </c>
      <c r="K239">
        <v>110.47</v>
      </c>
      <c r="L239" s="20">
        <v>49.12</v>
      </c>
      <c r="M239" s="21">
        <v>3.6314389999999999</v>
      </c>
      <c r="N239" s="5" t="str">
        <f t="shared" si="9"/>
        <v>未买</v>
      </c>
      <c r="Q239" s="17">
        <v>237</v>
      </c>
    </row>
    <row r="240" spans="8:17" x14ac:dyDescent="0.15">
      <c r="H240" s="17">
        <v>238</v>
      </c>
      <c r="I240">
        <v>127056</v>
      </c>
      <c r="J240" t="s">
        <v>1934</v>
      </c>
      <c r="K240">
        <v>113.1</v>
      </c>
      <c r="L240" s="20">
        <v>49.15</v>
      </c>
      <c r="M240" s="21">
        <v>50</v>
      </c>
      <c r="N240" s="5" t="str">
        <f t="shared" si="9"/>
        <v>未买</v>
      </c>
      <c r="Q240" s="17">
        <v>238</v>
      </c>
    </row>
    <row r="241" spans="8:17" x14ac:dyDescent="0.15">
      <c r="H241" s="17">
        <v>239</v>
      </c>
      <c r="I241">
        <v>110045</v>
      </c>
      <c r="J241" t="s">
        <v>1935</v>
      </c>
      <c r="K241">
        <v>107.65</v>
      </c>
      <c r="L241" s="20">
        <v>49.18</v>
      </c>
      <c r="M241" s="21">
        <v>29.496200000000002</v>
      </c>
      <c r="N241" s="5" t="str">
        <f t="shared" si="9"/>
        <v>未买</v>
      </c>
      <c r="Q241" s="17">
        <v>239</v>
      </c>
    </row>
    <row r="242" spans="8:17" x14ac:dyDescent="0.15">
      <c r="H242" s="17">
        <v>240</v>
      </c>
      <c r="I242">
        <v>128101</v>
      </c>
      <c r="J242" t="s">
        <v>1936</v>
      </c>
      <c r="K242">
        <v>134</v>
      </c>
      <c r="L242" s="20">
        <v>49.35</v>
      </c>
      <c r="M242" s="21">
        <v>2.994631</v>
      </c>
      <c r="N242" s="5" t="str">
        <f t="shared" si="9"/>
        <v>未买</v>
      </c>
      <c r="Q242" s="17">
        <v>240</v>
      </c>
    </row>
    <row r="243" spans="8:17" x14ac:dyDescent="0.15">
      <c r="H243" s="17">
        <v>241</v>
      </c>
      <c r="I243">
        <v>127037</v>
      </c>
      <c r="J243" t="s">
        <v>233</v>
      </c>
      <c r="K243">
        <v>118.8</v>
      </c>
      <c r="L243" s="20">
        <v>49.47</v>
      </c>
      <c r="M243" s="21">
        <v>6.9976070000000012</v>
      </c>
      <c r="N243" s="5" t="str">
        <f t="shared" si="9"/>
        <v>未买</v>
      </c>
      <c r="Q243" s="17">
        <v>241</v>
      </c>
    </row>
    <row r="244" spans="8:17" x14ac:dyDescent="0.15">
      <c r="H244" s="17">
        <v>242</v>
      </c>
      <c r="I244">
        <v>128056</v>
      </c>
      <c r="J244" t="s">
        <v>79</v>
      </c>
      <c r="K244">
        <v>119.78100000000001</v>
      </c>
      <c r="L244" s="20">
        <v>49.5</v>
      </c>
      <c r="M244" s="21">
        <v>1.7224740000000003</v>
      </c>
      <c r="N244" s="5" t="str">
        <f t="shared" si="9"/>
        <v>未买</v>
      </c>
      <c r="Q244" s="17">
        <v>242</v>
      </c>
    </row>
    <row r="245" spans="8:17" x14ac:dyDescent="0.15">
      <c r="H245" s="17">
        <v>243</v>
      </c>
      <c r="I245">
        <v>110056</v>
      </c>
      <c r="J245" t="s">
        <v>1937</v>
      </c>
      <c r="K245">
        <v>120.45</v>
      </c>
      <c r="L245" s="20">
        <v>49.81</v>
      </c>
      <c r="M245" s="21">
        <v>17.100950000000001</v>
      </c>
      <c r="N245" s="5" t="str">
        <f t="shared" si="9"/>
        <v>未买</v>
      </c>
      <c r="Q245" s="17">
        <v>243</v>
      </c>
    </row>
    <row r="246" spans="8:17" x14ac:dyDescent="0.15">
      <c r="H246" s="17">
        <v>244</v>
      </c>
      <c r="I246">
        <v>123014</v>
      </c>
      <c r="J246" t="s">
        <v>55</v>
      </c>
      <c r="K246">
        <v>137.98500000000001</v>
      </c>
      <c r="L246" s="20">
        <v>50.1</v>
      </c>
      <c r="M246" s="21">
        <v>1.1603950000000001</v>
      </c>
      <c r="N246" s="5" t="str">
        <f t="shared" si="9"/>
        <v>未买</v>
      </c>
      <c r="Q246" s="17">
        <v>244</v>
      </c>
    </row>
    <row r="247" spans="8:17" x14ac:dyDescent="0.15">
      <c r="H247" s="17">
        <v>245</v>
      </c>
      <c r="I247">
        <v>127047</v>
      </c>
      <c r="J247" t="s">
        <v>1938</v>
      </c>
      <c r="K247">
        <v>104.851</v>
      </c>
      <c r="L247" s="20">
        <v>50.28</v>
      </c>
      <c r="M247" s="21">
        <v>14.999606999999999</v>
      </c>
      <c r="N247" s="5" t="str">
        <f t="shared" si="9"/>
        <v>未买</v>
      </c>
      <c r="Q247" s="17">
        <v>245</v>
      </c>
    </row>
    <row r="248" spans="8:17" x14ac:dyDescent="0.15">
      <c r="H248" s="17">
        <v>246</v>
      </c>
      <c r="I248">
        <v>113600</v>
      </c>
      <c r="J248" t="s">
        <v>275</v>
      </c>
      <c r="K248">
        <v>120.64</v>
      </c>
      <c r="L248" s="20">
        <v>50.41</v>
      </c>
      <c r="M248" s="21">
        <v>4.5331000000000001</v>
      </c>
      <c r="N248" s="5" t="str">
        <f t="shared" si="9"/>
        <v>未买</v>
      </c>
      <c r="Q248" s="17">
        <v>246</v>
      </c>
    </row>
    <row r="249" spans="8:17" x14ac:dyDescent="0.15">
      <c r="H249" s="17">
        <v>247</v>
      </c>
      <c r="I249">
        <v>123031</v>
      </c>
      <c r="J249" t="s">
        <v>1939</v>
      </c>
      <c r="K249">
        <v>362.93599999999998</v>
      </c>
      <c r="L249" s="20">
        <v>50.78</v>
      </c>
      <c r="M249" s="21">
        <v>0.53005000000000002</v>
      </c>
      <c r="N249" s="5" t="str">
        <f t="shared" si="9"/>
        <v>未买</v>
      </c>
      <c r="Q249" s="17">
        <v>247</v>
      </c>
    </row>
    <row r="250" spans="8:17" x14ac:dyDescent="0.15">
      <c r="H250" s="17">
        <v>248</v>
      </c>
      <c r="I250">
        <v>128120</v>
      </c>
      <c r="J250" t="s">
        <v>117</v>
      </c>
      <c r="K250">
        <v>116.431</v>
      </c>
      <c r="L250" s="20">
        <v>51.03</v>
      </c>
      <c r="M250" s="21">
        <v>2.5996240000000004</v>
      </c>
      <c r="N250" s="5" t="str">
        <f t="shared" si="9"/>
        <v>未买</v>
      </c>
      <c r="Q250" s="17">
        <v>248</v>
      </c>
    </row>
    <row r="251" spans="8:17" x14ac:dyDescent="0.15">
      <c r="H251" s="17">
        <v>249</v>
      </c>
      <c r="I251">
        <v>128078</v>
      </c>
      <c r="J251" t="s">
        <v>1940</v>
      </c>
      <c r="K251">
        <v>120.49</v>
      </c>
      <c r="L251" s="20">
        <v>51.2</v>
      </c>
      <c r="M251" s="21">
        <v>9.5993570000000012</v>
      </c>
      <c r="N251" s="5" t="str">
        <f t="shared" si="9"/>
        <v>未买</v>
      </c>
      <c r="Q251" s="17">
        <v>249</v>
      </c>
    </row>
    <row r="252" spans="8:17" x14ac:dyDescent="0.15">
      <c r="H252" s="17">
        <v>250</v>
      </c>
      <c r="I252">
        <v>123133</v>
      </c>
      <c r="J252" t="s">
        <v>278</v>
      </c>
      <c r="K252">
        <v>118.6</v>
      </c>
      <c r="L252" s="20">
        <v>51.31</v>
      </c>
      <c r="M252" s="21">
        <v>7.2</v>
      </c>
      <c r="N252" s="5" t="str">
        <f t="shared" si="9"/>
        <v>未买</v>
      </c>
      <c r="Q252" s="17">
        <v>250</v>
      </c>
    </row>
    <row r="253" spans="8:17" x14ac:dyDescent="0.15">
      <c r="H253" s="17">
        <v>251</v>
      </c>
      <c r="I253">
        <v>127006</v>
      </c>
      <c r="J253" t="s">
        <v>1941</v>
      </c>
      <c r="K253">
        <v>107.51</v>
      </c>
      <c r="L253" s="20">
        <v>51.49</v>
      </c>
      <c r="M253" s="21">
        <v>24.072263</v>
      </c>
      <c r="N253" s="5" t="str">
        <f t="shared" si="9"/>
        <v>未买</v>
      </c>
      <c r="Q253" s="17">
        <v>251</v>
      </c>
    </row>
    <row r="254" spans="8:17" x14ac:dyDescent="0.15">
      <c r="H254" s="17">
        <v>252</v>
      </c>
      <c r="I254">
        <v>113648</v>
      </c>
      <c r="J254" t="s">
        <v>1942</v>
      </c>
      <c r="K254">
        <v>117.67</v>
      </c>
      <c r="L254" s="20">
        <v>51.62</v>
      </c>
      <c r="M254" s="21">
        <v>10</v>
      </c>
      <c r="N254" s="5" t="str">
        <f t="shared" si="9"/>
        <v>未买</v>
      </c>
      <c r="Q254" s="17">
        <v>252</v>
      </c>
    </row>
    <row r="255" spans="8:17" x14ac:dyDescent="0.15">
      <c r="H255" s="17">
        <v>253</v>
      </c>
      <c r="I255">
        <v>113621</v>
      </c>
      <c r="J255" t="s">
        <v>248</v>
      </c>
      <c r="K255">
        <v>126.4</v>
      </c>
      <c r="L255" s="20">
        <v>51.65</v>
      </c>
      <c r="M255" s="21">
        <v>5.3671432979999993</v>
      </c>
      <c r="N255" s="5" t="str">
        <f t="shared" si="9"/>
        <v>未买</v>
      </c>
      <c r="Q255" s="17">
        <v>253</v>
      </c>
    </row>
    <row r="256" spans="8:17" x14ac:dyDescent="0.15">
      <c r="H256" s="17">
        <v>254</v>
      </c>
      <c r="I256">
        <v>123131</v>
      </c>
      <c r="J256" t="s">
        <v>250</v>
      </c>
      <c r="K256">
        <v>124.7</v>
      </c>
      <c r="L256" s="20">
        <v>52.97</v>
      </c>
      <c r="M256" s="21">
        <v>6.35</v>
      </c>
      <c r="N256" s="5" t="str">
        <f t="shared" si="9"/>
        <v>未买</v>
      </c>
      <c r="Q256" s="17">
        <v>254</v>
      </c>
    </row>
    <row r="257" spans="8:17" x14ac:dyDescent="0.15">
      <c r="H257" s="17">
        <v>255</v>
      </c>
      <c r="I257">
        <v>113561</v>
      </c>
      <c r="J257" t="s">
        <v>86</v>
      </c>
      <c r="K257">
        <v>118.38</v>
      </c>
      <c r="L257" s="20">
        <v>53.18</v>
      </c>
      <c r="M257" s="21">
        <v>1.4991000000000001</v>
      </c>
      <c r="N257" s="5" t="str">
        <f t="shared" si="9"/>
        <v>未买</v>
      </c>
      <c r="Q257" s="17">
        <v>255</v>
      </c>
    </row>
    <row r="258" spans="8:17" x14ac:dyDescent="0.15">
      <c r="H258" s="17">
        <v>256</v>
      </c>
      <c r="I258">
        <v>123132</v>
      </c>
      <c r="J258" t="s">
        <v>254</v>
      </c>
      <c r="K258">
        <v>116.67</v>
      </c>
      <c r="L258" s="20">
        <v>53.43</v>
      </c>
      <c r="M258" s="21">
        <v>7</v>
      </c>
      <c r="N258" s="5" t="str">
        <f t="shared" si="9"/>
        <v>未买</v>
      </c>
      <c r="Q258" s="17">
        <v>256</v>
      </c>
    </row>
    <row r="259" spans="8:17" x14ac:dyDescent="0.15">
      <c r="H259" s="17">
        <v>257</v>
      </c>
      <c r="I259">
        <v>127026</v>
      </c>
      <c r="J259" t="s">
        <v>235</v>
      </c>
      <c r="K259">
        <v>111.17100000000001</v>
      </c>
      <c r="L259" s="20">
        <v>53.7</v>
      </c>
      <c r="M259" s="21">
        <v>6.9971039999999984</v>
      </c>
      <c r="N259" s="5" t="str">
        <f t="shared" si="9"/>
        <v>未买</v>
      </c>
      <c r="Q259" s="17">
        <v>257</v>
      </c>
    </row>
    <row r="260" spans="8:17" x14ac:dyDescent="0.15">
      <c r="H260" s="17">
        <v>258</v>
      </c>
      <c r="I260">
        <v>113644</v>
      </c>
      <c r="J260" t="s">
        <v>1943</v>
      </c>
      <c r="K260">
        <v>112.78</v>
      </c>
      <c r="L260" s="20">
        <v>54.41</v>
      </c>
      <c r="M260" s="21">
        <v>10</v>
      </c>
      <c r="N260" s="5" t="str">
        <f t="shared" ref="N260:N323" si="10">IF(ISNA(MATCH(I260,$A$3:$A$1000,0)),"未买","Yes")</f>
        <v>未买</v>
      </c>
      <c r="Q260" s="17">
        <v>258</v>
      </c>
    </row>
    <row r="261" spans="8:17" x14ac:dyDescent="0.15">
      <c r="H261" s="17">
        <v>259</v>
      </c>
      <c r="I261">
        <v>123142</v>
      </c>
      <c r="J261" t="s">
        <v>782</v>
      </c>
      <c r="K261">
        <v>116.794</v>
      </c>
      <c r="L261" s="20">
        <v>54.65</v>
      </c>
      <c r="M261" s="21">
        <v>5.5</v>
      </c>
      <c r="N261" s="5" t="str">
        <f t="shared" si="10"/>
        <v>未买</v>
      </c>
      <c r="Q261" s="17">
        <v>259</v>
      </c>
    </row>
    <row r="262" spans="8:17" x14ac:dyDescent="0.15">
      <c r="H262" s="17">
        <v>260</v>
      </c>
      <c r="I262">
        <v>127055</v>
      </c>
      <c r="J262" t="s">
        <v>781</v>
      </c>
      <c r="K262">
        <v>116.84099999999999</v>
      </c>
      <c r="L262" s="20">
        <v>54.9</v>
      </c>
      <c r="M262" s="21">
        <v>5.77</v>
      </c>
      <c r="N262" s="5" t="str">
        <f t="shared" si="10"/>
        <v>未买</v>
      </c>
      <c r="Q262" s="17">
        <v>260</v>
      </c>
    </row>
    <row r="263" spans="8:17" x14ac:dyDescent="0.15">
      <c r="H263" s="17">
        <v>261</v>
      </c>
      <c r="I263">
        <v>128039</v>
      </c>
      <c r="J263" t="s">
        <v>120</v>
      </c>
      <c r="K263">
        <v>117.221</v>
      </c>
      <c r="L263" s="20">
        <v>55.32</v>
      </c>
      <c r="M263" s="21">
        <v>2.0240990000000001</v>
      </c>
      <c r="N263" s="5" t="str">
        <f t="shared" si="10"/>
        <v>未买</v>
      </c>
      <c r="Q263" s="17">
        <v>261</v>
      </c>
    </row>
    <row r="264" spans="8:17" x14ac:dyDescent="0.15">
      <c r="H264" s="17">
        <v>262</v>
      </c>
      <c r="I264">
        <v>127048</v>
      </c>
      <c r="J264" t="s">
        <v>221</v>
      </c>
      <c r="K264">
        <v>122.485</v>
      </c>
      <c r="L264" s="20">
        <v>55.38</v>
      </c>
      <c r="M264" s="21">
        <v>2.6998259999999998</v>
      </c>
      <c r="N264" s="5" t="str">
        <f t="shared" si="10"/>
        <v>未买</v>
      </c>
      <c r="Q264" s="17">
        <v>262</v>
      </c>
    </row>
    <row r="265" spans="8:17" x14ac:dyDescent="0.15">
      <c r="H265" s="17">
        <v>263</v>
      </c>
      <c r="I265">
        <v>128036</v>
      </c>
      <c r="J265" t="s">
        <v>182</v>
      </c>
      <c r="K265">
        <v>141.38900000000001</v>
      </c>
      <c r="L265" s="20">
        <v>55.53</v>
      </c>
      <c r="M265" s="21">
        <v>1.4565429999999999</v>
      </c>
      <c r="N265" s="5" t="str">
        <f t="shared" si="10"/>
        <v>Yes</v>
      </c>
      <c r="Q265" s="17">
        <v>263</v>
      </c>
    </row>
    <row r="266" spans="8:17" x14ac:dyDescent="0.15">
      <c r="H266" s="17">
        <v>264</v>
      </c>
      <c r="I266">
        <v>111002</v>
      </c>
      <c r="J266" t="s">
        <v>249</v>
      </c>
      <c r="K266">
        <v>141.38900000000001</v>
      </c>
      <c r="L266" s="20">
        <v>55.53</v>
      </c>
      <c r="M266" s="21">
        <v>1.4565429999999999</v>
      </c>
      <c r="N266" s="5" t="str">
        <f t="shared" si="10"/>
        <v>未买</v>
      </c>
      <c r="Q266" s="17">
        <v>264</v>
      </c>
    </row>
    <row r="267" spans="8:17" x14ac:dyDescent="0.15">
      <c r="H267" s="17">
        <v>265</v>
      </c>
      <c r="I267">
        <v>127036</v>
      </c>
      <c r="J267" t="s">
        <v>1944</v>
      </c>
      <c r="K267">
        <v>119</v>
      </c>
      <c r="L267" s="20">
        <v>55.66</v>
      </c>
      <c r="M267" s="21">
        <v>29.992660000000001</v>
      </c>
      <c r="N267" s="5" t="str">
        <f t="shared" si="10"/>
        <v>未买</v>
      </c>
      <c r="Q267" s="17">
        <v>265</v>
      </c>
    </row>
    <row r="268" spans="8:17" x14ac:dyDescent="0.15">
      <c r="H268" s="17">
        <v>266</v>
      </c>
      <c r="I268">
        <v>123054</v>
      </c>
      <c r="J268" t="s">
        <v>82</v>
      </c>
      <c r="K268">
        <v>132</v>
      </c>
      <c r="L268" s="20">
        <v>55.84</v>
      </c>
      <c r="M268" s="21">
        <v>2.0732020000000002</v>
      </c>
      <c r="N268" s="5" t="str">
        <f t="shared" si="10"/>
        <v>未买</v>
      </c>
      <c r="Q268" s="17">
        <v>266</v>
      </c>
    </row>
    <row r="269" spans="8:17" x14ac:dyDescent="0.15">
      <c r="H269" s="17">
        <v>267</v>
      </c>
      <c r="I269">
        <v>113527</v>
      </c>
      <c r="J269" t="s">
        <v>119</v>
      </c>
      <c r="K269">
        <v>119.44</v>
      </c>
      <c r="L269" s="20">
        <v>55.89</v>
      </c>
      <c r="M269" s="21">
        <v>2.8632300000000002</v>
      </c>
      <c r="N269" s="5" t="str">
        <f t="shared" si="10"/>
        <v>未买</v>
      </c>
      <c r="Q269" s="17">
        <v>267</v>
      </c>
    </row>
    <row r="270" spans="8:17" x14ac:dyDescent="0.15">
      <c r="H270" s="17">
        <v>268</v>
      </c>
      <c r="I270">
        <v>113588</v>
      </c>
      <c r="J270" t="s">
        <v>219</v>
      </c>
      <c r="K270">
        <v>111.16</v>
      </c>
      <c r="L270" s="20">
        <v>56.19</v>
      </c>
      <c r="M270" s="21">
        <v>5.49885</v>
      </c>
      <c r="N270" s="5" t="str">
        <f t="shared" si="10"/>
        <v>未买</v>
      </c>
      <c r="Q270" s="17">
        <v>268</v>
      </c>
    </row>
    <row r="271" spans="8:17" x14ac:dyDescent="0.15">
      <c r="H271" s="17">
        <v>269</v>
      </c>
      <c r="I271">
        <v>123059</v>
      </c>
      <c r="J271" t="s">
        <v>211</v>
      </c>
      <c r="K271">
        <v>116.396</v>
      </c>
      <c r="L271" s="20">
        <v>56.24</v>
      </c>
      <c r="M271" s="21">
        <v>3.912436</v>
      </c>
      <c r="N271" s="5" t="str">
        <f t="shared" si="10"/>
        <v>未买</v>
      </c>
      <c r="Q271" s="17">
        <v>269</v>
      </c>
    </row>
    <row r="272" spans="8:17" x14ac:dyDescent="0.15">
      <c r="H272" s="17">
        <v>270</v>
      </c>
      <c r="I272">
        <v>128143</v>
      </c>
      <c r="J272" t="s">
        <v>118</v>
      </c>
      <c r="K272">
        <v>117.009</v>
      </c>
      <c r="L272" s="20">
        <v>56.3</v>
      </c>
      <c r="M272" s="21">
        <v>2.443762</v>
      </c>
      <c r="N272" s="5" t="str">
        <f t="shared" si="10"/>
        <v>未买</v>
      </c>
      <c r="Q272" s="17">
        <v>270</v>
      </c>
    </row>
    <row r="273" spans="8:17" x14ac:dyDescent="0.15">
      <c r="H273" s="17">
        <v>271</v>
      </c>
      <c r="I273">
        <v>113577</v>
      </c>
      <c r="J273" t="s">
        <v>116</v>
      </c>
      <c r="K273">
        <v>126</v>
      </c>
      <c r="L273" s="20">
        <v>56.42</v>
      </c>
      <c r="M273" s="21">
        <v>1.7774799999999999</v>
      </c>
      <c r="N273" s="5" t="str">
        <f t="shared" si="10"/>
        <v>未买</v>
      </c>
      <c r="Q273" s="17">
        <v>271</v>
      </c>
    </row>
    <row r="274" spans="8:17" x14ac:dyDescent="0.15">
      <c r="H274" s="17">
        <v>272</v>
      </c>
      <c r="I274">
        <v>113610</v>
      </c>
      <c r="J274" t="s">
        <v>112</v>
      </c>
      <c r="K274">
        <v>110.89</v>
      </c>
      <c r="L274" s="20">
        <v>57.02</v>
      </c>
      <c r="M274" s="21">
        <v>4.5794600000000001</v>
      </c>
      <c r="N274" s="5" t="str">
        <f t="shared" si="10"/>
        <v>未买</v>
      </c>
      <c r="Q274" s="17">
        <v>272</v>
      </c>
    </row>
    <row r="275" spans="8:17" x14ac:dyDescent="0.15">
      <c r="H275" s="17">
        <v>273</v>
      </c>
      <c r="I275">
        <v>127050</v>
      </c>
      <c r="J275" t="s">
        <v>1945</v>
      </c>
      <c r="K275">
        <v>119.95</v>
      </c>
      <c r="L275" s="20">
        <v>57.46</v>
      </c>
      <c r="M275" s="21">
        <v>21.989227</v>
      </c>
      <c r="N275" s="5" t="str">
        <f t="shared" si="10"/>
        <v>未买</v>
      </c>
      <c r="Q275" s="17">
        <v>273</v>
      </c>
    </row>
    <row r="276" spans="8:17" x14ac:dyDescent="0.15">
      <c r="H276" s="17">
        <v>274</v>
      </c>
      <c r="I276">
        <v>110067</v>
      </c>
      <c r="J276" t="s">
        <v>1946</v>
      </c>
      <c r="K276">
        <v>107.54</v>
      </c>
      <c r="L276" s="20">
        <v>57.75</v>
      </c>
      <c r="M276" s="21">
        <v>27.995080000000002</v>
      </c>
      <c r="N276" s="5" t="str">
        <f t="shared" si="10"/>
        <v>未买</v>
      </c>
      <c r="Q276" s="17">
        <v>274</v>
      </c>
    </row>
    <row r="277" spans="8:17" x14ac:dyDescent="0.15">
      <c r="H277" s="17">
        <v>275</v>
      </c>
      <c r="I277">
        <v>113021</v>
      </c>
      <c r="J277" t="s">
        <v>1947</v>
      </c>
      <c r="K277">
        <v>109.27</v>
      </c>
      <c r="L277" s="20">
        <v>58.16</v>
      </c>
      <c r="M277" s="21">
        <v>399.99664999999999</v>
      </c>
      <c r="N277" s="5" t="str">
        <f t="shared" si="10"/>
        <v>未买</v>
      </c>
      <c r="Q277" s="17">
        <v>275</v>
      </c>
    </row>
    <row r="278" spans="8:17" x14ac:dyDescent="0.15">
      <c r="H278" s="17">
        <v>276</v>
      </c>
      <c r="I278">
        <v>123129</v>
      </c>
      <c r="J278" t="s">
        <v>247</v>
      </c>
      <c r="K278">
        <v>116.666</v>
      </c>
      <c r="L278" s="20">
        <v>58.6</v>
      </c>
      <c r="M278" s="21">
        <v>5.9999390000000004</v>
      </c>
      <c r="N278" s="5" t="str">
        <f t="shared" si="10"/>
        <v>未买</v>
      </c>
      <c r="Q278" s="17">
        <v>276</v>
      </c>
    </row>
    <row r="279" spans="8:17" x14ac:dyDescent="0.15">
      <c r="H279" s="17">
        <v>277</v>
      </c>
      <c r="I279">
        <v>123139</v>
      </c>
      <c r="J279" t="s">
        <v>788</v>
      </c>
      <c r="K279">
        <v>174.5</v>
      </c>
      <c r="L279" s="20">
        <v>58.87</v>
      </c>
      <c r="M279" s="21">
        <v>4.3</v>
      </c>
      <c r="N279" s="5" t="str">
        <f t="shared" si="10"/>
        <v>未买</v>
      </c>
      <c r="Q279" s="17">
        <v>277</v>
      </c>
    </row>
    <row r="280" spans="8:17" x14ac:dyDescent="0.15">
      <c r="H280" s="17">
        <v>278</v>
      </c>
      <c r="I280">
        <v>123106</v>
      </c>
      <c r="J280" t="s">
        <v>64</v>
      </c>
      <c r="K280">
        <v>112.441</v>
      </c>
      <c r="L280" s="20">
        <v>58.95</v>
      </c>
      <c r="M280" s="21">
        <v>3.199684</v>
      </c>
      <c r="N280" s="5" t="str">
        <f t="shared" si="10"/>
        <v>未买</v>
      </c>
      <c r="Q280" s="17">
        <v>278</v>
      </c>
    </row>
    <row r="281" spans="8:17" x14ac:dyDescent="0.15">
      <c r="H281" s="17">
        <v>279</v>
      </c>
      <c r="I281">
        <v>123025</v>
      </c>
      <c r="J281" t="s">
        <v>67</v>
      </c>
      <c r="K281">
        <v>123.809</v>
      </c>
      <c r="L281" s="20">
        <v>59.1</v>
      </c>
      <c r="M281" s="21">
        <v>3.0864669999999998</v>
      </c>
      <c r="N281" s="5" t="str">
        <f t="shared" si="10"/>
        <v>未买</v>
      </c>
      <c r="Q281" s="17">
        <v>279</v>
      </c>
    </row>
    <row r="282" spans="8:17" x14ac:dyDescent="0.15">
      <c r="H282" s="17">
        <v>280</v>
      </c>
      <c r="I282">
        <v>113046</v>
      </c>
      <c r="J282" t="s">
        <v>1948</v>
      </c>
      <c r="K282">
        <v>107.66</v>
      </c>
      <c r="L282" s="20">
        <v>59.64</v>
      </c>
      <c r="M282" s="21">
        <v>14.99883</v>
      </c>
      <c r="N282" s="5" t="str">
        <f t="shared" si="10"/>
        <v>未买</v>
      </c>
      <c r="Q282" s="17">
        <v>280</v>
      </c>
    </row>
    <row r="283" spans="8:17" x14ac:dyDescent="0.15">
      <c r="H283" s="17">
        <v>281</v>
      </c>
      <c r="I283">
        <v>127015</v>
      </c>
      <c r="J283" t="s">
        <v>169</v>
      </c>
      <c r="K283">
        <v>114.38</v>
      </c>
      <c r="L283" s="20">
        <v>59.99</v>
      </c>
      <c r="M283" s="21">
        <v>9.4969560000000008</v>
      </c>
      <c r="N283" s="5" t="str">
        <f t="shared" si="10"/>
        <v>未买</v>
      </c>
      <c r="Q283" s="17">
        <v>281</v>
      </c>
    </row>
    <row r="284" spans="8:17" x14ac:dyDescent="0.15">
      <c r="H284" s="17">
        <v>282</v>
      </c>
      <c r="I284">
        <v>123064</v>
      </c>
      <c r="J284" t="s">
        <v>142</v>
      </c>
      <c r="K284">
        <v>120</v>
      </c>
      <c r="L284" s="20">
        <v>60</v>
      </c>
      <c r="M284" s="21">
        <v>5.9814829999999999</v>
      </c>
      <c r="N284" s="5" t="str">
        <f t="shared" si="10"/>
        <v>未买</v>
      </c>
      <c r="Q284" s="17">
        <v>282</v>
      </c>
    </row>
    <row r="285" spans="8:17" x14ac:dyDescent="0.15">
      <c r="H285" s="17">
        <v>283</v>
      </c>
      <c r="I285">
        <v>128123</v>
      </c>
      <c r="J285" t="s">
        <v>165</v>
      </c>
      <c r="K285">
        <v>114.51</v>
      </c>
      <c r="L285" s="20">
        <v>60.6</v>
      </c>
      <c r="M285" s="21">
        <v>3.1992660000000002</v>
      </c>
      <c r="N285" s="5" t="str">
        <f t="shared" si="10"/>
        <v>未买</v>
      </c>
      <c r="Q285" s="17">
        <v>283</v>
      </c>
    </row>
    <row r="286" spans="8:17" x14ac:dyDescent="0.15">
      <c r="H286" s="17">
        <v>284</v>
      </c>
      <c r="I286">
        <v>123061</v>
      </c>
      <c r="J286" t="s">
        <v>95</v>
      </c>
      <c r="K286">
        <v>118.012</v>
      </c>
      <c r="L286" s="20">
        <v>62.13</v>
      </c>
      <c r="M286" s="21">
        <v>2.4961600000000002</v>
      </c>
      <c r="N286" s="5" t="str">
        <f t="shared" si="10"/>
        <v>未买</v>
      </c>
      <c r="Q286" s="17">
        <v>284</v>
      </c>
    </row>
    <row r="287" spans="8:17" x14ac:dyDescent="0.15">
      <c r="H287" s="17">
        <v>285</v>
      </c>
      <c r="I287">
        <v>123075</v>
      </c>
      <c r="J287" t="s">
        <v>70</v>
      </c>
      <c r="K287">
        <v>115.086</v>
      </c>
      <c r="L287" s="20">
        <v>63.71</v>
      </c>
      <c r="M287" s="21">
        <v>5.9963600000000001</v>
      </c>
      <c r="N287" s="5" t="str">
        <f t="shared" si="10"/>
        <v>未买</v>
      </c>
      <c r="Q287" s="17">
        <v>285</v>
      </c>
    </row>
    <row r="288" spans="8:17" x14ac:dyDescent="0.15">
      <c r="H288" s="17">
        <v>286</v>
      </c>
      <c r="I288">
        <v>113593</v>
      </c>
      <c r="J288" t="s">
        <v>60</v>
      </c>
      <c r="K288">
        <v>113.66</v>
      </c>
      <c r="L288" s="20">
        <v>64.53</v>
      </c>
      <c r="M288" s="21">
        <v>3.9978699999999998</v>
      </c>
      <c r="N288" s="5" t="str">
        <f t="shared" si="10"/>
        <v>未买</v>
      </c>
      <c r="Q288" s="17">
        <v>286</v>
      </c>
    </row>
    <row r="289" spans="8:17" x14ac:dyDescent="0.15">
      <c r="H289" s="17">
        <v>287</v>
      </c>
      <c r="I289">
        <v>113535</v>
      </c>
      <c r="J289" t="s">
        <v>217</v>
      </c>
      <c r="K289">
        <v>111.47</v>
      </c>
      <c r="L289" s="20">
        <v>65.260000000000005</v>
      </c>
      <c r="M289" s="21">
        <v>4.9961399999999996</v>
      </c>
      <c r="N289" s="5" t="str">
        <f t="shared" si="10"/>
        <v>未买</v>
      </c>
      <c r="Q289" s="17">
        <v>287</v>
      </c>
    </row>
    <row r="290" spans="8:17" x14ac:dyDescent="0.15">
      <c r="H290" s="17">
        <v>288</v>
      </c>
      <c r="I290">
        <v>123115</v>
      </c>
      <c r="J290" t="s">
        <v>1949</v>
      </c>
      <c r="K290">
        <v>114.435</v>
      </c>
      <c r="L290" s="20">
        <v>65.680000000000007</v>
      </c>
      <c r="M290" s="21">
        <v>11.94642</v>
      </c>
      <c r="N290" s="5" t="str">
        <f t="shared" si="10"/>
        <v>未买</v>
      </c>
      <c r="Q290" s="17">
        <v>288</v>
      </c>
    </row>
    <row r="291" spans="8:17" x14ac:dyDescent="0.15">
      <c r="H291" s="17">
        <v>289</v>
      </c>
      <c r="I291">
        <v>113635</v>
      </c>
      <c r="J291" t="s">
        <v>1950</v>
      </c>
      <c r="K291">
        <v>116.65</v>
      </c>
      <c r="L291" s="20">
        <v>66.41</v>
      </c>
      <c r="M291" s="21">
        <v>13.5</v>
      </c>
      <c r="N291" s="5" t="str">
        <f t="shared" si="10"/>
        <v>未买</v>
      </c>
      <c r="Q291" s="17">
        <v>289</v>
      </c>
    </row>
    <row r="292" spans="8:17" x14ac:dyDescent="0.15">
      <c r="H292" s="17">
        <v>290</v>
      </c>
      <c r="I292">
        <v>113623</v>
      </c>
      <c r="J292" t="s">
        <v>1951</v>
      </c>
      <c r="K292">
        <v>113.92</v>
      </c>
      <c r="L292" s="20">
        <v>66.62</v>
      </c>
      <c r="M292" s="21">
        <v>24.999580000000002</v>
      </c>
      <c r="N292" s="5" t="str">
        <f t="shared" si="10"/>
        <v>未买</v>
      </c>
      <c r="Q292" s="17">
        <v>290</v>
      </c>
    </row>
    <row r="293" spans="8:17" x14ac:dyDescent="0.15">
      <c r="H293" s="17">
        <v>291</v>
      </c>
      <c r="I293" s="7">
        <v>110082</v>
      </c>
      <c r="J293" s="7" t="s">
        <v>1952</v>
      </c>
      <c r="K293" s="7">
        <v>115.58</v>
      </c>
      <c r="L293" s="53">
        <v>68.17</v>
      </c>
      <c r="M293" s="56">
        <v>19.99943</v>
      </c>
      <c r="N293" s="5" t="str">
        <f t="shared" si="10"/>
        <v>未买</v>
      </c>
    </row>
    <row r="294" spans="8:17" x14ac:dyDescent="0.15">
      <c r="H294" s="17">
        <v>292</v>
      </c>
      <c r="I294" s="7">
        <v>113563</v>
      </c>
      <c r="J294" s="7" t="s">
        <v>167</v>
      </c>
      <c r="K294" s="7">
        <v>108.9</v>
      </c>
      <c r="L294" s="53">
        <v>68.58</v>
      </c>
      <c r="M294" s="56">
        <v>8.0190199999999994</v>
      </c>
      <c r="N294" s="5" t="str">
        <f t="shared" si="10"/>
        <v>未买</v>
      </c>
    </row>
    <row r="295" spans="8:17" x14ac:dyDescent="0.15">
      <c r="H295" s="17">
        <v>293</v>
      </c>
      <c r="I295" s="7">
        <v>128023</v>
      </c>
      <c r="J295" s="7" t="s">
        <v>214</v>
      </c>
      <c r="K295" s="7">
        <v>114.502</v>
      </c>
      <c r="L295" s="53">
        <v>68.959999999999994</v>
      </c>
      <c r="M295" s="56">
        <v>9.9865580000000005</v>
      </c>
      <c r="N295" s="5" t="str">
        <f t="shared" si="10"/>
        <v>未买</v>
      </c>
    </row>
    <row r="296" spans="8:17" x14ac:dyDescent="0.15">
      <c r="H296" s="17">
        <v>294</v>
      </c>
      <c r="I296" s="7">
        <v>110073</v>
      </c>
      <c r="J296" s="7" t="s">
        <v>1953</v>
      </c>
      <c r="K296" s="7">
        <v>105.54</v>
      </c>
      <c r="L296" s="53">
        <v>69.62</v>
      </c>
      <c r="M296" s="56">
        <v>79.993359999999996</v>
      </c>
      <c r="N296" s="5" t="str">
        <f t="shared" si="10"/>
        <v>未买</v>
      </c>
    </row>
    <row r="297" spans="8:17" x14ac:dyDescent="0.15">
      <c r="H297" s="17">
        <v>295</v>
      </c>
      <c r="I297" s="7">
        <v>128069</v>
      </c>
      <c r="J297" s="7" t="s">
        <v>173</v>
      </c>
      <c r="K297" s="7">
        <v>115.33</v>
      </c>
      <c r="L297" s="53">
        <v>69.98</v>
      </c>
      <c r="M297" s="56">
        <v>2.99343</v>
      </c>
      <c r="N297" s="5" t="str">
        <f t="shared" si="10"/>
        <v>未买</v>
      </c>
    </row>
    <row r="298" spans="8:17" x14ac:dyDescent="0.15">
      <c r="H298" s="17">
        <v>296</v>
      </c>
      <c r="I298" s="7">
        <v>110058</v>
      </c>
      <c r="J298" s="7" t="s">
        <v>78</v>
      </c>
      <c r="K298" s="7">
        <v>112.12</v>
      </c>
      <c r="L298" s="53">
        <v>70.73</v>
      </c>
      <c r="M298" s="56">
        <v>2.6103100000000001</v>
      </c>
      <c r="N298" s="5" t="str">
        <f t="shared" si="10"/>
        <v>未买</v>
      </c>
    </row>
    <row r="299" spans="8:17" x14ac:dyDescent="0.15">
      <c r="H299" s="17">
        <v>297</v>
      </c>
      <c r="I299" s="7">
        <v>123004</v>
      </c>
      <c r="J299" s="7" t="s">
        <v>181</v>
      </c>
      <c r="K299" s="7">
        <v>107.398</v>
      </c>
      <c r="L299" s="53">
        <v>71.64</v>
      </c>
      <c r="M299" s="56">
        <v>8.031758</v>
      </c>
      <c r="N299" s="5" t="str">
        <f t="shared" si="10"/>
        <v>未买</v>
      </c>
    </row>
    <row r="300" spans="8:17" x14ac:dyDescent="0.15">
      <c r="H300" s="17">
        <v>298</v>
      </c>
      <c r="I300" s="7">
        <v>113043</v>
      </c>
      <c r="J300" s="7" t="s">
        <v>1954</v>
      </c>
      <c r="K300" s="7">
        <v>106</v>
      </c>
      <c r="L300" s="53">
        <v>73.319999999999993</v>
      </c>
      <c r="M300" s="56">
        <v>37.997660000000003</v>
      </c>
      <c r="N300" s="5" t="str">
        <f t="shared" si="10"/>
        <v>未买</v>
      </c>
    </row>
    <row r="301" spans="8:17" x14ac:dyDescent="0.15">
      <c r="H301" s="17">
        <v>299</v>
      </c>
      <c r="I301" s="7">
        <v>113530</v>
      </c>
      <c r="J301" s="7" t="s">
        <v>191</v>
      </c>
      <c r="K301" s="7">
        <v>112.51</v>
      </c>
      <c r="L301" s="53">
        <v>73.33</v>
      </c>
      <c r="M301" s="56">
        <v>6.2976599999999996</v>
      </c>
      <c r="N301" s="5" t="str">
        <f t="shared" si="10"/>
        <v>未买</v>
      </c>
    </row>
    <row r="302" spans="8:17" x14ac:dyDescent="0.15">
      <c r="H302" s="17">
        <v>300</v>
      </c>
      <c r="I302" s="7">
        <v>118005</v>
      </c>
      <c r="J302" s="7" t="s">
        <v>787</v>
      </c>
      <c r="K302" s="7">
        <v>112.51</v>
      </c>
      <c r="L302" s="53">
        <v>73.33</v>
      </c>
      <c r="M302" s="56">
        <v>6.2976599999999996</v>
      </c>
      <c r="N302" s="5" t="str">
        <f t="shared" si="10"/>
        <v>未买</v>
      </c>
    </row>
    <row r="303" spans="8:17" x14ac:dyDescent="0.15">
      <c r="H303" s="17">
        <v>301</v>
      </c>
      <c r="I303" s="7">
        <v>128105</v>
      </c>
      <c r="J303" s="7" t="s">
        <v>186</v>
      </c>
      <c r="K303" s="7">
        <v>101.511</v>
      </c>
      <c r="L303" s="53">
        <v>73.790000000000006</v>
      </c>
      <c r="M303" s="56">
        <v>7.9952110000000003</v>
      </c>
      <c r="N303" s="5" t="str">
        <f t="shared" si="10"/>
        <v>未买</v>
      </c>
    </row>
    <row r="304" spans="8:17" x14ac:dyDescent="0.15">
      <c r="H304" s="17">
        <v>302</v>
      </c>
      <c r="I304" s="7">
        <v>128030</v>
      </c>
      <c r="J304" s="7" t="s">
        <v>1955</v>
      </c>
      <c r="K304" s="7">
        <v>218.3</v>
      </c>
      <c r="L304" s="53">
        <v>74.44</v>
      </c>
      <c r="M304" s="56">
        <v>0.855209</v>
      </c>
      <c r="N304" s="5" t="str">
        <f t="shared" si="10"/>
        <v>未买</v>
      </c>
    </row>
    <row r="305" spans="8:14" x14ac:dyDescent="0.15">
      <c r="H305" s="17">
        <v>303</v>
      </c>
      <c r="I305" s="7">
        <v>113042</v>
      </c>
      <c r="J305" s="7" t="s">
        <v>1956</v>
      </c>
      <c r="K305" s="7">
        <v>105.99</v>
      </c>
      <c r="L305" s="53">
        <v>75.48</v>
      </c>
      <c r="M305" s="56">
        <v>199.98697999999999</v>
      </c>
      <c r="N305" s="5" t="str">
        <f t="shared" si="10"/>
        <v>未买</v>
      </c>
    </row>
    <row r="306" spans="8:14" x14ac:dyDescent="0.15">
      <c r="H306" s="17">
        <v>304</v>
      </c>
      <c r="I306" s="7">
        <v>123049</v>
      </c>
      <c r="J306" s="7" t="s">
        <v>194</v>
      </c>
      <c r="K306" s="7">
        <v>106.93</v>
      </c>
      <c r="L306" s="53">
        <v>75.760000000000005</v>
      </c>
      <c r="M306" s="56">
        <v>9.1698649999999997</v>
      </c>
      <c r="N306" s="5" t="str">
        <f t="shared" si="10"/>
        <v>未买</v>
      </c>
    </row>
    <row r="307" spans="8:14" x14ac:dyDescent="0.15">
      <c r="H307" s="17">
        <v>305</v>
      </c>
      <c r="I307" s="7">
        <v>113045</v>
      </c>
      <c r="J307" s="7" t="s">
        <v>1957</v>
      </c>
      <c r="K307" s="7">
        <v>109.78</v>
      </c>
      <c r="L307" s="53">
        <v>76.98</v>
      </c>
      <c r="M307" s="56">
        <v>34.499510000000001</v>
      </c>
      <c r="N307" s="5" t="str">
        <f t="shared" si="10"/>
        <v>未买</v>
      </c>
    </row>
    <row r="308" spans="8:14" x14ac:dyDescent="0.15">
      <c r="H308" s="17">
        <v>306</v>
      </c>
      <c r="I308" s="7">
        <v>128079</v>
      </c>
      <c r="J308" s="7" t="s">
        <v>94</v>
      </c>
      <c r="K308" s="7">
        <v>134</v>
      </c>
      <c r="L308" s="53">
        <v>77.180000000000007</v>
      </c>
      <c r="M308" s="56">
        <v>1.520079</v>
      </c>
      <c r="N308" s="5" t="str">
        <f t="shared" si="10"/>
        <v>未买</v>
      </c>
    </row>
    <row r="309" spans="8:14" x14ac:dyDescent="0.15">
      <c r="H309" s="17">
        <v>307</v>
      </c>
      <c r="I309" s="7">
        <v>113578</v>
      </c>
      <c r="J309" s="7" t="s">
        <v>175</v>
      </c>
      <c r="K309" s="7">
        <v>104.83</v>
      </c>
      <c r="L309" s="53">
        <v>77.53</v>
      </c>
      <c r="M309" s="56">
        <v>3.8380800000000002</v>
      </c>
      <c r="N309" s="5" t="str">
        <f t="shared" si="10"/>
        <v>未买</v>
      </c>
    </row>
    <row r="310" spans="8:14" x14ac:dyDescent="0.15">
      <c r="H310" s="17">
        <v>308</v>
      </c>
      <c r="I310" s="7">
        <v>128026</v>
      </c>
      <c r="J310" s="7" t="s">
        <v>192</v>
      </c>
      <c r="K310" s="7">
        <v>107.10599999999999</v>
      </c>
      <c r="L310" s="53">
        <v>77.89</v>
      </c>
      <c r="M310" s="56">
        <v>4.0879250000000003</v>
      </c>
      <c r="N310" s="5" t="str">
        <f t="shared" si="10"/>
        <v>未买</v>
      </c>
    </row>
    <row r="311" spans="8:14" x14ac:dyDescent="0.15">
      <c r="H311" s="17">
        <v>309</v>
      </c>
      <c r="I311" s="7">
        <v>113566</v>
      </c>
      <c r="J311" s="7" t="s">
        <v>195</v>
      </c>
      <c r="K311" s="7">
        <v>116.23</v>
      </c>
      <c r="L311" s="53">
        <v>78.08</v>
      </c>
      <c r="M311" s="56">
        <v>1.6127199999999999</v>
      </c>
      <c r="N311" s="5" t="str">
        <f t="shared" si="10"/>
        <v>未买</v>
      </c>
    </row>
    <row r="312" spans="8:14" x14ac:dyDescent="0.15">
      <c r="H312" s="17">
        <v>310</v>
      </c>
      <c r="I312" s="7">
        <v>127062</v>
      </c>
      <c r="J312" s="7" t="s">
        <v>1958</v>
      </c>
      <c r="K312" s="7">
        <v>145.33000000000001</v>
      </c>
      <c r="L312" s="53">
        <v>78.12</v>
      </c>
      <c r="M312" s="56">
        <v>3.9630000000000001</v>
      </c>
      <c r="N312" s="5" t="str">
        <f t="shared" si="10"/>
        <v>未买</v>
      </c>
    </row>
    <row r="313" spans="8:14" x14ac:dyDescent="0.15">
      <c r="H313" s="17">
        <v>311</v>
      </c>
      <c r="I313" s="7">
        <v>127059</v>
      </c>
      <c r="J313" s="7" t="s">
        <v>1959</v>
      </c>
      <c r="K313" s="7">
        <v>150.45699999999999</v>
      </c>
      <c r="L313" s="53">
        <v>78.22</v>
      </c>
      <c r="M313" s="56">
        <v>3.8</v>
      </c>
      <c r="N313" s="5" t="str">
        <f t="shared" si="10"/>
        <v>未买</v>
      </c>
    </row>
    <row r="314" spans="8:14" x14ac:dyDescent="0.15">
      <c r="H314" s="17">
        <v>312</v>
      </c>
      <c r="I314" s="7">
        <v>110081</v>
      </c>
      <c r="J314" s="7" t="s">
        <v>1960</v>
      </c>
      <c r="K314" s="7">
        <v>114</v>
      </c>
      <c r="L314" s="53">
        <v>78.52</v>
      </c>
      <c r="M314" s="56">
        <v>85.983620000000002</v>
      </c>
      <c r="N314" s="5" t="str">
        <f t="shared" si="10"/>
        <v>未买</v>
      </c>
    </row>
    <row r="315" spans="8:14" x14ac:dyDescent="0.15">
      <c r="H315" s="17">
        <v>313</v>
      </c>
      <c r="I315" s="7">
        <v>123122</v>
      </c>
      <c r="J315" s="7" t="s">
        <v>177</v>
      </c>
      <c r="K315" s="7">
        <v>113.44</v>
      </c>
      <c r="L315" s="53">
        <v>79.209999999999994</v>
      </c>
      <c r="M315" s="56">
        <v>5.8082830000000003</v>
      </c>
      <c r="N315" s="5" t="str">
        <f t="shared" si="10"/>
        <v>未买</v>
      </c>
    </row>
    <row r="316" spans="8:14" x14ac:dyDescent="0.15">
      <c r="H316" s="17">
        <v>314</v>
      </c>
      <c r="I316" s="7">
        <v>128142</v>
      </c>
      <c r="J316" s="7" t="s">
        <v>201</v>
      </c>
      <c r="K316" s="7">
        <v>109.1</v>
      </c>
      <c r="L316" s="53">
        <v>80.72</v>
      </c>
      <c r="M316" s="56">
        <v>7.1797839999999997</v>
      </c>
      <c r="N316" s="5" t="str">
        <f t="shared" si="10"/>
        <v>未买</v>
      </c>
    </row>
    <row r="317" spans="8:14" x14ac:dyDescent="0.15">
      <c r="H317" s="17">
        <v>315</v>
      </c>
      <c r="I317" s="7">
        <v>128015</v>
      </c>
      <c r="J317" s="7" t="s">
        <v>163</v>
      </c>
      <c r="K317" s="7">
        <v>111.208</v>
      </c>
      <c r="L317" s="53">
        <v>81.53</v>
      </c>
      <c r="M317" s="56">
        <v>7.7922979999999997</v>
      </c>
      <c r="N317" s="5" t="str">
        <f t="shared" si="10"/>
        <v>未买</v>
      </c>
    </row>
    <row r="318" spans="8:14" x14ac:dyDescent="0.15">
      <c r="H318" s="17">
        <v>316</v>
      </c>
      <c r="I318" s="7">
        <v>110062</v>
      </c>
      <c r="J318" s="7" t="s">
        <v>1961</v>
      </c>
      <c r="K318" s="7">
        <v>109.42</v>
      </c>
      <c r="L318" s="53">
        <v>81.58</v>
      </c>
      <c r="M318" s="56">
        <v>30.87631</v>
      </c>
      <c r="N318" s="5" t="str">
        <f t="shared" si="10"/>
        <v>未买</v>
      </c>
    </row>
    <row r="319" spans="8:14" x14ac:dyDescent="0.15">
      <c r="H319" s="17">
        <v>317</v>
      </c>
      <c r="I319" s="7">
        <v>123096</v>
      </c>
      <c r="J319" s="7" t="s">
        <v>210</v>
      </c>
      <c r="K319" s="7">
        <v>106.1</v>
      </c>
      <c r="L319" s="53">
        <v>82.05</v>
      </c>
      <c r="M319" s="56">
        <v>8.1692879999999999</v>
      </c>
      <c r="N319" s="5" t="str">
        <f t="shared" si="10"/>
        <v>未买</v>
      </c>
    </row>
    <row r="320" spans="8:14" x14ac:dyDescent="0.15">
      <c r="H320" s="17">
        <v>318</v>
      </c>
      <c r="I320" s="7">
        <v>113542</v>
      </c>
      <c r="J320" s="7" t="s">
        <v>178</v>
      </c>
      <c r="K320" s="7">
        <v>106.53</v>
      </c>
      <c r="L320" s="53">
        <v>82.13</v>
      </c>
      <c r="M320" s="56">
        <v>6.02719</v>
      </c>
      <c r="N320" s="5" t="str">
        <f t="shared" si="10"/>
        <v>未买</v>
      </c>
    </row>
    <row r="321" spans="8:14" x14ac:dyDescent="0.15">
      <c r="H321" s="17">
        <v>319</v>
      </c>
      <c r="I321" s="7">
        <v>128117</v>
      </c>
      <c r="J321" s="7" t="s">
        <v>155</v>
      </c>
      <c r="K321" s="7">
        <v>111.26900000000001</v>
      </c>
      <c r="L321" s="53">
        <v>82.29</v>
      </c>
      <c r="M321" s="56">
        <v>3.5988820000000001</v>
      </c>
      <c r="N321" s="5" t="str">
        <f t="shared" si="10"/>
        <v>未买</v>
      </c>
    </row>
    <row r="322" spans="8:14" x14ac:dyDescent="0.15">
      <c r="H322" s="17">
        <v>320</v>
      </c>
      <c r="I322" s="7">
        <v>128122</v>
      </c>
      <c r="J322" s="7" t="s">
        <v>203</v>
      </c>
      <c r="K322" s="7">
        <v>117.01</v>
      </c>
      <c r="L322" s="53">
        <v>82.51</v>
      </c>
      <c r="M322" s="56">
        <v>2.6856960000000001</v>
      </c>
      <c r="N322" s="5" t="str">
        <f t="shared" si="10"/>
        <v>未买</v>
      </c>
    </row>
    <row r="323" spans="8:14" x14ac:dyDescent="0.15">
      <c r="H323" s="17">
        <v>321</v>
      </c>
      <c r="I323" s="7">
        <v>123093</v>
      </c>
      <c r="J323" s="7" t="s">
        <v>143</v>
      </c>
      <c r="K323" s="7">
        <v>117.9</v>
      </c>
      <c r="L323" s="53">
        <v>82.96</v>
      </c>
      <c r="M323" s="56">
        <v>2.4998309999999999</v>
      </c>
      <c r="N323" s="5" t="str">
        <f t="shared" si="10"/>
        <v>未买</v>
      </c>
    </row>
    <row r="324" spans="8:14" x14ac:dyDescent="0.15">
      <c r="H324" s="17">
        <v>322</v>
      </c>
      <c r="I324" s="7">
        <v>113638</v>
      </c>
      <c r="J324" s="7" t="s">
        <v>277</v>
      </c>
      <c r="K324" s="7">
        <v>117.18</v>
      </c>
      <c r="L324" s="53">
        <v>83.21</v>
      </c>
      <c r="M324" s="56">
        <v>6</v>
      </c>
      <c r="N324" s="5" t="str">
        <f t="shared" ref="N324:N387" si="11">IF(ISNA(MATCH(I324,$A$3:$A$1000,0)),"未买","Yes")</f>
        <v>未买</v>
      </c>
    </row>
    <row r="325" spans="8:14" x14ac:dyDescent="0.15">
      <c r="H325" s="17">
        <v>323</v>
      </c>
      <c r="I325" s="7">
        <v>113616</v>
      </c>
      <c r="J325" s="7" t="s">
        <v>1962</v>
      </c>
      <c r="K325" s="7">
        <v>123.08</v>
      </c>
      <c r="L325" s="53">
        <v>83.43</v>
      </c>
      <c r="M325" s="56">
        <v>24.333829999999999</v>
      </c>
      <c r="N325" s="5" t="str">
        <f t="shared" si="11"/>
        <v>未买</v>
      </c>
    </row>
    <row r="326" spans="8:14" x14ac:dyDescent="0.15">
      <c r="H326" s="17">
        <v>324</v>
      </c>
      <c r="I326" s="7">
        <v>123088</v>
      </c>
      <c r="J326" s="7" t="s">
        <v>238</v>
      </c>
      <c r="K326" s="7">
        <v>111.687</v>
      </c>
      <c r="L326" s="53">
        <v>83.82</v>
      </c>
      <c r="M326" s="56">
        <v>3.0117950000000002</v>
      </c>
      <c r="N326" s="5" t="str">
        <f t="shared" si="11"/>
        <v>未买</v>
      </c>
    </row>
    <row r="327" spans="8:14" x14ac:dyDescent="0.15">
      <c r="H327" s="17">
        <v>325</v>
      </c>
      <c r="I327" s="7">
        <v>128014</v>
      </c>
      <c r="J327" s="7" t="s">
        <v>189</v>
      </c>
      <c r="K327" s="7">
        <v>110.08199999999999</v>
      </c>
      <c r="L327" s="53">
        <v>84.27</v>
      </c>
      <c r="M327" s="56">
        <v>3.3698380000000001</v>
      </c>
      <c r="N327" s="5" t="str">
        <f t="shared" si="11"/>
        <v>未买</v>
      </c>
    </row>
    <row r="328" spans="8:14" x14ac:dyDescent="0.15">
      <c r="H328" s="17">
        <v>326</v>
      </c>
      <c r="I328" s="7">
        <v>110059</v>
      </c>
      <c r="J328" s="7" t="s">
        <v>1963</v>
      </c>
      <c r="K328" s="7">
        <v>106.49</v>
      </c>
      <c r="L328" s="53">
        <v>85.94</v>
      </c>
      <c r="M328" s="56">
        <v>499.98649</v>
      </c>
      <c r="N328" s="5" t="str">
        <f t="shared" si="11"/>
        <v>未买</v>
      </c>
    </row>
    <row r="329" spans="8:14" x14ac:dyDescent="0.15">
      <c r="H329" s="17">
        <v>327</v>
      </c>
      <c r="I329" s="7">
        <v>128063</v>
      </c>
      <c r="J329" s="7" t="s">
        <v>206</v>
      </c>
      <c r="K329" s="7">
        <v>114.11499999999999</v>
      </c>
      <c r="L329" s="53">
        <v>86.04</v>
      </c>
      <c r="M329" s="56">
        <v>6.293526</v>
      </c>
      <c r="N329" s="5" t="str">
        <f t="shared" si="11"/>
        <v>未买</v>
      </c>
    </row>
    <row r="330" spans="8:14" x14ac:dyDescent="0.15">
      <c r="H330" s="17">
        <v>328</v>
      </c>
      <c r="I330" s="7">
        <v>127053</v>
      </c>
      <c r="J330" s="7" t="s">
        <v>793</v>
      </c>
      <c r="K330" s="7">
        <v>108.3</v>
      </c>
      <c r="L330" s="53">
        <v>86.53</v>
      </c>
      <c r="M330" s="56">
        <v>8.24</v>
      </c>
      <c r="N330" s="5" t="str">
        <f t="shared" si="11"/>
        <v>未买</v>
      </c>
    </row>
    <row r="331" spans="8:14" x14ac:dyDescent="0.15">
      <c r="H331" s="17">
        <v>329</v>
      </c>
      <c r="I331" s="7">
        <v>123056</v>
      </c>
      <c r="J331" s="7" t="s">
        <v>158</v>
      </c>
      <c r="K331" s="7">
        <v>107.47199999999999</v>
      </c>
      <c r="L331" s="53">
        <v>86.97</v>
      </c>
      <c r="M331" s="56">
        <v>5.8400559999999997</v>
      </c>
      <c r="N331" s="5" t="str">
        <f t="shared" si="11"/>
        <v>未买</v>
      </c>
    </row>
    <row r="332" spans="8:14" x14ac:dyDescent="0.15">
      <c r="H332" s="17">
        <v>330</v>
      </c>
      <c r="I332" s="7">
        <v>113622</v>
      </c>
      <c r="J332" s="7" t="s">
        <v>1964</v>
      </c>
      <c r="K332" s="7">
        <v>109.57</v>
      </c>
      <c r="L332" s="53">
        <v>86.98</v>
      </c>
      <c r="M332" s="56">
        <v>11.49971</v>
      </c>
      <c r="N332" s="5" t="str">
        <f t="shared" si="11"/>
        <v>未买</v>
      </c>
    </row>
    <row r="333" spans="8:14" x14ac:dyDescent="0.15">
      <c r="H333" s="17">
        <v>331</v>
      </c>
      <c r="I333" s="7">
        <v>127024</v>
      </c>
      <c r="J333" s="7" t="s">
        <v>1965</v>
      </c>
      <c r="K333" s="7">
        <v>106.255</v>
      </c>
      <c r="L333" s="53">
        <v>87.96</v>
      </c>
      <c r="M333" s="56">
        <v>14.761067000000002</v>
      </c>
      <c r="N333" s="5" t="str">
        <f t="shared" si="11"/>
        <v>未买</v>
      </c>
    </row>
    <row r="334" spans="8:14" x14ac:dyDescent="0.15">
      <c r="H334" s="17">
        <v>332</v>
      </c>
      <c r="I334" s="7">
        <v>123108</v>
      </c>
      <c r="J334" s="7" t="s">
        <v>1966</v>
      </c>
      <c r="K334" s="7">
        <v>111.73</v>
      </c>
      <c r="L334" s="53">
        <v>88.03</v>
      </c>
      <c r="M334" s="56">
        <v>16.377645999999999</v>
      </c>
      <c r="N334" s="5" t="str">
        <f t="shared" si="11"/>
        <v>未买</v>
      </c>
    </row>
    <row r="335" spans="8:14" x14ac:dyDescent="0.15">
      <c r="H335" s="17">
        <v>333</v>
      </c>
      <c r="I335" s="7">
        <v>123128</v>
      </c>
      <c r="J335" s="7" t="s">
        <v>1967</v>
      </c>
      <c r="K335" s="7">
        <v>103.843</v>
      </c>
      <c r="L335" s="53">
        <v>88.67</v>
      </c>
      <c r="M335" s="56">
        <v>13.794491000000001</v>
      </c>
      <c r="N335" s="5" t="str">
        <f t="shared" si="11"/>
        <v>未买</v>
      </c>
    </row>
    <row r="336" spans="8:14" x14ac:dyDescent="0.15">
      <c r="H336" s="17">
        <v>334</v>
      </c>
      <c r="I336" s="7">
        <v>113594</v>
      </c>
      <c r="J336" s="7" t="s">
        <v>76</v>
      </c>
      <c r="K336" s="7">
        <v>114.91</v>
      </c>
      <c r="L336" s="53">
        <v>90.25</v>
      </c>
      <c r="M336" s="56">
        <v>2.9975299999999998</v>
      </c>
      <c r="N336" s="5" t="str">
        <f t="shared" si="11"/>
        <v>未买</v>
      </c>
    </row>
    <row r="337" spans="8:14" x14ac:dyDescent="0.15">
      <c r="H337" s="17">
        <v>335</v>
      </c>
      <c r="I337" s="7">
        <v>128131</v>
      </c>
      <c r="J337" s="7" t="s">
        <v>1968</v>
      </c>
      <c r="K337" s="7">
        <v>110.886</v>
      </c>
      <c r="L337" s="53">
        <v>90.69</v>
      </c>
      <c r="M337" s="56">
        <v>13.997867000000003</v>
      </c>
      <c r="N337" s="5" t="str">
        <f t="shared" si="11"/>
        <v>未买</v>
      </c>
    </row>
    <row r="338" spans="8:14" x14ac:dyDescent="0.15">
      <c r="H338" s="17">
        <v>336</v>
      </c>
      <c r="I338" s="7">
        <v>113608</v>
      </c>
      <c r="J338" s="7" t="s">
        <v>66</v>
      </c>
      <c r="K338" s="7">
        <v>108.51</v>
      </c>
      <c r="L338" s="53">
        <v>90.7</v>
      </c>
      <c r="M338" s="56">
        <v>4.1998600000000001</v>
      </c>
      <c r="N338" s="5" t="str">
        <f t="shared" si="11"/>
        <v>未买</v>
      </c>
    </row>
    <row r="339" spans="8:14" x14ac:dyDescent="0.15">
      <c r="H339" s="17">
        <v>337</v>
      </c>
      <c r="I339" s="7">
        <v>123034</v>
      </c>
      <c r="J339" s="7" t="s">
        <v>1969</v>
      </c>
      <c r="K339" s="7">
        <v>198.70400000000001</v>
      </c>
      <c r="L339" s="53">
        <v>90.79</v>
      </c>
      <c r="M339" s="56">
        <v>0.77860099999999999</v>
      </c>
      <c r="N339" s="5" t="str">
        <f t="shared" si="11"/>
        <v>未买</v>
      </c>
    </row>
    <row r="340" spans="8:14" x14ac:dyDescent="0.15">
      <c r="H340" s="17">
        <v>338</v>
      </c>
      <c r="I340" s="7">
        <v>123099</v>
      </c>
      <c r="J340" s="7" t="s">
        <v>245</v>
      </c>
      <c r="K340" s="7">
        <v>110.351</v>
      </c>
      <c r="L340" s="53">
        <v>91.02</v>
      </c>
      <c r="M340" s="56">
        <v>8.4993130000000008</v>
      </c>
      <c r="N340" s="5" t="str">
        <f t="shared" si="11"/>
        <v>未买</v>
      </c>
    </row>
    <row r="341" spans="8:14" x14ac:dyDescent="0.15">
      <c r="H341" s="17">
        <v>339</v>
      </c>
      <c r="I341" s="7">
        <v>118006</v>
      </c>
      <c r="J341" s="7" t="s">
        <v>810</v>
      </c>
      <c r="K341" s="7">
        <v>110.351</v>
      </c>
      <c r="L341" s="53">
        <v>91.02</v>
      </c>
      <c r="M341" s="56">
        <v>8.4993130000000008</v>
      </c>
      <c r="N341" s="5" t="str">
        <f t="shared" si="11"/>
        <v>未买</v>
      </c>
    </row>
    <row r="342" spans="8:14" x14ac:dyDescent="0.15">
      <c r="H342" s="17">
        <v>340</v>
      </c>
      <c r="I342" s="7">
        <v>113597</v>
      </c>
      <c r="J342" s="7" t="s">
        <v>157</v>
      </c>
      <c r="K342" s="7">
        <v>128.31</v>
      </c>
      <c r="L342" s="53">
        <v>92.37</v>
      </c>
      <c r="M342" s="56">
        <v>2.98447</v>
      </c>
      <c r="N342" s="5" t="str">
        <f t="shared" si="11"/>
        <v>未买</v>
      </c>
    </row>
    <row r="343" spans="8:14" x14ac:dyDescent="0.15">
      <c r="H343" s="17">
        <v>341</v>
      </c>
      <c r="I343" s="7">
        <v>128116</v>
      </c>
      <c r="J343" s="7" t="s">
        <v>185</v>
      </c>
      <c r="K343" s="7">
        <v>106.282</v>
      </c>
      <c r="L343" s="53">
        <v>93.49</v>
      </c>
      <c r="M343" s="56">
        <v>6.4919989999999999</v>
      </c>
      <c r="N343" s="5" t="str">
        <f t="shared" si="11"/>
        <v>未买</v>
      </c>
    </row>
    <row r="344" spans="8:14" x14ac:dyDescent="0.15">
      <c r="H344" s="17">
        <v>342</v>
      </c>
      <c r="I344" s="7">
        <v>123126</v>
      </c>
      <c r="J344" s="7" t="s">
        <v>184</v>
      </c>
      <c r="K344" s="7">
        <v>112.8</v>
      </c>
      <c r="L344" s="53">
        <v>93.81</v>
      </c>
      <c r="M344" s="56">
        <v>3.399826</v>
      </c>
      <c r="N344" s="5" t="str">
        <f t="shared" si="11"/>
        <v>未买</v>
      </c>
    </row>
    <row r="345" spans="8:14" x14ac:dyDescent="0.15">
      <c r="H345" s="17">
        <v>343</v>
      </c>
      <c r="I345" s="7">
        <v>113595</v>
      </c>
      <c r="J345" s="7" t="s">
        <v>141</v>
      </c>
      <c r="K345" s="7">
        <v>112.87</v>
      </c>
      <c r="L345" s="53">
        <v>94.77</v>
      </c>
      <c r="M345" s="56">
        <v>3.2978900000000002</v>
      </c>
      <c r="N345" s="5" t="str">
        <f t="shared" si="11"/>
        <v>未买</v>
      </c>
    </row>
    <row r="346" spans="8:14" x14ac:dyDescent="0.15">
      <c r="H346" s="17">
        <v>344</v>
      </c>
      <c r="I346" s="7">
        <v>128035</v>
      </c>
      <c r="J346" s="7" t="s">
        <v>1970</v>
      </c>
      <c r="K346" s="7">
        <v>108.004</v>
      </c>
      <c r="L346" s="53">
        <v>94.78</v>
      </c>
      <c r="M346" s="56">
        <v>22.995426999999999</v>
      </c>
      <c r="N346" s="5" t="str">
        <f t="shared" si="11"/>
        <v>未买</v>
      </c>
    </row>
    <row r="347" spans="8:14" x14ac:dyDescent="0.15">
      <c r="H347" s="17">
        <v>345</v>
      </c>
      <c r="I347" s="7">
        <v>123109</v>
      </c>
      <c r="J347" s="7" t="s">
        <v>1971</v>
      </c>
      <c r="K347" s="7">
        <v>111.018</v>
      </c>
      <c r="L347" s="53">
        <v>96.14</v>
      </c>
      <c r="M347" s="56">
        <v>4.5957910000000002</v>
      </c>
      <c r="N347" s="5" t="str">
        <f t="shared" si="11"/>
        <v>未买</v>
      </c>
    </row>
    <row r="348" spans="8:14" x14ac:dyDescent="0.15">
      <c r="H348" s="17">
        <v>346</v>
      </c>
      <c r="I348" s="7">
        <v>110076</v>
      </c>
      <c r="J348" s="7" t="s">
        <v>1972</v>
      </c>
      <c r="K348" s="7">
        <v>111.87</v>
      </c>
      <c r="L348" s="53">
        <v>96.19</v>
      </c>
      <c r="M348" s="56">
        <v>18.424399999999999</v>
      </c>
      <c r="N348" s="5" t="str">
        <f t="shared" si="11"/>
        <v>未买</v>
      </c>
    </row>
    <row r="349" spans="8:14" x14ac:dyDescent="0.15">
      <c r="H349" s="17">
        <v>347</v>
      </c>
      <c r="I349" s="7">
        <v>118004</v>
      </c>
      <c r="J349" s="7" t="s">
        <v>279</v>
      </c>
      <c r="K349" s="7">
        <v>111.87</v>
      </c>
      <c r="L349" s="53">
        <v>96.19</v>
      </c>
      <c r="M349" s="56">
        <v>18.424399999999999</v>
      </c>
      <c r="N349" s="5" t="str">
        <f t="shared" si="11"/>
        <v>未买</v>
      </c>
    </row>
    <row r="350" spans="8:14" x14ac:dyDescent="0.15">
      <c r="H350" s="17">
        <v>348</v>
      </c>
      <c r="I350" s="7">
        <v>123119</v>
      </c>
      <c r="J350" s="7" t="s">
        <v>1973</v>
      </c>
      <c r="K350" s="7">
        <v>111.5</v>
      </c>
      <c r="L350" s="53">
        <v>96.51</v>
      </c>
      <c r="M350" s="56">
        <v>19.997641000000002</v>
      </c>
      <c r="N350" s="5" t="str">
        <f t="shared" si="11"/>
        <v>未买</v>
      </c>
    </row>
    <row r="351" spans="8:14" x14ac:dyDescent="0.15">
      <c r="H351" s="17">
        <v>349</v>
      </c>
      <c r="I351" s="7">
        <v>113639</v>
      </c>
      <c r="J351" s="7" t="s">
        <v>792</v>
      </c>
      <c r="K351" s="7">
        <v>105.9</v>
      </c>
      <c r="L351" s="53">
        <v>97.06</v>
      </c>
      <c r="M351" s="56">
        <v>5.7</v>
      </c>
      <c r="N351" s="5" t="str">
        <f t="shared" si="11"/>
        <v>未买</v>
      </c>
    </row>
    <row r="352" spans="8:14" x14ac:dyDescent="0.15">
      <c r="H352" s="17">
        <v>350</v>
      </c>
      <c r="I352" s="7">
        <v>123018</v>
      </c>
      <c r="J352" s="7" t="s">
        <v>77</v>
      </c>
      <c r="K352" s="7">
        <v>225.00299999999999</v>
      </c>
      <c r="L352" s="53">
        <v>97.82</v>
      </c>
      <c r="M352" s="56">
        <v>0.54235200000000006</v>
      </c>
      <c r="N352" s="5" t="str">
        <f t="shared" si="11"/>
        <v>未买</v>
      </c>
    </row>
    <row r="353" spans="8:14" x14ac:dyDescent="0.15">
      <c r="H353" s="17">
        <v>351</v>
      </c>
      <c r="I353" s="7">
        <v>123116</v>
      </c>
      <c r="J353" s="7" t="s">
        <v>213</v>
      </c>
      <c r="K353" s="7">
        <v>116.52500000000001</v>
      </c>
      <c r="L353" s="53">
        <v>98</v>
      </c>
      <c r="M353" s="56">
        <v>3.7816160000000005</v>
      </c>
      <c r="N353" s="5" t="str">
        <f t="shared" si="11"/>
        <v>未买</v>
      </c>
    </row>
    <row r="354" spans="8:14" x14ac:dyDescent="0.15">
      <c r="H354" s="17">
        <v>352</v>
      </c>
      <c r="I354" s="7">
        <v>113633</v>
      </c>
      <c r="J354" s="7" t="s">
        <v>1974</v>
      </c>
      <c r="K354" s="7">
        <v>111.97</v>
      </c>
      <c r="L354" s="53">
        <v>99.27</v>
      </c>
      <c r="M354" s="56">
        <v>10.4</v>
      </c>
      <c r="N354" s="5" t="str">
        <f t="shared" si="11"/>
        <v>未买</v>
      </c>
    </row>
    <row r="355" spans="8:14" x14ac:dyDescent="0.15">
      <c r="H355" s="17">
        <v>353</v>
      </c>
      <c r="I355" s="7">
        <v>113604</v>
      </c>
      <c r="J355" s="7" t="s">
        <v>162</v>
      </c>
      <c r="K355" s="7">
        <v>103.78</v>
      </c>
      <c r="L355" s="53">
        <v>99.88</v>
      </c>
      <c r="M355" s="56">
        <v>6.3989599999999998</v>
      </c>
      <c r="N355" s="5" t="str">
        <f t="shared" si="11"/>
        <v>未买</v>
      </c>
    </row>
    <row r="356" spans="8:14" x14ac:dyDescent="0.15">
      <c r="H356" s="17">
        <v>354</v>
      </c>
      <c r="I356" s="7">
        <v>128070</v>
      </c>
      <c r="J356" s="7" t="s">
        <v>166</v>
      </c>
      <c r="K356" s="7">
        <v>127</v>
      </c>
      <c r="L356" s="53">
        <v>101.78</v>
      </c>
      <c r="M356" s="56">
        <v>2.295811</v>
      </c>
      <c r="N356" s="5" t="str">
        <f t="shared" si="11"/>
        <v>未买</v>
      </c>
    </row>
    <row r="357" spans="8:14" x14ac:dyDescent="0.15">
      <c r="H357" s="17">
        <v>355</v>
      </c>
      <c r="I357" s="7">
        <v>123038</v>
      </c>
      <c r="J357" s="7" t="s">
        <v>74</v>
      </c>
      <c r="K357" s="7">
        <v>125.86</v>
      </c>
      <c r="L357" s="53">
        <v>101.96</v>
      </c>
      <c r="M357" s="56">
        <v>1.4726779999999999</v>
      </c>
      <c r="N357" s="5" t="str">
        <f t="shared" si="11"/>
        <v>未买</v>
      </c>
    </row>
    <row r="358" spans="8:14" x14ac:dyDescent="0.15">
      <c r="H358" s="17">
        <v>356</v>
      </c>
      <c r="I358" s="7">
        <v>118007</v>
      </c>
      <c r="J358" s="7" t="s">
        <v>819</v>
      </c>
      <c r="K358" s="7">
        <v>125.86</v>
      </c>
      <c r="L358" s="53">
        <v>101.96</v>
      </c>
      <c r="M358" s="56">
        <v>1.4726779999999999</v>
      </c>
      <c r="N358" s="5" t="str">
        <f t="shared" si="11"/>
        <v>未买</v>
      </c>
    </row>
    <row r="359" spans="8:14" x14ac:dyDescent="0.15">
      <c r="H359" s="17">
        <v>357</v>
      </c>
      <c r="I359" s="7">
        <v>128072</v>
      </c>
      <c r="J359" s="7" t="s">
        <v>156</v>
      </c>
      <c r="K359" s="7">
        <v>108</v>
      </c>
      <c r="L359" s="53">
        <v>102.78</v>
      </c>
      <c r="M359" s="56">
        <v>3.017925</v>
      </c>
      <c r="N359" s="5" t="str">
        <f t="shared" si="11"/>
        <v>未买</v>
      </c>
    </row>
    <row r="360" spans="8:14" x14ac:dyDescent="0.15">
      <c r="H360" s="17">
        <v>358</v>
      </c>
      <c r="I360" s="7">
        <v>128074</v>
      </c>
      <c r="J360" s="7" t="s">
        <v>208</v>
      </c>
      <c r="K360" s="7">
        <v>110.28</v>
      </c>
      <c r="L360" s="53">
        <v>106.32</v>
      </c>
      <c r="M360" s="56">
        <v>6.8249360000000001</v>
      </c>
      <c r="N360" s="5" t="str">
        <f t="shared" si="11"/>
        <v>未买</v>
      </c>
    </row>
    <row r="361" spans="8:14" x14ac:dyDescent="0.15">
      <c r="H361" s="17">
        <v>359</v>
      </c>
      <c r="I361" s="7">
        <v>128125</v>
      </c>
      <c r="J361" s="7" t="s">
        <v>150</v>
      </c>
      <c r="K361" s="7">
        <v>107.96</v>
      </c>
      <c r="L361" s="53">
        <v>106.62</v>
      </c>
      <c r="M361" s="56">
        <v>4.4980469999999997</v>
      </c>
      <c r="N361" s="5" t="str">
        <f t="shared" si="11"/>
        <v>未买</v>
      </c>
    </row>
    <row r="362" spans="8:14" x14ac:dyDescent="0.15">
      <c r="H362" s="17">
        <v>360</v>
      </c>
      <c r="I362" s="7">
        <v>127041</v>
      </c>
      <c r="J362" s="7" t="s">
        <v>200</v>
      </c>
      <c r="K362" s="7">
        <v>110.776</v>
      </c>
      <c r="L362" s="53">
        <v>108.38</v>
      </c>
      <c r="M362" s="56">
        <v>5.9996049999999999</v>
      </c>
      <c r="N362" s="5" t="str">
        <f t="shared" si="11"/>
        <v>未买</v>
      </c>
    </row>
    <row r="363" spans="8:14" x14ac:dyDescent="0.15">
      <c r="H363" s="17">
        <v>361</v>
      </c>
      <c r="I363" s="7">
        <v>123141</v>
      </c>
      <c r="J363" s="7" t="s">
        <v>790</v>
      </c>
      <c r="K363" s="7">
        <v>170.696</v>
      </c>
      <c r="L363" s="53">
        <v>110.94</v>
      </c>
      <c r="M363" s="56">
        <v>3.2126000000000001</v>
      </c>
      <c r="N363" s="5" t="str">
        <f t="shared" si="11"/>
        <v>未买</v>
      </c>
    </row>
    <row r="364" spans="8:14" x14ac:dyDescent="0.15">
      <c r="H364" s="17">
        <v>362</v>
      </c>
      <c r="I364" s="7">
        <v>128136</v>
      </c>
      <c r="J364" s="7" t="s">
        <v>1975</v>
      </c>
      <c r="K364" s="7">
        <v>113.5</v>
      </c>
      <c r="L364" s="53">
        <v>111.64</v>
      </c>
      <c r="M364" s="56">
        <v>29.993335999999999</v>
      </c>
      <c r="N364" s="5" t="str">
        <f t="shared" si="11"/>
        <v>未买</v>
      </c>
    </row>
    <row r="365" spans="8:14" x14ac:dyDescent="0.15">
      <c r="H365" s="17">
        <v>363</v>
      </c>
      <c r="I365" s="7">
        <v>128108</v>
      </c>
      <c r="J365" s="7" t="s">
        <v>1976</v>
      </c>
      <c r="K365" s="7">
        <v>102.2</v>
      </c>
      <c r="L365" s="53">
        <v>115.75</v>
      </c>
      <c r="M365" s="56">
        <v>15.214722</v>
      </c>
      <c r="N365" s="5" t="str">
        <f t="shared" si="11"/>
        <v>未买</v>
      </c>
    </row>
    <row r="366" spans="8:14" x14ac:dyDescent="0.15">
      <c r="H366" s="17">
        <v>364</v>
      </c>
      <c r="I366" s="7">
        <v>123124</v>
      </c>
      <c r="J366" s="7" t="s">
        <v>199</v>
      </c>
      <c r="K366" s="7">
        <v>111</v>
      </c>
      <c r="L366" s="53">
        <v>116.88</v>
      </c>
      <c r="M366" s="56">
        <v>5.2286279999999996</v>
      </c>
      <c r="N366" s="5" t="str">
        <f t="shared" si="11"/>
        <v>未买</v>
      </c>
    </row>
    <row r="367" spans="8:14" x14ac:dyDescent="0.15">
      <c r="H367" s="17">
        <v>365</v>
      </c>
      <c r="I367" s="7">
        <v>127051</v>
      </c>
      <c r="J367" s="7" t="s">
        <v>255</v>
      </c>
      <c r="K367" s="7">
        <v>117</v>
      </c>
      <c r="L367" s="53">
        <v>118.12</v>
      </c>
      <c r="M367" s="56">
        <v>5.259989</v>
      </c>
      <c r="N367" s="5" t="str">
        <f t="shared" si="11"/>
        <v>未买</v>
      </c>
    </row>
    <row r="368" spans="8:14" x14ac:dyDescent="0.15">
      <c r="H368" s="17">
        <v>366</v>
      </c>
      <c r="I368" s="7">
        <v>123011</v>
      </c>
      <c r="J368" s="7" t="s">
        <v>172</v>
      </c>
      <c r="K368" s="7">
        <v>113.92</v>
      </c>
      <c r="L368" s="53">
        <v>119.84</v>
      </c>
      <c r="M368" s="56">
        <v>2.5060280000000001</v>
      </c>
      <c r="N368" s="5" t="str">
        <f t="shared" si="11"/>
        <v>未买</v>
      </c>
    </row>
    <row r="369" spans="8:14" x14ac:dyDescent="0.15">
      <c r="H369" s="17">
        <v>367</v>
      </c>
      <c r="I369" s="7">
        <v>123090</v>
      </c>
      <c r="J369" s="7" t="s">
        <v>183</v>
      </c>
      <c r="K369" s="7">
        <v>110.495</v>
      </c>
      <c r="L369" s="53">
        <v>119.98</v>
      </c>
      <c r="M369" s="56">
        <v>4.9996939999999999</v>
      </c>
      <c r="N369" s="5" t="str">
        <f t="shared" si="11"/>
        <v>未买</v>
      </c>
    </row>
    <row r="370" spans="8:14" x14ac:dyDescent="0.15">
      <c r="H370" s="17">
        <v>368</v>
      </c>
      <c r="I370" s="7">
        <v>113573</v>
      </c>
      <c r="J370" s="7" t="s">
        <v>145</v>
      </c>
      <c r="K370" s="7">
        <v>112.39</v>
      </c>
      <c r="L370" s="53">
        <v>120.55</v>
      </c>
      <c r="M370" s="56">
        <v>2.6983299999999999</v>
      </c>
      <c r="N370" s="5" t="str">
        <f t="shared" si="11"/>
        <v>未买</v>
      </c>
    </row>
    <row r="371" spans="8:14" x14ac:dyDescent="0.15">
      <c r="H371" s="17">
        <v>369</v>
      </c>
      <c r="I371" s="7">
        <v>127044</v>
      </c>
      <c r="J371" s="7" t="s">
        <v>1977</v>
      </c>
      <c r="K371" s="7">
        <v>106.9</v>
      </c>
      <c r="L371" s="53">
        <v>120.69</v>
      </c>
      <c r="M371" s="56">
        <v>11.688886999999999</v>
      </c>
      <c r="N371" s="5" t="str">
        <f t="shared" si="11"/>
        <v>未买</v>
      </c>
    </row>
    <row r="372" spans="8:14" x14ac:dyDescent="0.15">
      <c r="H372" s="17">
        <v>370</v>
      </c>
      <c r="I372" s="7">
        <v>113632</v>
      </c>
      <c r="J372" s="7" t="s">
        <v>1978</v>
      </c>
      <c r="K372" s="7">
        <v>114.43</v>
      </c>
      <c r="L372" s="53">
        <v>123.32</v>
      </c>
      <c r="M372" s="56">
        <v>20.49991</v>
      </c>
      <c r="N372" s="5" t="str">
        <f t="shared" si="11"/>
        <v>未买</v>
      </c>
    </row>
    <row r="373" spans="8:14" x14ac:dyDescent="0.15">
      <c r="H373" s="17">
        <v>371</v>
      </c>
      <c r="I373" s="7">
        <v>113624</v>
      </c>
      <c r="J373" s="7" t="s">
        <v>180</v>
      </c>
      <c r="K373" s="7">
        <v>107.66</v>
      </c>
      <c r="L373" s="53">
        <v>123.5</v>
      </c>
      <c r="M373" s="56">
        <v>4.0492900000000001</v>
      </c>
      <c r="N373" s="5" t="str">
        <f t="shared" si="11"/>
        <v>未买</v>
      </c>
    </row>
    <row r="374" spans="8:14" x14ac:dyDescent="0.15">
      <c r="H374" s="17">
        <v>372</v>
      </c>
      <c r="I374" s="7">
        <v>128138</v>
      </c>
      <c r="J374" s="7" t="s">
        <v>148</v>
      </c>
      <c r="K374" s="7">
        <v>115.345</v>
      </c>
      <c r="L374" s="53">
        <v>123.54</v>
      </c>
      <c r="M374" s="56">
        <v>4.1991290000000001</v>
      </c>
      <c r="N374" s="5" t="str">
        <f t="shared" si="11"/>
        <v>未买</v>
      </c>
    </row>
    <row r="375" spans="8:14" x14ac:dyDescent="0.15">
      <c r="H375" s="17">
        <v>373</v>
      </c>
      <c r="I375" s="7">
        <v>113625</v>
      </c>
      <c r="J375" s="7" t="s">
        <v>151</v>
      </c>
      <c r="K375" s="7">
        <v>110.36</v>
      </c>
      <c r="L375" s="53">
        <v>125.04</v>
      </c>
      <c r="M375" s="56">
        <v>5.8255600000000003</v>
      </c>
      <c r="N375" s="5" t="str">
        <f t="shared" si="11"/>
        <v>未买</v>
      </c>
    </row>
    <row r="376" spans="8:14" x14ac:dyDescent="0.15">
      <c r="H376" s="17">
        <v>374</v>
      </c>
      <c r="I376" s="7">
        <v>123076</v>
      </c>
      <c r="J376" s="7" t="s">
        <v>161</v>
      </c>
      <c r="K376" s="7">
        <v>104.551</v>
      </c>
      <c r="L376" s="53">
        <v>126.3</v>
      </c>
      <c r="M376" s="56">
        <v>8.4985610000000005</v>
      </c>
      <c r="N376" s="5" t="str">
        <f t="shared" si="11"/>
        <v>未买</v>
      </c>
    </row>
    <row r="377" spans="8:14" x14ac:dyDescent="0.15">
      <c r="H377" s="17">
        <v>375</v>
      </c>
      <c r="I377" s="7">
        <v>128118</v>
      </c>
      <c r="J377" s="7" t="s">
        <v>154</v>
      </c>
      <c r="K377" s="7">
        <v>109.657</v>
      </c>
      <c r="L377" s="53">
        <v>126.42</v>
      </c>
      <c r="M377" s="56">
        <v>2.9983499999999998</v>
      </c>
      <c r="N377" s="5" t="str">
        <f t="shared" si="11"/>
        <v>未买</v>
      </c>
    </row>
    <row r="378" spans="8:14" x14ac:dyDescent="0.15">
      <c r="H378" s="17">
        <v>376</v>
      </c>
      <c r="I378" s="7">
        <v>113605</v>
      </c>
      <c r="J378" s="7" t="s">
        <v>1979</v>
      </c>
      <c r="K378" s="7">
        <v>110.58</v>
      </c>
      <c r="L378" s="53">
        <v>129.66</v>
      </c>
      <c r="M378" s="56">
        <v>14.049020000000001</v>
      </c>
      <c r="N378" s="5" t="str">
        <f t="shared" si="11"/>
        <v>未买</v>
      </c>
    </row>
    <row r="379" spans="8:14" x14ac:dyDescent="0.15">
      <c r="H379" s="17">
        <v>377</v>
      </c>
      <c r="I379" s="7">
        <v>127057</v>
      </c>
      <c r="J379" s="7" t="s">
        <v>780</v>
      </c>
      <c r="K379" s="7">
        <v>310.70999999999998</v>
      </c>
      <c r="L379" s="53">
        <v>130.72</v>
      </c>
      <c r="M379" s="56">
        <v>2.76</v>
      </c>
      <c r="N379" s="5" t="str">
        <f t="shared" si="11"/>
        <v>未买</v>
      </c>
    </row>
    <row r="380" spans="8:14" x14ac:dyDescent="0.15">
      <c r="H380" s="17">
        <v>378</v>
      </c>
      <c r="I380" s="7">
        <v>111003</v>
      </c>
      <c r="J380" s="7" t="s">
        <v>821</v>
      </c>
      <c r="K380" s="7">
        <v>310.70999999999998</v>
      </c>
      <c r="L380" s="53">
        <v>130.72</v>
      </c>
      <c r="M380" s="56">
        <v>2.76</v>
      </c>
      <c r="N380" s="5" t="str">
        <f t="shared" si="11"/>
        <v>未买</v>
      </c>
    </row>
    <row r="381" spans="8:14" x14ac:dyDescent="0.15">
      <c r="H381" s="17">
        <v>379</v>
      </c>
      <c r="I381" s="7">
        <v>123117</v>
      </c>
      <c r="J381" s="7" t="s">
        <v>147</v>
      </c>
      <c r="K381" s="7">
        <v>110.479</v>
      </c>
      <c r="L381" s="53">
        <v>132.97999999999999</v>
      </c>
      <c r="M381" s="56">
        <v>9.9991509999999995</v>
      </c>
      <c r="N381" s="5" t="str">
        <f t="shared" si="11"/>
        <v>未买</v>
      </c>
    </row>
    <row r="382" spans="8:14" x14ac:dyDescent="0.15">
      <c r="H382" s="17">
        <v>380</v>
      </c>
      <c r="I382" s="7">
        <v>127052</v>
      </c>
      <c r="J382" s="7" t="s">
        <v>1980</v>
      </c>
      <c r="K382" s="7">
        <v>113.26</v>
      </c>
      <c r="L382" s="53">
        <v>141.13</v>
      </c>
      <c r="M382" s="56">
        <v>11.1</v>
      </c>
      <c r="N382" s="5" t="str">
        <f t="shared" si="11"/>
        <v>未买</v>
      </c>
    </row>
    <row r="383" spans="8:14" x14ac:dyDescent="0.15">
      <c r="H383" s="17">
        <v>381</v>
      </c>
      <c r="I383" s="7">
        <v>123138</v>
      </c>
      <c r="J383" s="7" t="s">
        <v>789</v>
      </c>
      <c r="K383" s="7">
        <v>180.005</v>
      </c>
      <c r="L383" s="53">
        <v>143.15</v>
      </c>
      <c r="M383" s="56">
        <v>2.4</v>
      </c>
      <c r="N383" s="5" t="str">
        <f t="shared" si="11"/>
        <v>未买</v>
      </c>
    </row>
    <row r="384" spans="8:14" x14ac:dyDescent="0.15">
      <c r="H384" s="17">
        <v>382</v>
      </c>
      <c r="I384" s="7">
        <v>127046</v>
      </c>
      <c r="J384" s="7" t="s">
        <v>1981</v>
      </c>
      <c r="K384" s="7">
        <v>111.82</v>
      </c>
      <c r="L384" s="53">
        <v>143.99</v>
      </c>
      <c r="M384" s="56">
        <v>11.278176</v>
      </c>
      <c r="N384" s="5" t="str">
        <f t="shared" si="11"/>
        <v>未买</v>
      </c>
    </row>
    <row r="385" spans="8:14" x14ac:dyDescent="0.15">
      <c r="H385" s="17">
        <v>383</v>
      </c>
      <c r="I385" s="7">
        <v>123039</v>
      </c>
      <c r="J385" s="7" t="s">
        <v>168</v>
      </c>
      <c r="K385" s="7">
        <v>128.99199999999999</v>
      </c>
      <c r="L385" s="53">
        <v>144.26</v>
      </c>
      <c r="M385" s="56">
        <v>2.2171210000000001</v>
      </c>
      <c r="N385" s="5" t="str">
        <f t="shared" si="11"/>
        <v>未买</v>
      </c>
    </row>
    <row r="386" spans="8:14" x14ac:dyDescent="0.15">
      <c r="H386" s="17">
        <v>384</v>
      </c>
      <c r="I386" s="7">
        <v>128124</v>
      </c>
      <c r="J386" s="7" t="s">
        <v>171</v>
      </c>
      <c r="K386" s="7">
        <v>100.3</v>
      </c>
      <c r="L386" s="53">
        <v>146.80000000000001</v>
      </c>
      <c r="M386" s="56">
        <v>7.3764519999999996</v>
      </c>
      <c r="N386" s="5" t="str">
        <f t="shared" si="11"/>
        <v>未买</v>
      </c>
    </row>
    <row r="387" spans="8:14" x14ac:dyDescent="0.15">
      <c r="H387" s="17">
        <v>385</v>
      </c>
      <c r="I387" s="7">
        <v>123104</v>
      </c>
      <c r="J387" s="7" t="s">
        <v>179</v>
      </c>
      <c r="K387" s="7">
        <v>114.91200000000001</v>
      </c>
      <c r="L387" s="53">
        <v>147.71</v>
      </c>
      <c r="M387" s="56">
        <v>9.7011269999999996</v>
      </c>
      <c r="N387" s="5" t="str">
        <f t="shared" si="11"/>
        <v>未买</v>
      </c>
    </row>
    <row r="388" spans="8:14" x14ac:dyDescent="0.15">
      <c r="H388" s="17">
        <v>386</v>
      </c>
      <c r="I388" s="7">
        <v>123113</v>
      </c>
      <c r="J388" s="7" t="s">
        <v>1982</v>
      </c>
      <c r="K388" s="7">
        <v>106.85</v>
      </c>
      <c r="L388" s="53">
        <v>154.22</v>
      </c>
      <c r="M388" s="56">
        <v>10.248582000000001</v>
      </c>
      <c r="N388" s="5" t="str">
        <f t="shared" ref="N388:N412" si="12">IF(ISNA(MATCH(I388,$A$3:$A$1000,0)),"未买","Yes")</f>
        <v>未买</v>
      </c>
    </row>
    <row r="389" spans="8:14" x14ac:dyDescent="0.15">
      <c r="H389" s="17">
        <v>387</v>
      </c>
      <c r="I389" s="7">
        <v>113589</v>
      </c>
      <c r="J389" s="7" t="s">
        <v>146</v>
      </c>
      <c r="K389" s="7">
        <v>99.52</v>
      </c>
      <c r="L389" s="53">
        <v>156.43</v>
      </c>
      <c r="M389" s="56">
        <v>5.9959800000000003</v>
      </c>
      <c r="N389" s="5" t="str">
        <f t="shared" si="12"/>
        <v>未买</v>
      </c>
    </row>
    <row r="390" spans="8:14" x14ac:dyDescent="0.15">
      <c r="H390" s="17">
        <v>388</v>
      </c>
      <c r="I390" s="7">
        <v>127004</v>
      </c>
      <c r="J390" s="7" t="s">
        <v>138</v>
      </c>
      <c r="K390" s="7">
        <v>164</v>
      </c>
      <c r="L390" s="53">
        <v>160.4</v>
      </c>
      <c r="M390" s="56">
        <v>1.3110879999999998</v>
      </c>
      <c r="N390" s="5" t="str">
        <f t="shared" si="12"/>
        <v>未买</v>
      </c>
    </row>
    <row r="391" spans="8:14" x14ac:dyDescent="0.15">
      <c r="H391" s="17">
        <v>389</v>
      </c>
      <c r="I391" s="7">
        <v>123140</v>
      </c>
      <c r="J391" s="7" t="s">
        <v>791</v>
      </c>
      <c r="K391" s="7">
        <v>229.55</v>
      </c>
      <c r="L391" s="53">
        <v>166.52</v>
      </c>
      <c r="M391" s="56">
        <v>1.72</v>
      </c>
      <c r="N391" s="5" t="str">
        <f t="shared" si="12"/>
        <v>未买</v>
      </c>
    </row>
    <row r="392" spans="8:14" x14ac:dyDescent="0.15">
      <c r="H392" s="17">
        <v>390</v>
      </c>
      <c r="I392" s="7">
        <v>123143</v>
      </c>
      <c r="J392" s="7" t="s">
        <v>820</v>
      </c>
      <c r="K392" s="7">
        <v>224.19900000000001</v>
      </c>
      <c r="L392" s="53">
        <v>168.5</v>
      </c>
      <c r="M392" s="56">
        <v>3.3</v>
      </c>
      <c r="N392" s="5" t="str">
        <f t="shared" si="12"/>
        <v>未买</v>
      </c>
    </row>
    <row r="393" spans="8:14" x14ac:dyDescent="0.15">
      <c r="H393" s="17">
        <v>391</v>
      </c>
      <c r="I393" s="7">
        <v>110044</v>
      </c>
      <c r="J393" s="7" t="s">
        <v>136</v>
      </c>
      <c r="K393" s="7">
        <v>230.18</v>
      </c>
      <c r="L393" s="53">
        <v>168.93</v>
      </c>
      <c r="M393" s="56">
        <v>0.70747000000000004</v>
      </c>
      <c r="N393" s="5" t="str">
        <f t="shared" si="12"/>
        <v>未买</v>
      </c>
    </row>
    <row r="394" spans="8:14" x14ac:dyDescent="0.15">
      <c r="H394" s="17">
        <v>392</v>
      </c>
      <c r="I394" s="7">
        <v>123101</v>
      </c>
      <c r="J394" s="7" t="s">
        <v>153</v>
      </c>
      <c r="K394" s="7">
        <v>107.667</v>
      </c>
      <c r="L394" s="53">
        <v>172.57</v>
      </c>
      <c r="M394" s="56">
        <v>6.6976259999999996</v>
      </c>
      <c r="N394" s="5" t="str">
        <f t="shared" si="12"/>
        <v>未买</v>
      </c>
    </row>
    <row r="395" spans="8:14" x14ac:dyDescent="0.15">
      <c r="H395" s="17">
        <v>393</v>
      </c>
      <c r="I395" s="7">
        <v>118003</v>
      </c>
      <c r="J395" s="7" t="s">
        <v>253</v>
      </c>
      <c r="K395" s="7">
        <v>107.667</v>
      </c>
      <c r="L395" s="53">
        <v>172.57</v>
      </c>
      <c r="M395" s="56">
        <v>6.6976259999999996</v>
      </c>
      <c r="N395" s="5" t="str">
        <f t="shared" si="12"/>
        <v>未买</v>
      </c>
    </row>
    <row r="396" spans="8:14" x14ac:dyDescent="0.15">
      <c r="H396" s="17">
        <v>394</v>
      </c>
      <c r="I396" s="7">
        <v>113569</v>
      </c>
      <c r="J396" s="7" t="s">
        <v>140</v>
      </c>
      <c r="K396" s="7">
        <v>104.89</v>
      </c>
      <c r="L396" s="53">
        <v>180.23</v>
      </c>
      <c r="M396" s="56">
        <v>5.1560100000000002</v>
      </c>
      <c r="N396" s="5" t="str">
        <f t="shared" si="12"/>
        <v>未买</v>
      </c>
    </row>
    <row r="397" spans="8:14" x14ac:dyDescent="0.15">
      <c r="H397" s="17">
        <v>395</v>
      </c>
      <c r="I397" s="7">
        <v>113627</v>
      </c>
      <c r="J397" s="7" t="s">
        <v>149</v>
      </c>
      <c r="K397" s="7">
        <v>108.47</v>
      </c>
      <c r="L397" s="53">
        <v>186.96</v>
      </c>
      <c r="M397" s="56">
        <v>7.9998100000000001</v>
      </c>
      <c r="N397" s="5" t="str">
        <f t="shared" si="12"/>
        <v>未买</v>
      </c>
    </row>
    <row r="398" spans="8:14" x14ac:dyDescent="0.15">
      <c r="H398" s="17">
        <v>396</v>
      </c>
      <c r="I398" s="7">
        <v>113584</v>
      </c>
      <c r="J398" s="7" t="s">
        <v>1983</v>
      </c>
      <c r="K398" s="7">
        <v>104.03</v>
      </c>
      <c r="L398" s="53">
        <v>193.54</v>
      </c>
      <c r="M398" s="56">
        <v>6.4493499999999999</v>
      </c>
      <c r="N398" s="5" t="str">
        <f t="shared" si="12"/>
        <v>未买</v>
      </c>
    </row>
    <row r="399" spans="8:14" x14ac:dyDescent="0.15">
      <c r="H399" s="17">
        <v>397</v>
      </c>
      <c r="I399" s="7">
        <v>123065</v>
      </c>
      <c r="J399" s="7" t="s">
        <v>137</v>
      </c>
      <c r="K399" s="7">
        <v>115.741</v>
      </c>
      <c r="L399" s="53">
        <v>193.83</v>
      </c>
      <c r="M399" s="56">
        <v>2.1885789999999998</v>
      </c>
      <c r="N399" s="5" t="str">
        <f t="shared" si="12"/>
        <v>未买</v>
      </c>
    </row>
    <row r="400" spans="8:14" x14ac:dyDescent="0.15">
      <c r="H400" s="17">
        <v>398</v>
      </c>
      <c r="I400" s="7">
        <v>113596</v>
      </c>
      <c r="J400" s="7" t="s">
        <v>1984</v>
      </c>
      <c r="K400" s="7">
        <v>98.31</v>
      </c>
      <c r="L400" s="53">
        <v>195.94</v>
      </c>
      <c r="M400" s="56">
        <v>11.98714</v>
      </c>
      <c r="N400" s="5" t="str">
        <f t="shared" si="12"/>
        <v>未买</v>
      </c>
    </row>
    <row r="401" spans="8:14" x14ac:dyDescent="0.15">
      <c r="H401" s="17">
        <v>399</v>
      </c>
      <c r="I401" s="7">
        <v>128041</v>
      </c>
      <c r="J401" s="7" t="s">
        <v>135</v>
      </c>
      <c r="K401" s="7">
        <v>284.3</v>
      </c>
      <c r="L401" s="53">
        <v>196.49</v>
      </c>
      <c r="M401" s="56">
        <v>0.52935699999999997</v>
      </c>
      <c r="N401" s="5" t="str">
        <f t="shared" si="12"/>
        <v>未买</v>
      </c>
    </row>
    <row r="402" spans="8:14" x14ac:dyDescent="0.15">
      <c r="H402" s="17">
        <v>400</v>
      </c>
      <c r="I402" s="7">
        <v>113575</v>
      </c>
      <c r="J402" s="7" t="s">
        <v>152</v>
      </c>
      <c r="K402" s="7">
        <v>145.1</v>
      </c>
      <c r="L402" s="53">
        <v>200.35</v>
      </c>
      <c r="M402" s="56">
        <v>0.98397999999999997</v>
      </c>
      <c r="N402" s="5" t="str">
        <f t="shared" si="12"/>
        <v>未买</v>
      </c>
    </row>
    <row r="403" spans="8:14" x14ac:dyDescent="0.15">
      <c r="H403" s="17">
        <v>401</v>
      </c>
      <c r="I403" s="7">
        <v>128062</v>
      </c>
      <c r="J403" s="7" t="s">
        <v>1985</v>
      </c>
      <c r="K403" s="7">
        <v>99.93</v>
      </c>
      <c r="L403" s="53">
        <v>203</v>
      </c>
      <c r="M403" s="56">
        <v>9.6197339999999993</v>
      </c>
      <c r="N403" s="5" t="str">
        <f t="shared" si="12"/>
        <v>未买</v>
      </c>
    </row>
    <row r="404" spans="8:14" x14ac:dyDescent="0.15">
      <c r="H404" s="17">
        <v>402</v>
      </c>
      <c r="I404" s="7">
        <v>113576</v>
      </c>
      <c r="J404" s="7" t="s">
        <v>139</v>
      </c>
      <c r="K404" s="7">
        <v>116.67</v>
      </c>
      <c r="L404" s="53">
        <v>226.53</v>
      </c>
      <c r="M404" s="56">
        <v>2.6581000000000001</v>
      </c>
      <c r="N404" s="5" t="str">
        <f t="shared" si="12"/>
        <v>未买</v>
      </c>
    </row>
    <row r="405" spans="8:14" x14ac:dyDescent="0.15">
      <c r="H405" s="17">
        <v>403</v>
      </c>
      <c r="I405" s="7">
        <v>123136</v>
      </c>
      <c r="J405" s="7" t="s">
        <v>274</v>
      </c>
      <c r="K405" s="7">
        <v>334.29</v>
      </c>
      <c r="L405" s="53">
        <v>229.77</v>
      </c>
      <c r="M405" s="56">
        <v>4.5999999999999996</v>
      </c>
      <c r="N405" s="5" t="str">
        <f t="shared" si="12"/>
        <v>未买</v>
      </c>
    </row>
    <row r="406" spans="8:14" x14ac:dyDescent="0.15">
      <c r="H406" s="17">
        <v>404</v>
      </c>
      <c r="I406" s="7">
        <v>113574</v>
      </c>
      <c r="J406" s="7" t="s">
        <v>1986</v>
      </c>
      <c r="K406" s="7">
        <v>112.29</v>
      </c>
      <c r="L406" s="53">
        <v>274.8</v>
      </c>
      <c r="M406" s="56">
        <v>2.0874199999999998</v>
      </c>
      <c r="N406" s="5" t="str">
        <f t="shared" si="12"/>
        <v>未买</v>
      </c>
    </row>
    <row r="407" spans="8:14" x14ac:dyDescent="0.15">
      <c r="H407" s="17">
        <v>405</v>
      </c>
      <c r="I407" s="7">
        <v>113646</v>
      </c>
      <c r="J407" s="7" t="s">
        <v>1987</v>
      </c>
      <c r="K407" s="7">
        <v>315.75</v>
      </c>
      <c r="L407" s="53">
        <v>289.57</v>
      </c>
      <c r="M407" s="56">
        <v>1.45868</v>
      </c>
      <c r="N407" s="5" t="str">
        <f t="shared" si="12"/>
        <v>未买</v>
      </c>
    </row>
    <row r="408" spans="8:14" x14ac:dyDescent="0.15">
      <c r="H408" s="17">
        <v>406</v>
      </c>
      <c r="I408" s="7">
        <v>123072</v>
      </c>
      <c r="J408" s="7" t="s">
        <v>1988</v>
      </c>
      <c r="K408" s="7">
        <v>129.63499999999999</v>
      </c>
      <c r="L408" s="53">
        <v>290.47000000000003</v>
      </c>
      <c r="M408" s="56">
        <v>1.419144</v>
      </c>
      <c r="N408" s="5" t="str">
        <f t="shared" si="12"/>
        <v>未买</v>
      </c>
    </row>
    <row r="409" spans="8:14" x14ac:dyDescent="0.15">
      <c r="H409" s="17">
        <v>407</v>
      </c>
      <c r="I409" s="7">
        <v>123135</v>
      </c>
      <c r="J409" s="7" t="s">
        <v>1989</v>
      </c>
      <c r="K409" s="7">
        <v>307.57799999999997</v>
      </c>
      <c r="L409" s="53">
        <v>318.02</v>
      </c>
      <c r="M409" s="56">
        <v>2.1</v>
      </c>
      <c r="N409" s="5" t="str">
        <f t="shared" si="12"/>
        <v>未买</v>
      </c>
    </row>
    <row r="410" spans="8:14" x14ac:dyDescent="0.15">
      <c r="H410" s="17">
        <v>408</v>
      </c>
      <c r="I410" s="7">
        <v>123134</v>
      </c>
      <c r="J410" s="7" t="s">
        <v>280</v>
      </c>
      <c r="K410" s="7">
        <v>402.9</v>
      </c>
      <c r="L410" s="53">
        <v>341.97</v>
      </c>
      <c r="M410" s="56">
        <v>2.79</v>
      </c>
      <c r="N410" s="5" t="str">
        <f t="shared" si="12"/>
        <v>未买</v>
      </c>
    </row>
    <row r="411" spans="8:14" x14ac:dyDescent="0.15">
      <c r="H411" s="17">
        <v>409</v>
      </c>
      <c r="I411" s="7">
        <v>123013</v>
      </c>
      <c r="J411" s="7" t="s">
        <v>1990</v>
      </c>
      <c r="K411" s="7">
        <v>503</v>
      </c>
      <c r="L411" s="53">
        <v>524.61</v>
      </c>
      <c r="M411" s="56">
        <v>0.37926300000000002</v>
      </c>
      <c r="N411" s="5" t="str">
        <f t="shared" si="12"/>
        <v>未买</v>
      </c>
    </row>
    <row r="412" spans="8:14" x14ac:dyDescent="0.15">
      <c r="H412" s="17">
        <v>410</v>
      </c>
      <c r="I412" s="7">
        <v>123015</v>
      </c>
      <c r="J412" s="7" t="s">
        <v>1991</v>
      </c>
      <c r="K412" s="7">
        <v>262.47000000000003</v>
      </c>
      <c r="L412" s="53">
        <v>874.28</v>
      </c>
      <c r="M412" s="56">
        <v>1.001509</v>
      </c>
      <c r="N412" s="5" t="str">
        <f t="shared" si="12"/>
        <v>未买</v>
      </c>
    </row>
  </sheetData>
  <autoFilter ref="A2:U402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fresh_premium_rate_convertible_bond">
                <anchor moveWithCells="1" sizeWithCells="1">
                  <from>
                    <xdr:col>13</xdr:col>
                    <xdr:colOff>485775</xdr:colOff>
                    <xdr:row>2</xdr:row>
                    <xdr:rowOff>123825</xdr:rowOff>
                  </from>
                  <to>
                    <xdr:col>14</xdr:col>
                    <xdr:colOff>390525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V750"/>
  <sheetViews>
    <sheetView zoomScaleNormal="100" workbookViewId="0">
      <pane ySplit="2" topLeftCell="A3" activePane="bottomLeft" state="frozen"/>
      <selection pane="bottomLeft" activeCell="M12" sqref="M12"/>
    </sheetView>
  </sheetViews>
  <sheetFormatPr defaultRowHeight="14.25" x14ac:dyDescent="0.15"/>
  <cols>
    <col min="1" max="2" width="12.25" style="7" bestFit="1" customWidth="1"/>
    <col min="3" max="3" width="8.5" style="7" bestFit="1" customWidth="1"/>
    <col min="4" max="4" width="15.875" style="5" customWidth="1"/>
    <col min="5" max="5" width="14.25" style="15" customWidth="1"/>
    <col min="6" max="7" width="9" style="7"/>
    <col min="8" max="8" width="4.125" style="17" customWidth="1"/>
    <col min="9" max="10" width="12.25" style="7" bestFit="1" customWidth="1"/>
    <col min="11" max="11" width="8.5" style="7" bestFit="1" customWidth="1"/>
    <col min="12" max="12" width="10.125" style="7" bestFit="1" customWidth="1"/>
    <col min="13" max="13" width="10.125" style="7" customWidth="1"/>
    <col min="14" max="14" width="10.125" style="56" customWidth="1"/>
    <col min="15" max="15" width="12.25" style="7" bestFit="1" customWidth="1"/>
    <col min="16" max="17" width="9" style="7"/>
    <col min="18" max="18" width="3.75" style="17" customWidth="1"/>
    <col min="19" max="20" width="12.25" style="7" bestFit="1" customWidth="1"/>
    <col min="21" max="21" width="8.5" style="7" bestFit="1" customWidth="1"/>
    <col min="22" max="22" width="12.25" style="7" bestFit="1" customWidth="1"/>
    <col min="23" max="16384" width="9" style="7"/>
  </cols>
  <sheetData>
    <row r="1" spans="1:22" x14ac:dyDescent="0.15">
      <c r="A1" s="8" t="s">
        <v>282</v>
      </c>
      <c r="B1" s="8"/>
      <c r="D1" s="7"/>
      <c r="E1" s="7"/>
      <c r="I1" s="8" t="s">
        <v>2004</v>
      </c>
      <c r="J1" s="8"/>
      <c r="K1" s="57" t="s">
        <v>2006</v>
      </c>
      <c r="L1" s="57"/>
      <c r="M1" s="57"/>
      <c r="N1" s="57"/>
      <c r="O1" s="57"/>
      <c r="P1" s="57"/>
      <c r="S1" s="8" t="s">
        <v>815</v>
      </c>
    </row>
    <row r="2" spans="1:22" s="6" customFormat="1" x14ac:dyDescent="0.15">
      <c r="A2" s="6" t="s">
        <v>59</v>
      </c>
      <c r="B2" s="6" t="s">
        <v>58</v>
      </c>
      <c r="C2" s="6" t="s">
        <v>57</v>
      </c>
      <c r="D2" s="4" t="s">
        <v>807</v>
      </c>
      <c r="E2" s="14" t="s">
        <v>804</v>
      </c>
      <c r="H2" s="18"/>
      <c r="I2" s="6" t="s">
        <v>1992</v>
      </c>
      <c r="J2" s="6" t="s">
        <v>1993</v>
      </c>
      <c r="K2" s="6" t="s">
        <v>1813</v>
      </c>
      <c r="L2" s="6" t="s">
        <v>35</v>
      </c>
      <c r="M2" s="6" t="s">
        <v>1994</v>
      </c>
      <c r="N2" s="55" t="s">
        <v>1995</v>
      </c>
      <c r="O2" s="4" t="s">
        <v>256</v>
      </c>
      <c r="R2" s="18"/>
      <c r="S2" s="6" t="s">
        <v>59</v>
      </c>
      <c r="T2" s="6" t="s">
        <v>58</v>
      </c>
      <c r="U2" s="6" t="s">
        <v>57</v>
      </c>
      <c r="V2" s="4" t="s">
        <v>256</v>
      </c>
    </row>
    <row r="3" spans="1:22" s="3" customFormat="1" x14ac:dyDescent="0.15">
      <c r="A3" s="3">
        <v>110070</v>
      </c>
      <c r="B3" s="3" t="s">
        <v>89</v>
      </c>
      <c r="C3" s="3">
        <f>VLOOKUP(A3,$I$1:$K$1000,3,FALSE)</f>
        <v>123.24</v>
      </c>
      <c r="D3" s="5">
        <f>MATCH(A3,$I$1:$I$1000,0)-2</f>
        <v>111</v>
      </c>
      <c r="E3" s="5">
        <f t="shared" ref="E3:E16" si="0">MATCH(A3,$S$1:$S$200,0)-2</f>
        <v>24</v>
      </c>
      <c r="H3" s="19">
        <v>1</v>
      </c>
      <c r="I3">
        <v>128013</v>
      </c>
      <c r="J3" t="s">
        <v>52</v>
      </c>
      <c r="K3">
        <v>110.75</v>
      </c>
      <c r="L3">
        <v>8.8699999999999992</v>
      </c>
      <c r="M3">
        <v>119.62</v>
      </c>
      <c r="N3" s="21">
        <v>7.8508710000000015</v>
      </c>
      <c r="O3" s="5" t="str">
        <f>IF(ISNA(MATCH(I3,$A$3:$A$1000,0)),"未买","Yes")</f>
        <v>Yes</v>
      </c>
      <c r="R3" s="19">
        <v>1</v>
      </c>
      <c r="S3" s="7">
        <v>128085</v>
      </c>
      <c r="T3" s="7" t="s">
        <v>801</v>
      </c>
      <c r="U3" s="7">
        <f>VLOOKUP(S3,$I$1:$K$1000,3,FALSE)</f>
        <v>114.839</v>
      </c>
      <c r="V3" s="5" t="str">
        <f>IF(ISNA(MATCH(S3,$A$3:$A$1000,0)),"未买","Yes")</f>
        <v>未买</v>
      </c>
    </row>
    <row r="4" spans="1:22" s="3" customFormat="1" x14ac:dyDescent="0.15">
      <c r="A4" s="3">
        <v>110080</v>
      </c>
      <c r="B4" s="3" t="s">
        <v>232</v>
      </c>
      <c r="C4" s="3">
        <f t="shared" ref="C4:C8" si="1">VLOOKUP(A4,$I$1:$K$1000,3,FALSE)</f>
        <v>119.57</v>
      </c>
      <c r="D4" s="5">
        <f t="shared" ref="D4:D8" si="2">MATCH(A4,$I$1:$I$1000,0)-2</f>
        <v>17</v>
      </c>
      <c r="E4" s="5" t="e">
        <f t="shared" si="0"/>
        <v>#N/A</v>
      </c>
      <c r="H4" s="19">
        <v>2</v>
      </c>
      <c r="I4">
        <v>128114</v>
      </c>
      <c r="J4" t="s">
        <v>1848</v>
      </c>
      <c r="K4">
        <v>111.2</v>
      </c>
      <c r="L4">
        <v>12.12</v>
      </c>
      <c r="M4">
        <v>123.32000000000001</v>
      </c>
      <c r="N4" s="21">
        <v>15.958168000000001</v>
      </c>
      <c r="O4" s="5" t="str">
        <f t="shared" ref="O4:O67" si="3">IF(ISNA(MATCH(I4,$A$3:$A$1000,0)),"未买","Yes")</f>
        <v>未买</v>
      </c>
      <c r="R4" s="19">
        <v>2</v>
      </c>
      <c r="S4" s="7">
        <v>128100</v>
      </c>
      <c r="T4" s="7" t="s">
        <v>48</v>
      </c>
      <c r="U4" s="7">
        <f t="shared" ref="U4:U28" si="4">VLOOKUP(S4,$I$1:$K$1000,3,FALSE)</f>
        <v>99.36</v>
      </c>
      <c r="V4" s="5" t="str">
        <f t="shared" ref="V4:V28" si="5">IF(ISNA(MATCH(S4,$A$3:$A$1000,0)),"未买","Yes")</f>
        <v>Yes</v>
      </c>
    </row>
    <row r="5" spans="1:22" x14ac:dyDescent="0.15">
      <c r="A5" s="7">
        <v>113017</v>
      </c>
      <c r="B5" s="7" t="s">
        <v>110</v>
      </c>
      <c r="C5" s="3">
        <f t="shared" si="1"/>
        <v>114.1</v>
      </c>
      <c r="D5" s="5">
        <f t="shared" si="2"/>
        <v>33</v>
      </c>
      <c r="E5" s="5" t="e">
        <f t="shared" si="0"/>
        <v>#N/A</v>
      </c>
      <c r="H5" s="19">
        <v>3</v>
      </c>
      <c r="I5">
        <v>128100</v>
      </c>
      <c r="J5" t="s">
        <v>48</v>
      </c>
      <c r="K5">
        <v>99.36</v>
      </c>
      <c r="L5">
        <v>25.76</v>
      </c>
      <c r="M5">
        <v>125.12</v>
      </c>
      <c r="N5" s="21">
        <v>7.9820419999999999</v>
      </c>
      <c r="O5" s="5" t="str">
        <f t="shared" si="3"/>
        <v>Yes</v>
      </c>
      <c r="R5" s="19">
        <v>3</v>
      </c>
      <c r="S5" s="7">
        <v>113567</v>
      </c>
      <c r="T5" s="7" t="s">
        <v>43</v>
      </c>
      <c r="U5" s="7">
        <f t="shared" si="4"/>
        <v>129.85</v>
      </c>
      <c r="V5" s="5" t="str">
        <f t="shared" si="5"/>
        <v>未买</v>
      </c>
    </row>
    <row r="6" spans="1:22" x14ac:dyDescent="0.15">
      <c r="A6" s="7">
        <v>113033</v>
      </c>
      <c r="B6" s="7" t="s">
        <v>90</v>
      </c>
      <c r="C6" s="3">
        <f t="shared" si="1"/>
        <v>110.48</v>
      </c>
      <c r="D6" s="5">
        <f t="shared" si="2"/>
        <v>8</v>
      </c>
      <c r="E6" s="5" t="e">
        <f t="shared" si="0"/>
        <v>#N/A</v>
      </c>
      <c r="H6" s="19">
        <v>4</v>
      </c>
      <c r="I6">
        <v>113011</v>
      </c>
      <c r="J6" t="s">
        <v>1873</v>
      </c>
      <c r="K6">
        <v>105.57</v>
      </c>
      <c r="L6">
        <v>19.73</v>
      </c>
      <c r="M6">
        <v>125.3</v>
      </c>
      <c r="N6" s="21">
        <v>241.98865000000001</v>
      </c>
      <c r="O6" s="5" t="str">
        <f t="shared" si="3"/>
        <v>未买</v>
      </c>
      <c r="R6" s="19">
        <v>4</v>
      </c>
      <c r="S6" s="7">
        <v>128076</v>
      </c>
      <c r="T6" s="7" t="s">
        <v>130</v>
      </c>
      <c r="U6" s="7">
        <f t="shared" si="4"/>
        <v>121.697</v>
      </c>
      <c r="V6" s="5" t="str">
        <f t="shared" si="5"/>
        <v>未买</v>
      </c>
    </row>
    <row r="7" spans="1:22" x14ac:dyDescent="0.15">
      <c r="A7" s="7">
        <v>113591</v>
      </c>
      <c r="B7" s="7" t="s">
        <v>41</v>
      </c>
      <c r="C7" s="3">
        <f t="shared" si="1"/>
        <v>114.99</v>
      </c>
      <c r="D7" s="5">
        <f t="shared" si="2"/>
        <v>28</v>
      </c>
      <c r="E7" s="5">
        <f t="shared" si="0"/>
        <v>22</v>
      </c>
      <c r="H7" s="19">
        <v>5</v>
      </c>
      <c r="I7">
        <v>113541</v>
      </c>
      <c r="J7" t="s">
        <v>1828</v>
      </c>
      <c r="K7">
        <v>122.78</v>
      </c>
      <c r="L7">
        <v>3.18</v>
      </c>
      <c r="M7">
        <v>125.96000000000001</v>
      </c>
      <c r="N7" s="21">
        <v>1.4928600000000001</v>
      </c>
      <c r="O7" s="5" t="str">
        <f t="shared" si="3"/>
        <v>未买</v>
      </c>
      <c r="R7" s="19">
        <v>5</v>
      </c>
      <c r="S7" s="7">
        <v>113570</v>
      </c>
      <c r="T7" s="7" t="s">
        <v>42</v>
      </c>
      <c r="U7" s="7">
        <f t="shared" si="4"/>
        <v>122.14</v>
      </c>
      <c r="V7" s="5" t="str">
        <f t="shared" si="5"/>
        <v>未买</v>
      </c>
    </row>
    <row r="8" spans="1:22" x14ac:dyDescent="0.15">
      <c r="A8" s="7">
        <v>123002</v>
      </c>
      <c r="B8" s="7" t="s">
        <v>81</v>
      </c>
      <c r="C8" s="3">
        <f t="shared" si="1"/>
        <v>115.78</v>
      </c>
      <c r="D8" s="5">
        <f t="shared" si="2"/>
        <v>144</v>
      </c>
      <c r="E8" s="5">
        <f t="shared" si="0"/>
        <v>14</v>
      </c>
      <c r="H8" s="19">
        <v>6</v>
      </c>
      <c r="I8">
        <v>113044</v>
      </c>
      <c r="J8" t="s">
        <v>1861</v>
      </c>
      <c r="K8">
        <v>109.83</v>
      </c>
      <c r="L8">
        <v>16.649999999999999</v>
      </c>
      <c r="M8">
        <v>126.47999999999999</v>
      </c>
      <c r="N8" s="21">
        <v>319.99041</v>
      </c>
      <c r="O8" s="5" t="str">
        <f t="shared" si="3"/>
        <v>未买</v>
      </c>
      <c r="R8" s="19">
        <v>6</v>
      </c>
      <c r="S8" s="7">
        <v>123057</v>
      </c>
      <c r="T8" s="7" t="s">
        <v>795</v>
      </c>
      <c r="U8" s="7">
        <f t="shared" si="4"/>
        <v>146</v>
      </c>
      <c r="V8" s="5" t="str">
        <f t="shared" si="5"/>
        <v>未买</v>
      </c>
    </row>
    <row r="9" spans="1:22" s="3" customFormat="1" x14ac:dyDescent="0.15">
      <c r="A9" s="7">
        <v>127027</v>
      </c>
      <c r="B9" s="7" t="s">
        <v>240</v>
      </c>
      <c r="C9" s="3">
        <f t="shared" ref="C9:C16" si="6">VLOOKUP(A9,$I$1:$K$1000,3,FALSE)</f>
        <v>141.899</v>
      </c>
      <c r="D9" s="5">
        <f t="shared" ref="D9:D16" si="7">MATCH(A9,$I$1:$I$1000,0)-2</f>
        <v>43</v>
      </c>
      <c r="E9" s="5" t="e">
        <f t="shared" si="0"/>
        <v>#N/A</v>
      </c>
      <c r="H9" s="19">
        <v>7</v>
      </c>
      <c r="I9">
        <v>128107</v>
      </c>
      <c r="J9" t="s">
        <v>2001</v>
      </c>
      <c r="K9">
        <v>130.69999999999999</v>
      </c>
      <c r="L9">
        <v>-0.89</v>
      </c>
      <c r="M9">
        <v>129.81</v>
      </c>
      <c r="N9" s="21">
        <v>8.8772090000000006</v>
      </c>
      <c r="O9" s="5" t="str">
        <f t="shared" si="3"/>
        <v>未买</v>
      </c>
      <c r="R9" s="19">
        <v>7</v>
      </c>
      <c r="S9" s="7">
        <v>128053</v>
      </c>
      <c r="T9" s="7" t="s">
        <v>61</v>
      </c>
      <c r="U9" s="7">
        <f t="shared" si="4"/>
        <v>134.499</v>
      </c>
      <c r="V9" s="5" t="str">
        <f t="shared" si="5"/>
        <v>未买</v>
      </c>
    </row>
    <row r="10" spans="1:22" x14ac:dyDescent="0.15">
      <c r="A10" s="7">
        <v>127042</v>
      </c>
      <c r="B10" s="7" t="s">
        <v>93</v>
      </c>
      <c r="C10" s="3">
        <f t="shared" si="6"/>
        <v>111.483</v>
      </c>
      <c r="D10" s="5">
        <f t="shared" si="7"/>
        <v>79</v>
      </c>
      <c r="E10" s="5" t="e">
        <f t="shared" si="0"/>
        <v>#N/A</v>
      </c>
      <c r="H10" s="19">
        <v>8</v>
      </c>
      <c r="I10">
        <v>113033</v>
      </c>
      <c r="J10" t="s">
        <v>90</v>
      </c>
      <c r="K10">
        <v>110.48</v>
      </c>
      <c r="L10">
        <v>20.440000000000001</v>
      </c>
      <c r="M10">
        <v>130.92000000000002</v>
      </c>
      <c r="N10" s="21">
        <v>17.99794</v>
      </c>
      <c r="O10" s="5" t="str">
        <f t="shared" si="3"/>
        <v>Yes</v>
      </c>
      <c r="R10" s="19">
        <v>8</v>
      </c>
      <c r="S10" s="7">
        <v>113565</v>
      </c>
      <c r="T10" s="7" t="s">
        <v>123</v>
      </c>
      <c r="U10" s="7">
        <f t="shared" si="4"/>
        <v>121.87</v>
      </c>
      <c r="V10" s="5" t="str">
        <f t="shared" si="5"/>
        <v>未买</v>
      </c>
    </row>
    <row r="11" spans="1:22" x14ac:dyDescent="0.15">
      <c r="A11" s="7">
        <v>128013</v>
      </c>
      <c r="B11" s="7" t="s">
        <v>52</v>
      </c>
      <c r="C11" s="3">
        <f t="shared" si="6"/>
        <v>110.75</v>
      </c>
      <c r="D11" s="5">
        <f t="shared" si="7"/>
        <v>1</v>
      </c>
      <c r="E11" s="5">
        <f t="shared" si="0"/>
        <v>16</v>
      </c>
      <c r="H11" s="19">
        <v>9</v>
      </c>
      <c r="I11">
        <v>127040</v>
      </c>
      <c r="J11" t="s">
        <v>1830</v>
      </c>
      <c r="K11">
        <v>125.45099999999999</v>
      </c>
      <c r="L11">
        <v>5.69</v>
      </c>
      <c r="M11">
        <v>131.14099999999999</v>
      </c>
      <c r="N11" s="21">
        <v>42.577635000000001</v>
      </c>
      <c r="O11" s="5" t="str">
        <f t="shared" si="3"/>
        <v>未买</v>
      </c>
      <c r="R11" s="19">
        <v>9</v>
      </c>
      <c r="S11" s="7">
        <v>113561</v>
      </c>
      <c r="T11" s="7" t="s">
        <v>86</v>
      </c>
      <c r="U11" s="7">
        <f t="shared" si="4"/>
        <v>118.38</v>
      </c>
      <c r="V11" s="5" t="str">
        <f t="shared" si="5"/>
        <v>未买</v>
      </c>
    </row>
    <row r="12" spans="1:22" x14ac:dyDescent="0.15">
      <c r="A12" s="7">
        <v>128081</v>
      </c>
      <c r="B12" s="7" t="s">
        <v>92</v>
      </c>
      <c r="C12" s="3">
        <f t="shared" si="6"/>
        <v>122.9</v>
      </c>
      <c r="D12" s="5">
        <f t="shared" si="7"/>
        <v>26</v>
      </c>
      <c r="E12" s="5" t="e">
        <f t="shared" si="0"/>
        <v>#N/A</v>
      </c>
      <c r="H12" s="19">
        <v>10</v>
      </c>
      <c r="I12">
        <v>110068</v>
      </c>
      <c r="J12" t="s">
        <v>1844</v>
      </c>
      <c r="K12">
        <v>120.16</v>
      </c>
      <c r="L12">
        <v>11.1</v>
      </c>
      <c r="M12">
        <v>131.26</v>
      </c>
      <c r="N12" s="21">
        <v>19.99616</v>
      </c>
      <c r="O12" s="5" t="str">
        <f t="shared" si="3"/>
        <v>未买</v>
      </c>
      <c r="R12" s="19">
        <v>10</v>
      </c>
      <c r="S12" s="7">
        <v>113526</v>
      </c>
      <c r="T12" s="7" t="s">
        <v>144</v>
      </c>
      <c r="U12" s="7">
        <f t="shared" si="4"/>
        <v>136.65</v>
      </c>
      <c r="V12" s="5" t="str">
        <f t="shared" si="5"/>
        <v>未买</v>
      </c>
    </row>
    <row r="13" spans="1:22" x14ac:dyDescent="0.15">
      <c r="A13" s="7">
        <v>128087</v>
      </c>
      <c r="B13" s="7" t="s">
        <v>121</v>
      </c>
      <c r="C13" s="3">
        <f t="shared" si="6"/>
        <v>115.723</v>
      </c>
      <c r="D13" s="5">
        <f t="shared" si="7"/>
        <v>13</v>
      </c>
      <c r="E13" s="5">
        <f t="shared" si="0"/>
        <v>25</v>
      </c>
      <c r="H13" s="19">
        <v>11</v>
      </c>
      <c r="I13">
        <v>110053</v>
      </c>
      <c r="J13" t="s">
        <v>1842</v>
      </c>
      <c r="K13">
        <v>122.08</v>
      </c>
      <c r="L13">
        <v>10.59</v>
      </c>
      <c r="M13">
        <v>132.66999999999999</v>
      </c>
      <c r="N13" s="21">
        <v>199.99213</v>
      </c>
      <c r="O13" s="5" t="str">
        <f t="shared" si="3"/>
        <v>未买</v>
      </c>
      <c r="R13" s="19">
        <v>11</v>
      </c>
      <c r="S13" s="7">
        <v>113030</v>
      </c>
      <c r="T13" s="7" t="s">
        <v>96</v>
      </c>
      <c r="U13" s="7">
        <f t="shared" si="4"/>
        <v>120.72</v>
      </c>
      <c r="V13" s="5" t="str">
        <f t="shared" si="5"/>
        <v>未买</v>
      </c>
    </row>
    <row r="14" spans="1:22" x14ac:dyDescent="0.15">
      <c r="A14" s="7">
        <v>128100</v>
      </c>
      <c r="B14" s="7" t="s">
        <v>48</v>
      </c>
      <c r="C14" s="3">
        <f t="shared" si="6"/>
        <v>99.36</v>
      </c>
      <c r="D14" s="5">
        <f t="shared" si="7"/>
        <v>3</v>
      </c>
      <c r="E14" s="5">
        <f t="shared" si="0"/>
        <v>2</v>
      </c>
      <c r="H14" s="19">
        <v>12</v>
      </c>
      <c r="I14">
        <v>127013</v>
      </c>
      <c r="J14" t="s">
        <v>193</v>
      </c>
      <c r="K14">
        <v>132.94</v>
      </c>
      <c r="L14">
        <v>-0.23</v>
      </c>
      <c r="M14">
        <v>132.71</v>
      </c>
      <c r="N14" s="21">
        <v>9.7660520000000002</v>
      </c>
      <c r="O14" s="5" t="str">
        <f t="shared" si="3"/>
        <v>未买</v>
      </c>
      <c r="R14" s="19">
        <v>12</v>
      </c>
      <c r="S14" s="7">
        <v>113628</v>
      </c>
      <c r="T14" s="7" t="s">
        <v>229</v>
      </c>
      <c r="U14" s="7">
        <f t="shared" si="4"/>
        <v>107.27</v>
      </c>
      <c r="V14" s="5" t="str">
        <f t="shared" si="5"/>
        <v>未买</v>
      </c>
    </row>
    <row r="15" spans="1:22" x14ac:dyDescent="0.15">
      <c r="A15" s="7">
        <v>128127</v>
      </c>
      <c r="B15" s="7" t="s">
        <v>218</v>
      </c>
      <c r="C15" s="3">
        <f t="shared" si="6"/>
        <v>111.38</v>
      </c>
      <c r="D15" s="5">
        <f t="shared" si="7"/>
        <v>32</v>
      </c>
      <c r="E15" s="5">
        <f t="shared" si="0"/>
        <v>15</v>
      </c>
      <c r="H15" s="19">
        <v>13</v>
      </c>
      <c r="I15">
        <v>128087</v>
      </c>
      <c r="J15" t="s">
        <v>121</v>
      </c>
      <c r="K15">
        <v>115.723</v>
      </c>
      <c r="L15">
        <v>17.13</v>
      </c>
      <c r="M15">
        <v>132.85300000000001</v>
      </c>
      <c r="N15" s="21">
        <v>6.4940579999999999</v>
      </c>
      <c r="O15" s="5" t="str">
        <f t="shared" si="3"/>
        <v>Yes</v>
      </c>
      <c r="R15" s="19">
        <v>13</v>
      </c>
      <c r="S15" s="7">
        <v>113039</v>
      </c>
      <c r="T15" s="7" t="s">
        <v>45</v>
      </c>
      <c r="U15" s="7">
        <f t="shared" si="4"/>
        <v>134.77000000000001</v>
      </c>
      <c r="V15" s="5" t="str">
        <f t="shared" si="5"/>
        <v>未买</v>
      </c>
    </row>
    <row r="16" spans="1:22" x14ac:dyDescent="0.15">
      <c r="A16" s="7">
        <v>128130</v>
      </c>
      <c r="B16" s="7" t="s">
        <v>106</v>
      </c>
      <c r="C16" s="3">
        <f t="shared" si="6"/>
        <v>119.648</v>
      </c>
      <c r="D16" s="5">
        <f t="shared" si="7"/>
        <v>16</v>
      </c>
      <c r="E16" s="5" t="e">
        <f t="shared" si="0"/>
        <v>#N/A</v>
      </c>
      <c r="H16" s="19">
        <v>14</v>
      </c>
      <c r="I16">
        <v>123023</v>
      </c>
      <c r="J16" t="s">
        <v>209</v>
      </c>
      <c r="K16">
        <v>117.59</v>
      </c>
      <c r="L16">
        <v>16.07</v>
      </c>
      <c r="M16">
        <v>133.66</v>
      </c>
      <c r="N16" s="21">
        <v>5.2936360000000002</v>
      </c>
      <c r="O16" s="5" t="str">
        <f t="shared" si="3"/>
        <v>未买</v>
      </c>
      <c r="R16" s="19">
        <v>14</v>
      </c>
      <c r="S16" s="7">
        <v>123002</v>
      </c>
      <c r="T16" s="7" t="s">
        <v>81</v>
      </c>
      <c r="U16" s="7">
        <f t="shared" si="4"/>
        <v>115.78</v>
      </c>
      <c r="V16" s="5" t="str">
        <f t="shared" si="5"/>
        <v>Yes</v>
      </c>
    </row>
    <row r="17" spans="3:22" x14ac:dyDescent="0.15">
      <c r="H17" s="19">
        <v>15</v>
      </c>
      <c r="I17">
        <v>113050</v>
      </c>
      <c r="J17" t="s">
        <v>1845</v>
      </c>
      <c r="K17">
        <v>122.51</v>
      </c>
      <c r="L17">
        <v>11.17</v>
      </c>
      <c r="M17">
        <v>133.68</v>
      </c>
      <c r="N17" s="21">
        <v>169.83662000000001</v>
      </c>
      <c r="O17" s="5" t="str">
        <f t="shared" si="3"/>
        <v>未买</v>
      </c>
      <c r="R17" s="19">
        <v>15</v>
      </c>
      <c r="S17" s="7">
        <v>128127</v>
      </c>
      <c r="T17" s="7" t="s">
        <v>218</v>
      </c>
      <c r="U17" s="7">
        <f t="shared" si="4"/>
        <v>111.38</v>
      </c>
      <c r="V17" s="5" t="str">
        <f t="shared" si="5"/>
        <v>Yes</v>
      </c>
    </row>
    <row r="18" spans="3:22" x14ac:dyDescent="0.15">
      <c r="C18" s="3"/>
      <c r="E18" s="5"/>
      <c r="H18" s="19">
        <v>16</v>
      </c>
      <c r="I18">
        <v>128130</v>
      </c>
      <c r="J18" t="s">
        <v>106</v>
      </c>
      <c r="K18">
        <v>119.648</v>
      </c>
      <c r="L18">
        <v>14.27</v>
      </c>
      <c r="M18">
        <v>133.91800000000001</v>
      </c>
      <c r="N18" s="21">
        <v>9.9868059999999996</v>
      </c>
      <c r="O18" s="5" t="str">
        <f t="shared" si="3"/>
        <v>Yes</v>
      </c>
      <c r="R18" s="19">
        <v>16</v>
      </c>
      <c r="S18" s="7">
        <v>128013</v>
      </c>
      <c r="T18" s="7" t="s">
        <v>52</v>
      </c>
      <c r="U18" s="7">
        <f t="shared" si="4"/>
        <v>110.75</v>
      </c>
      <c r="V18" s="5" t="str">
        <f t="shared" si="5"/>
        <v>Yes</v>
      </c>
    </row>
    <row r="19" spans="3:22" x14ac:dyDescent="0.15">
      <c r="C19" s="3"/>
      <c r="E19" s="5"/>
      <c r="H19" s="19">
        <v>17</v>
      </c>
      <c r="I19">
        <v>110080</v>
      </c>
      <c r="J19" t="s">
        <v>232</v>
      </c>
      <c r="K19">
        <v>119.57</v>
      </c>
      <c r="L19">
        <v>15</v>
      </c>
      <c r="M19">
        <v>134.57</v>
      </c>
      <c r="N19" s="21">
        <v>15.491210000000001</v>
      </c>
      <c r="O19" s="5" t="str">
        <f t="shared" si="3"/>
        <v>Yes</v>
      </c>
      <c r="R19" s="19">
        <v>17</v>
      </c>
      <c r="S19" s="7">
        <v>128090</v>
      </c>
      <c r="T19" s="7" t="s">
        <v>122</v>
      </c>
      <c r="U19" s="7">
        <f t="shared" si="4"/>
        <v>122.6</v>
      </c>
      <c r="V19" s="5" t="str">
        <f t="shared" si="5"/>
        <v>未买</v>
      </c>
    </row>
    <row r="20" spans="3:22" x14ac:dyDescent="0.15">
      <c r="C20" s="3"/>
      <c r="E20" s="5"/>
      <c r="H20" s="19">
        <v>18</v>
      </c>
      <c r="I20">
        <v>110043</v>
      </c>
      <c r="J20" t="s">
        <v>1819</v>
      </c>
      <c r="K20">
        <v>116.88</v>
      </c>
      <c r="L20">
        <v>18.14</v>
      </c>
      <c r="M20">
        <v>135.01999999999998</v>
      </c>
      <c r="N20" s="21">
        <v>29.2134</v>
      </c>
      <c r="O20" s="5" t="str">
        <f t="shared" si="3"/>
        <v>未买</v>
      </c>
      <c r="R20" s="19">
        <v>18</v>
      </c>
      <c r="S20" s="7">
        <v>123052</v>
      </c>
      <c r="T20" s="7" t="s">
        <v>794</v>
      </c>
      <c r="U20" s="7">
        <f t="shared" si="4"/>
        <v>141.80000000000001</v>
      </c>
      <c r="V20" s="5" t="str">
        <f t="shared" si="5"/>
        <v>未买</v>
      </c>
    </row>
    <row r="21" spans="3:22" x14ac:dyDescent="0.15">
      <c r="C21" s="3"/>
      <c r="E21" s="5"/>
      <c r="H21" s="19">
        <v>19</v>
      </c>
      <c r="I21">
        <v>128034</v>
      </c>
      <c r="J21" t="s">
        <v>1868</v>
      </c>
      <c r="K21">
        <v>116.657</v>
      </c>
      <c r="L21">
        <v>18.66</v>
      </c>
      <c r="M21">
        <v>135.31700000000001</v>
      </c>
      <c r="N21" s="21">
        <v>17.580943999999999</v>
      </c>
      <c r="O21" s="5" t="str">
        <f t="shared" si="3"/>
        <v>未买</v>
      </c>
      <c r="R21" s="19">
        <v>19</v>
      </c>
      <c r="S21" s="7">
        <v>123080</v>
      </c>
      <c r="T21" s="7" t="s">
        <v>54</v>
      </c>
      <c r="U21" s="7">
        <f t="shared" si="4"/>
        <v>130.09399999999999</v>
      </c>
      <c r="V21" s="5" t="str">
        <f t="shared" si="5"/>
        <v>未买</v>
      </c>
    </row>
    <row r="22" spans="3:22" x14ac:dyDescent="0.15">
      <c r="C22" s="3"/>
      <c r="E22" s="5"/>
      <c r="H22" s="19">
        <v>20</v>
      </c>
      <c r="I22">
        <v>110083</v>
      </c>
      <c r="J22" t="s">
        <v>1876</v>
      </c>
      <c r="K22">
        <v>115.37</v>
      </c>
      <c r="L22">
        <v>20.25</v>
      </c>
      <c r="M22">
        <v>135.62</v>
      </c>
      <c r="N22" s="21">
        <v>49.998559999999998</v>
      </c>
      <c r="O22" s="5" t="str">
        <f t="shared" si="3"/>
        <v>未买</v>
      </c>
      <c r="R22" s="19">
        <v>20</v>
      </c>
      <c r="S22" s="7">
        <v>113598</v>
      </c>
      <c r="T22" s="7" t="s">
        <v>101</v>
      </c>
      <c r="U22" s="7">
        <f t="shared" si="4"/>
        <v>124.14</v>
      </c>
      <c r="V22" s="5" t="str">
        <f t="shared" si="5"/>
        <v>未买</v>
      </c>
    </row>
    <row r="23" spans="3:22" x14ac:dyDescent="0.15">
      <c r="C23" s="3"/>
      <c r="E23" s="5"/>
      <c r="H23" s="19">
        <v>21</v>
      </c>
      <c r="I23">
        <v>123146</v>
      </c>
      <c r="J23" t="s">
        <v>1879</v>
      </c>
      <c r="K23">
        <v>115.03</v>
      </c>
      <c r="L23">
        <v>21.02</v>
      </c>
      <c r="M23">
        <v>136.05000000000001</v>
      </c>
      <c r="N23" s="21">
        <v>8.64</v>
      </c>
      <c r="O23" s="5" t="str">
        <f t="shared" si="3"/>
        <v>未买</v>
      </c>
      <c r="R23" s="19">
        <v>21</v>
      </c>
      <c r="S23" s="7">
        <v>128071</v>
      </c>
      <c r="T23" s="7" t="s">
        <v>88</v>
      </c>
      <c r="U23" s="7">
        <f t="shared" si="4"/>
        <v>112.375</v>
      </c>
      <c r="V23" s="5" t="str">
        <f t="shared" si="5"/>
        <v>未买</v>
      </c>
    </row>
    <row r="24" spans="3:22" x14ac:dyDescent="0.15">
      <c r="C24" s="3"/>
      <c r="E24" s="5"/>
      <c r="H24" s="19">
        <v>22</v>
      </c>
      <c r="I24">
        <v>128037</v>
      </c>
      <c r="J24" t="s">
        <v>73</v>
      </c>
      <c r="K24">
        <v>115.593</v>
      </c>
      <c r="L24">
        <v>20.65</v>
      </c>
      <c r="M24">
        <v>136.24299999999999</v>
      </c>
      <c r="N24" s="21">
        <v>6.0227959999999996</v>
      </c>
      <c r="O24" s="5" t="str">
        <f t="shared" si="3"/>
        <v>未买</v>
      </c>
      <c r="R24" s="19">
        <v>22</v>
      </c>
      <c r="S24" s="7">
        <v>113591</v>
      </c>
      <c r="T24" s="7" t="s">
        <v>41</v>
      </c>
      <c r="U24" s="7">
        <f t="shared" si="4"/>
        <v>114.99</v>
      </c>
      <c r="V24" s="5" t="str">
        <f t="shared" si="5"/>
        <v>Yes</v>
      </c>
    </row>
    <row r="25" spans="3:22" x14ac:dyDescent="0.15">
      <c r="C25" s="3"/>
      <c r="E25" s="5"/>
      <c r="H25" s="19">
        <v>23</v>
      </c>
      <c r="I25">
        <v>128066</v>
      </c>
      <c r="J25" t="s">
        <v>99</v>
      </c>
      <c r="K25">
        <v>116.29</v>
      </c>
      <c r="L25">
        <v>20.309999999999999</v>
      </c>
      <c r="M25">
        <v>136.6</v>
      </c>
      <c r="N25" s="21">
        <v>4.6106319999999998</v>
      </c>
      <c r="O25" s="5" t="str">
        <f t="shared" si="3"/>
        <v>未买</v>
      </c>
      <c r="R25" s="19">
        <v>23</v>
      </c>
      <c r="S25" s="7">
        <v>128039</v>
      </c>
      <c r="T25" s="7" t="s">
        <v>120</v>
      </c>
      <c r="U25" s="7">
        <f t="shared" si="4"/>
        <v>117.221</v>
      </c>
      <c r="V25" s="5" t="str">
        <f t="shared" si="5"/>
        <v>未买</v>
      </c>
    </row>
    <row r="26" spans="3:22" x14ac:dyDescent="0.15">
      <c r="E26" s="5"/>
      <c r="H26" s="19">
        <v>24</v>
      </c>
      <c r="I26">
        <v>110084</v>
      </c>
      <c r="J26" t="s">
        <v>276</v>
      </c>
      <c r="K26">
        <v>116.01</v>
      </c>
      <c r="L26">
        <v>20.69</v>
      </c>
      <c r="M26">
        <v>136.70000000000002</v>
      </c>
      <c r="N26" s="21">
        <v>10</v>
      </c>
      <c r="O26" s="5" t="str">
        <f t="shared" si="3"/>
        <v>未买</v>
      </c>
      <c r="R26" s="19">
        <v>24</v>
      </c>
      <c r="S26" s="7">
        <v>110070</v>
      </c>
      <c r="T26" s="7" t="s">
        <v>89</v>
      </c>
      <c r="U26" s="7">
        <f t="shared" si="4"/>
        <v>123.24</v>
      </c>
      <c r="V26" s="5" t="str">
        <f t="shared" si="5"/>
        <v>Yes</v>
      </c>
    </row>
    <row r="27" spans="3:22" x14ac:dyDescent="0.15">
      <c r="E27" s="5"/>
      <c r="H27" s="19">
        <v>25</v>
      </c>
      <c r="I27">
        <v>128048</v>
      </c>
      <c r="J27" t="s">
        <v>1852</v>
      </c>
      <c r="K27">
        <v>122.985</v>
      </c>
      <c r="L27">
        <v>13.93</v>
      </c>
      <c r="M27">
        <v>136.91499999999999</v>
      </c>
      <c r="N27" s="21">
        <v>24.970395</v>
      </c>
      <c r="O27" s="5" t="str">
        <f t="shared" si="3"/>
        <v>未买</v>
      </c>
      <c r="R27" s="19">
        <v>25</v>
      </c>
      <c r="S27" s="7">
        <v>128087</v>
      </c>
      <c r="T27" s="7" t="s">
        <v>121</v>
      </c>
      <c r="U27" s="7">
        <f t="shared" si="4"/>
        <v>115.723</v>
      </c>
      <c r="V27" s="5" t="str">
        <f t="shared" si="5"/>
        <v>Yes</v>
      </c>
    </row>
    <row r="28" spans="3:22" x14ac:dyDescent="0.15">
      <c r="E28" s="5"/>
      <c r="H28" s="19">
        <v>26</v>
      </c>
      <c r="I28">
        <v>128081</v>
      </c>
      <c r="J28" t="s">
        <v>92</v>
      </c>
      <c r="K28">
        <v>122.9</v>
      </c>
      <c r="L28">
        <v>14.62</v>
      </c>
      <c r="M28">
        <v>137.52000000000001</v>
      </c>
      <c r="N28" s="21">
        <v>30.054950999999999</v>
      </c>
      <c r="O28" s="5" t="str">
        <f t="shared" si="3"/>
        <v>Yes</v>
      </c>
      <c r="R28" s="19">
        <v>26</v>
      </c>
      <c r="S28" s="7">
        <v>128120</v>
      </c>
      <c r="T28" s="7" t="s">
        <v>117</v>
      </c>
      <c r="U28" s="7">
        <f t="shared" si="4"/>
        <v>116.431</v>
      </c>
      <c r="V28" s="5" t="str">
        <f t="shared" si="5"/>
        <v>未买</v>
      </c>
    </row>
    <row r="29" spans="3:22" x14ac:dyDescent="0.15">
      <c r="E29" s="5"/>
      <c r="H29" s="19">
        <v>27</v>
      </c>
      <c r="I29">
        <v>110079</v>
      </c>
      <c r="J29" t="s">
        <v>1859</v>
      </c>
      <c r="K29">
        <v>121.51</v>
      </c>
      <c r="L29">
        <v>16.14</v>
      </c>
      <c r="M29">
        <v>137.65</v>
      </c>
      <c r="N29" s="21">
        <v>149.99064999999999</v>
      </c>
      <c r="O29" s="5" t="str">
        <f t="shared" si="3"/>
        <v>未买</v>
      </c>
      <c r="R29" s="19">
        <v>27</v>
      </c>
      <c r="V29" s="5"/>
    </row>
    <row r="30" spans="3:22" x14ac:dyDescent="0.15">
      <c r="E30" s="5"/>
      <c r="H30" s="19">
        <v>28</v>
      </c>
      <c r="I30">
        <v>113591</v>
      </c>
      <c r="J30" t="s">
        <v>41</v>
      </c>
      <c r="K30">
        <v>114.99</v>
      </c>
      <c r="L30">
        <v>23</v>
      </c>
      <c r="M30">
        <v>137.99</v>
      </c>
      <c r="N30" s="21">
        <v>4.7750000000000004</v>
      </c>
      <c r="O30" s="5" t="str">
        <f t="shared" si="3"/>
        <v>Yes</v>
      </c>
      <c r="R30" s="19">
        <v>28</v>
      </c>
      <c r="V30" s="5"/>
    </row>
    <row r="31" spans="3:22" x14ac:dyDescent="0.15">
      <c r="E31" s="5"/>
      <c r="H31" s="19">
        <v>29</v>
      </c>
      <c r="I31">
        <v>110064</v>
      </c>
      <c r="J31" t="s">
        <v>1853</v>
      </c>
      <c r="K31">
        <v>124.31</v>
      </c>
      <c r="L31">
        <v>13.99</v>
      </c>
      <c r="M31">
        <v>138.30000000000001</v>
      </c>
      <c r="N31" s="21">
        <v>12.64597</v>
      </c>
      <c r="O31" s="5" t="str">
        <f t="shared" si="3"/>
        <v>未买</v>
      </c>
      <c r="R31" s="19">
        <v>29</v>
      </c>
      <c r="V31" s="5"/>
    </row>
    <row r="32" spans="3:22" x14ac:dyDescent="0.15">
      <c r="E32" s="5"/>
      <c r="H32" s="19">
        <v>30</v>
      </c>
      <c r="I32">
        <v>110057</v>
      </c>
      <c r="J32" t="s">
        <v>1885</v>
      </c>
      <c r="K32">
        <v>114.5</v>
      </c>
      <c r="L32">
        <v>24.13</v>
      </c>
      <c r="M32">
        <v>138.63</v>
      </c>
      <c r="N32" s="21">
        <v>16.155080000000002</v>
      </c>
      <c r="O32" s="5" t="str">
        <f t="shared" si="3"/>
        <v>未买</v>
      </c>
      <c r="R32" s="19">
        <v>30</v>
      </c>
      <c r="V32" s="5"/>
    </row>
    <row r="33" spans="5:22" x14ac:dyDescent="0.15">
      <c r="E33" s="5"/>
      <c r="H33" s="19">
        <v>31</v>
      </c>
      <c r="I33">
        <v>113631</v>
      </c>
      <c r="J33" t="s">
        <v>224</v>
      </c>
      <c r="K33">
        <v>114.21</v>
      </c>
      <c r="L33">
        <v>24.75</v>
      </c>
      <c r="M33">
        <v>138.95999999999998</v>
      </c>
      <c r="N33" s="21">
        <v>9.29983</v>
      </c>
      <c r="O33" s="5" t="str">
        <f t="shared" si="3"/>
        <v>未买</v>
      </c>
      <c r="R33" s="19">
        <v>31</v>
      </c>
      <c r="V33" s="5"/>
    </row>
    <row r="34" spans="5:22" x14ac:dyDescent="0.15">
      <c r="E34" s="5"/>
      <c r="H34" s="19">
        <v>32</v>
      </c>
      <c r="I34">
        <v>128127</v>
      </c>
      <c r="J34" t="s">
        <v>218</v>
      </c>
      <c r="K34">
        <v>111.38</v>
      </c>
      <c r="L34">
        <v>27.89</v>
      </c>
      <c r="M34">
        <v>139.26999999999998</v>
      </c>
      <c r="N34" s="21">
        <v>9.4930299999999992</v>
      </c>
      <c r="O34" s="5" t="str">
        <f t="shared" si="3"/>
        <v>Yes</v>
      </c>
      <c r="R34" s="19">
        <v>32</v>
      </c>
      <c r="V34" s="5"/>
    </row>
    <row r="35" spans="5:22" x14ac:dyDescent="0.15">
      <c r="E35" s="5"/>
      <c r="H35" s="19">
        <v>33</v>
      </c>
      <c r="I35">
        <v>113017</v>
      </c>
      <c r="J35" t="s">
        <v>110</v>
      </c>
      <c r="K35">
        <v>114.1</v>
      </c>
      <c r="L35">
        <v>25.34</v>
      </c>
      <c r="M35">
        <v>139.44</v>
      </c>
      <c r="N35" s="21">
        <v>11.35008</v>
      </c>
      <c r="O35" s="5" t="str">
        <f t="shared" si="3"/>
        <v>Yes</v>
      </c>
      <c r="R35" s="19">
        <v>33</v>
      </c>
      <c r="V35" s="5"/>
    </row>
    <row r="36" spans="5:22" x14ac:dyDescent="0.15">
      <c r="E36" s="5"/>
      <c r="H36" s="19">
        <v>34</v>
      </c>
      <c r="I36">
        <v>113570</v>
      </c>
      <c r="J36" t="s">
        <v>42</v>
      </c>
      <c r="K36">
        <v>122.14</v>
      </c>
      <c r="L36">
        <v>17.48</v>
      </c>
      <c r="M36">
        <v>139.62</v>
      </c>
      <c r="N36" s="21">
        <v>2.7993199999999998</v>
      </c>
      <c r="O36" s="5" t="str">
        <f t="shared" si="3"/>
        <v>未买</v>
      </c>
      <c r="R36" s="19">
        <v>34</v>
      </c>
      <c r="V36" s="5"/>
    </row>
    <row r="37" spans="5:22" x14ac:dyDescent="0.15">
      <c r="E37" s="5"/>
      <c r="H37" s="19">
        <v>35</v>
      </c>
      <c r="I37">
        <v>128083</v>
      </c>
      <c r="J37" t="s">
        <v>190</v>
      </c>
      <c r="K37">
        <v>117.6</v>
      </c>
      <c r="L37">
        <v>22.06</v>
      </c>
      <c r="M37">
        <v>139.66</v>
      </c>
      <c r="N37" s="21">
        <v>8.7688389999999998</v>
      </c>
      <c r="O37" s="5" t="str">
        <f t="shared" si="3"/>
        <v>未买</v>
      </c>
      <c r="R37" s="19">
        <v>35</v>
      </c>
      <c r="V37" s="5"/>
    </row>
    <row r="38" spans="5:22" x14ac:dyDescent="0.15">
      <c r="E38" s="5"/>
      <c r="H38" s="19">
        <v>36</v>
      </c>
      <c r="I38">
        <v>128085</v>
      </c>
      <c r="J38" t="s">
        <v>1888</v>
      </c>
      <c r="K38">
        <v>114.839</v>
      </c>
      <c r="L38">
        <v>25.42</v>
      </c>
      <c r="M38">
        <v>140.25900000000001</v>
      </c>
      <c r="N38" s="21">
        <v>3.374628</v>
      </c>
      <c r="O38" s="5" t="str">
        <f t="shared" si="3"/>
        <v>未买</v>
      </c>
      <c r="R38" s="19">
        <v>36</v>
      </c>
      <c r="V38" s="5"/>
    </row>
    <row r="39" spans="5:22" x14ac:dyDescent="0.15">
      <c r="E39" s="5"/>
      <c r="H39" s="19">
        <v>37</v>
      </c>
      <c r="I39">
        <v>128141</v>
      </c>
      <c r="J39" t="s">
        <v>1831</v>
      </c>
      <c r="K39">
        <v>134.80000000000001</v>
      </c>
      <c r="L39">
        <v>5.78</v>
      </c>
      <c r="M39">
        <v>140.58000000000001</v>
      </c>
      <c r="N39" s="21">
        <v>12.701748</v>
      </c>
      <c r="O39" s="5" t="str">
        <f t="shared" si="3"/>
        <v>未买</v>
      </c>
      <c r="R39" s="19">
        <v>37</v>
      </c>
      <c r="V39" s="5"/>
    </row>
    <row r="40" spans="5:22" x14ac:dyDescent="0.15">
      <c r="E40" s="5"/>
      <c r="H40" s="19">
        <v>38</v>
      </c>
      <c r="I40">
        <v>113567</v>
      </c>
      <c r="J40" t="s">
        <v>1843</v>
      </c>
      <c r="K40">
        <v>129.85</v>
      </c>
      <c r="L40">
        <v>10.79</v>
      </c>
      <c r="M40">
        <v>140.63999999999999</v>
      </c>
      <c r="N40" s="21">
        <v>1.9354100000000001</v>
      </c>
      <c r="O40" s="5" t="str">
        <f t="shared" si="3"/>
        <v>未买</v>
      </c>
      <c r="R40" s="19">
        <v>38</v>
      </c>
      <c r="V40" s="5"/>
    </row>
    <row r="41" spans="5:22" x14ac:dyDescent="0.15">
      <c r="E41" s="5"/>
      <c r="H41" s="19">
        <v>39</v>
      </c>
      <c r="I41">
        <v>127029</v>
      </c>
      <c r="J41" t="s">
        <v>1856</v>
      </c>
      <c r="K41">
        <v>125.1</v>
      </c>
      <c r="L41">
        <v>15.66</v>
      </c>
      <c r="M41">
        <v>140.76</v>
      </c>
      <c r="N41" s="21">
        <v>8.1914259999999999</v>
      </c>
      <c r="O41" s="5" t="str">
        <f t="shared" si="3"/>
        <v>未买</v>
      </c>
      <c r="R41" s="19">
        <v>39</v>
      </c>
      <c r="V41" s="5"/>
    </row>
    <row r="42" spans="5:22" x14ac:dyDescent="0.15">
      <c r="E42" s="5"/>
      <c r="H42" s="19">
        <v>40</v>
      </c>
      <c r="I42">
        <v>127028</v>
      </c>
      <c r="J42" t="s">
        <v>62</v>
      </c>
      <c r="K42">
        <v>116.001</v>
      </c>
      <c r="L42">
        <v>24.99</v>
      </c>
      <c r="M42">
        <v>140.99100000000001</v>
      </c>
      <c r="N42" s="21">
        <v>5.9825270000000002</v>
      </c>
      <c r="O42" s="5" t="str">
        <f t="shared" si="3"/>
        <v>未买</v>
      </c>
      <c r="R42" s="19">
        <v>40</v>
      </c>
      <c r="V42" s="5"/>
    </row>
    <row r="43" spans="5:22" x14ac:dyDescent="0.15">
      <c r="E43" s="5"/>
      <c r="H43" s="19">
        <v>41</v>
      </c>
      <c r="I43">
        <v>110071</v>
      </c>
      <c r="J43" t="s">
        <v>97</v>
      </c>
      <c r="K43">
        <v>140.9</v>
      </c>
      <c r="L43">
        <v>0.35</v>
      </c>
      <c r="M43">
        <v>141.25</v>
      </c>
      <c r="N43" s="21">
        <v>7.1959299999999997</v>
      </c>
      <c r="O43" s="5" t="str">
        <f t="shared" si="3"/>
        <v>未买</v>
      </c>
      <c r="R43" s="19">
        <v>41</v>
      </c>
      <c r="V43" s="16"/>
    </row>
    <row r="44" spans="5:22" x14ac:dyDescent="0.15">
      <c r="E44" s="5"/>
      <c r="H44" s="19">
        <v>42</v>
      </c>
      <c r="I44">
        <v>128075</v>
      </c>
      <c r="J44" t="s">
        <v>125</v>
      </c>
      <c r="K44">
        <v>120.7</v>
      </c>
      <c r="L44">
        <v>20.93</v>
      </c>
      <c r="M44">
        <v>141.63</v>
      </c>
      <c r="N44" s="21">
        <v>5.4375910000000003</v>
      </c>
      <c r="O44" s="5" t="str">
        <f t="shared" si="3"/>
        <v>未买</v>
      </c>
      <c r="R44" s="19">
        <v>42</v>
      </c>
      <c r="V44" s="16"/>
    </row>
    <row r="45" spans="5:22" x14ac:dyDescent="0.15">
      <c r="E45" s="5"/>
      <c r="H45" s="19">
        <v>43</v>
      </c>
      <c r="I45">
        <v>127027</v>
      </c>
      <c r="J45" t="s">
        <v>1820</v>
      </c>
      <c r="K45">
        <v>141.899</v>
      </c>
      <c r="L45">
        <v>-0.22</v>
      </c>
      <c r="M45">
        <v>141.679</v>
      </c>
      <c r="N45" s="21">
        <v>22.003689000000001</v>
      </c>
      <c r="O45" s="5" t="str">
        <f t="shared" si="3"/>
        <v>Yes</v>
      </c>
      <c r="R45" s="19">
        <v>43</v>
      </c>
    </row>
    <row r="46" spans="5:22" x14ac:dyDescent="0.15">
      <c r="E46" s="5"/>
      <c r="H46" s="19">
        <v>44</v>
      </c>
      <c r="I46">
        <v>127058</v>
      </c>
      <c r="J46" t="s">
        <v>1864</v>
      </c>
      <c r="K46">
        <v>124</v>
      </c>
      <c r="L46">
        <v>17.73</v>
      </c>
      <c r="M46">
        <v>141.72999999999999</v>
      </c>
      <c r="N46" s="21">
        <v>30</v>
      </c>
      <c r="O46" s="5" t="str">
        <f t="shared" si="3"/>
        <v>未买</v>
      </c>
      <c r="R46" s="19">
        <v>44</v>
      </c>
      <c r="V46" s="16"/>
    </row>
    <row r="47" spans="5:22" x14ac:dyDescent="0.15">
      <c r="E47" s="5"/>
      <c r="H47" s="19">
        <v>45</v>
      </c>
      <c r="I47">
        <v>123097</v>
      </c>
      <c r="J47" t="s">
        <v>126</v>
      </c>
      <c r="K47">
        <v>120.5</v>
      </c>
      <c r="L47">
        <v>21.29</v>
      </c>
      <c r="M47">
        <v>141.79</v>
      </c>
      <c r="N47" s="21">
        <v>2.9987979999999999</v>
      </c>
      <c r="O47" s="5" t="str">
        <f t="shared" si="3"/>
        <v>未买</v>
      </c>
      <c r="R47" s="19">
        <v>45</v>
      </c>
      <c r="V47" s="16"/>
    </row>
    <row r="48" spans="5:22" x14ac:dyDescent="0.15">
      <c r="E48" s="5"/>
      <c r="H48" s="19">
        <v>46</v>
      </c>
      <c r="I48">
        <v>110077</v>
      </c>
      <c r="J48" t="s">
        <v>1840</v>
      </c>
      <c r="K48">
        <v>132.61000000000001</v>
      </c>
      <c r="L48">
        <v>9.18</v>
      </c>
      <c r="M48">
        <v>141.79000000000002</v>
      </c>
      <c r="N48" s="21">
        <v>17.676649999999999</v>
      </c>
      <c r="O48" s="5" t="str">
        <f t="shared" si="3"/>
        <v>未买</v>
      </c>
      <c r="R48" s="19">
        <v>46</v>
      </c>
      <c r="V48" s="16"/>
    </row>
    <row r="49" spans="5:18" x14ac:dyDescent="0.15">
      <c r="E49" s="5"/>
      <c r="H49" s="19">
        <v>47</v>
      </c>
      <c r="I49">
        <v>110063</v>
      </c>
      <c r="J49" t="s">
        <v>1897</v>
      </c>
      <c r="K49">
        <v>111.98</v>
      </c>
      <c r="L49">
        <v>29.91</v>
      </c>
      <c r="M49">
        <v>141.89000000000001</v>
      </c>
      <c r="N49" s="21">
        <v>18.444659999999999</v>
      </c>
      <c r="O49" s="5" t="str">
        <f t="shared" si="3"/>
        <v>未买</v>
      </c>
      <c r="R49" s="19">
        <v>47</v>
      </c>
    </row>
    <row r="50" spans="5:18" x14ac:dyDescent="0.15">
      <c r="E50" s="5"/>
      <c r="H50" s="19">
        <v>48</v>
      </c>
      <c r="I50">
        <v>123080</v>
      </c>
      <c r="J50" t="s">
        <v>54</v>
      </c>
      <c r="K50">
        <v>130.09399999999999</v>
      </c>
      <c r="L50">
        <v>11.84</v>
      </c>
      <c r="M50">
        <v>141.934</v>
      </c>
      <c r="N50" s="21">
        <v>2.4344640000000002</v>
      </c>
      <c r="O50" s="5" t="str">
        <f t="shared" si="3"/>
        <v>未买</v>
      </c>
      <c r="R50" s="19">
        <v>48</v>
      </c>
    </row>
    <row r="51" spans="5:18" x14ac:dyDescent="0.15">
      <c r="E51" s="5"/>
      <c r="H51" s="19">
        <v>49</v>
      </c>
      <c r="I51">
        <v>127049</v>
      </c>
      <c r="J51" t="s">
        <v>1883</v>
      </c>
      <c r="K51">
        <v>119.6</v>
      </c>
      <c r="L51">
        <v>22.39</v>
      </c>
      <c r="M51">
        <v>141.99</v>
      </c>
      <c r="N51" s="21">
        <v>81.494648999999995</v>
      </c>
      <c r="O51" s="5" t="str">
        <f t="shared" si="3"/>
        <v>未买</v>
      </c>
      <c r="R51" s="19">
        <v>49</v>
      </c>
    </row>
    <row r="52" spans="5:18" x14ac:dyDescent="0.15">
      <c r="E52" s="5"/>
      <c r="H52" s="19">
        <v>50</v>
      </c>
      <c r="I52">
        <v>113055</v>
      </c>
      <c r="J52" t="s">
        <v>1858</v>
      </c>
      <c r="K52">
        <v>126.01</v>
      </c>
      <c r="L52">
        <v>16.03</v>
      </c>
      <c r="M52">
        <v>142.04000000000002</v>
      </c>
      <c r="N52" s="21">
        <v>80</v>
      </c>
      <c r="O52" s="5" t="str">
        <f t="shared" si="3"/>
        <v>未买</v>
      </c>
      <c r="R52" s="19">
        <v>50</v>
      </c>
    </row>
    <row r="53" spans="5:18" x14ac:dyDescent="0.15">
      <c r="E53" s="5"/>
      <c r="H53" s="19">
        <v>51</v>
      </c>
      <c r="I53">
        <v>113516</v>
      </c>
      <c r="J53" t="s">
        <v>1887</v>
      </c>
      <c r="K53">
        <v>117.08</v>
      </c>
      <c r="L53">
        <v>25.25</v>
      </c>
      <c r="M53">
        <v>142.32999999999998</v>
      </c>
      <c r="N53" s="21">
        <v>12.886039999999999</v>
      </c>
      <c r="O53" s="5" t="str">
        <f t="shared" si="3"/>
        <v>未买</v>
      </c>
      <c r="R53" s="19">
        <v>51</v>
      </c>
    </row>
    <row r="54" spans="5:18" x14ac:dyDescent="0.15">
      <c r="E54" s="5"/>
      <c r="H54" s="19">
        <v>52</v>
      </c>
      <c r="I54">
        <v>127039</v>
      </c>
      <c r="J54" t="s">
        <v>1878</v>
      </c>
      <c r="K54">
        <v>121.54</v>
      </c>
      <c r="L54">
        <v>20.8</v>
      </c>
      <c r="M54">
        <v>142.34</v>
      </c>
      <c r="N54" s="21">
        <v>17.631639000000003</v>
      </c>
      <c r="O54" s="5" t="str">
        <f t="shared" si="3"/>
        <v>未买</v>
      </c>
      <c r="R54" s="19">
        <v>52</v>
      </c>
    </row>
    <row r="55" spans="5:18" x14ac:dyDescent="0.15">
      <c r="E55" s="5"/>
      <c r="H55" s="19">
        <v>53</v>
      </c>
      <c r="I55">
        <v>113532</v>
      </c>
      <c r="J55" t="s">
        <v>202</v>
      </c>
      <c r="K55">
        <v>115.3</v>
      </c>
      <c r="L55">
        <v>27.14</v>
      </c>
      <c r="M55">
        <v>142.44</v>
      </c>
      <c r="N55" s="21">
        <v>4.5855300000000003</v>
      </c>
      <c r="O55" s="5" t="str">
        <f t="shared" si="3"/>
        <v>未买</v>
      </c>
      <c r="R55" s="19">
        <v>53</v>
      </c>
    </row>
    <row r="56" spans="5:18" x14ac:dyDescent="0.15">
      <c r="E56" s="5"/>
      <c r="H56" s="19">
        <v>54</v>
      </c>
      <c r="I56">
        <v>127018</v>
      </c>
      <c r="J56" t="s">
        <v>1889</v>
      </c>
      <c r="K56">
        <v>116.538</v>
      </c>
      <c r="L56">
        <v>25.95</v>
      </c>
      <c r="M56">
        <v>142.488</v>
      </c>
      <c r="N56" s="21">
        <v>56.310693999999991</v>
      </c>
      <c r="O56" s="5" t="str">
        <f t="shared" si="3"/>
        <v>未买</v>
      </c>
      <c r="R56" s="19">
        <v>54</v>
      </c>
    </row>
    <row r="57" spans="5:18" x14ac:dyDescent="0.15">
      <c r="E57" s="5"/>
      <c r="H57" s="19">
        <v>55</v>
      </c>
      <c r="I57">
        <v>128119</v>
      </c>
      <c r="J57" t="s">
        <v>246</v>
      </c>
      <c r="K57">
        <v>125</v>
      </c>
      <c r="L57">
        <v>17.649999999999999</v>
      </c>
      <c r="M57">
        <v>142.65</v>
      </c>
      <c r="N57" s="21">
        <v>9.4608120000000007</v>
      </c>
      <c r="O57" s="5" t="str">
        <f t="shared" si="3"/>
        <v>未买</v>
      </c>
      <c r="R57" s="19">
        <v>55</v>
      </c>
    </row>
    <row r="58" spans="5:18" x14ac:dyDescent="0.15">
      <c r="E58" s="5"/>
      <c r="H58" s="19">
        <v>56</v>
      </c>
      <c r="I58">
        <v>128129</v>
      </c>
      <c r="J58" t="s">
        <v>1917</v>
      </c>
      <c r="K58">
        <v>103.5</v>
      </c>
      <c r="L58">
        <v>39.729999999999997</v>
      </c>
      <c r="M58">
        <v>143.22999999999999</v>
      </c>
      <c r="N58" s="21">
        <v>49.997489999999999</v>
      </c>
      <c r="O58" s="5" t="str">
        <f t="shared" si="3"/>
        <v>未买</v>
      </c>
      <c r="R58" s="19">
        <v>56</v>
      </c>
    </row>
    <row r="59" spans="5:18" x14ac:dyDescent="0.15">
      <c r="E59" s="5"/>
      <c r="H59" s="19">
        <v>57</v>
      </c>
      <c r="I59">
        <v>113057</v>
      </c>
      <c r="J59" t="s">
        <v>1899</v>
      </c>
      <c r="K59">
        <v>112.71</v>
      </c>
      <c r="L59">
        <v>30.56</v>
      </c>
      <c r="M59">
        <v>143.26999999999998</v>
      </c>
      <c r="N59" s="21">
        <v>78</v>
      </c>
      <c r="O59" s="5" t="str">
        <f t="shared" si="3"/>
        <v>未买</v>
      </c>
      <c r="R59" s="19">
        <v>57</v>
      </c>
    </row>
    <row r="60" spans="5:18" x14ac:dyDescent="0.15">
      <c r="E60" s="5"/>
      <c r="H60" s="19">
        <v>58</v>
      </c>
      <c r="I60">
        <v>123085</v>
      </c>
      <c r="J60" t="s">
        <v>1832</v>
      </c>
      <c r="K60">
        <v>137.03899999999999</v>
      </c>
      <c r="L60">
        <v>6.47</v>
      </c>
      <c r="M60">
        <v>143.50899999999999</v>
      </c>
      <c r="N60" s="21">
        <v>8.4949070000000013</v>
      </c>
      <c r="O60" s="5" t="str">
        <f t="shared" si="3"/>
        <v>未买</v>
      </c>
      <c r="R60" s="19">
        <v>58</v>
      </c>
    </row>
    <row r="61" spans="5:18" x14ac:dyDescent="0.15">
      <c r="E61" s="5"/>
      <c r="H61" s="19">
        <v>59</v>
      </c>
      <c r="I61">
        <v>128044</v>
      </c>
      <c r="J61" t="s">
        <v>131</v>
      </c>
      <c r="K61">
        <v>114.89</v>
      </c>
      <c r="L61">
        <v>29.21</v>
      </c>
      <c r="M61">
        <v>144.1</v>
      </c>
      <c r="N61" s="21">
        <v>6.5742390000000004</v>
      </c>
      <c r="O61" s="5" t="str">
        <f t="shared" si="3"/>
        <v>未买</v>
      </c>
      <c r="R61" s="19">
        <v>59</v>
      </c>
    </row>
    <row r="62" spans="5:18" x14ac:dyDescent="0.15">
      <c r="E62" s="5"/>
      <c r="H62" s="19">
        <v>60</v>
      </c>
      <c r="I62">
        <v>128021</v>
      </c>
      <c r="J62" t="s">
        <v>51</v>
      </c>
      <c r="K62">
        <v>131.19900000000001</v>
      </c>
      <c r="L62">
        <v>12.93</v>
      </c>
      <c r="M62">
        <v>144.12900000000002</v>
      </c>
      <c r="N62" s="21">
        <v>2.6520320000000002</v>
      </c>
      <c r="O62" s="5" t="str">
        <f t="shared" si="3"/>
        <v>未买</v>
      </c>
      <c r="R62" s="19">
        <v>60</v>
      </c>
    </row>
    <row r="63" spans="5:18" x14ac:dyDescent="0.15">
      <c r="E63" s="5"/>
      <c r="H63" s="19">
        <v>61</v>
      </c>
      <c r="I63">
        <v>127020</v>
      </c>
      <c r="J63" t="s">
        <v>1892</v>
      </c>
      <c r="K63">
        <v>116.88</v>
      </c>
      <c r="L63">
        <v>27.33</v>
      </c>
      <c r="M63">
        <v>144.20999999999998</v>
      </c>
      <c r="N63" s="21">
        <v>30.228006000000001</v>
      </c>
      <c r="O63" s="5" t="str">
        <f t="shared" si="3"/>
        <v>未买</v>
      </c>
      <c r="R63" s="19">
        <v>61</v>
      </c>
    </row>
    <row r="64" spans="5:18" x14ac:dyDescent="0.15">
      <c r="E64" s="5"/>
      <c r="H64" s="19">
        <v>62</v>
      </c>
      <c r="I64">
        <v>110052</v>
      </c>
      <c r="J64" t="s">
        <v>1894</v>
      </c>
      <c r="K64">
        <v>115.27</v>
      </c>
      <c r="L64">
        <v>29.1</v>
      </c>
      <c r="M64">
        <v>144.37</v>
      </c>
      <c r="N64" s="21">
        <v>14.21809</v>
      </c>
      <c r="O64" s="5" t="str">
        <f t="shared" si="3"/>
        <v>未买</v>
      </c>
      <c r="R64" s="19">
        <v>62</v>
      </c>
    </row>
    <row r="65" spans="5:18" x14ac:dyDescent="0.15">
      <c r="E65" s="5"/>
      <c r="H65" s="19">
        <v>63</v>
      </c>
      <c r="I65">
        <v>127045</v>
      </c>
      <c r="J65" t="s">
        <v>1877</v>
      </c>
      <c r="K65">
        <v>124.32</v>
      </c>
      <c r="L65">
        <v>20.29</v>
      </c>
      <c r="M65">
        <v>144.60999999999999</v>
      </c>
      <c r="N65" s="21">
        <v>95.480232999999998</v>
      </c>
      <c r="O65" s="5" t="str">
        <f t="shared" si="3"/>
        <v>未买</v>
      </c>
      <c r="R65" s="19">
        <v>63</v>
      </c>
    </row>
    <row r="66" spans="5:18" x14ac:dyDescent="0.15">
      <c r="E66" s="5"/>
      <c r="H66" s="19">
        <v>64</v>
      </c>
      <c r="I66">
        <v>128025</v>
      </c>
      <c r="J66" t="s">
        <v>50</v>
      </c>
      <c r="K66">
        <v>123.099</v>
      </c>
      <c r="L66">
        <v>21.62</v>
      </c>
      <c r="M66">
        <v>144.71899999999999</v>
      </c>
      <c r="N66" s="21">
        <v>2.9767440000000001</v>
      </c>
      <c r="O66" s="5" t="str">
        <f t="shared" si="3"/>
        <v>未买</v>
      </c>
      <c r="R66" s="19">
        <v>64</v>
      </c>
    </row>
    <row r="67" spans="5:18" x14ac:dyDescent="0.15">
      <c r="E67" s="5"/>
      <c r="H67" s="19">
        <v>65</v>
      </c>
      <c r="I67">
        <v>128022</v>
      </c>
      <c r="J67" t="s">
        <v>159</v>
      </c>
      <c r="K67">
        <v>125.108</v>
      </c>
      <c r="L67">
        <v>19.670000000000002</v>
      </c>
      <c r="M67">
        <v>144.77800000000002</v>
      </c>
      <c r="N67" s="21">
        <v>4.5522499999999999</v>
      </c>
      <c r="O67" s="5" t="str">
        <f t="shared" si="3"/>
        <v>未买</v>
      </c>
      <c r="R67" s="19">
        <v>65</v>
      </c>
    </row>
    <row r="68" spans="5:18" x14ac:dyDescent="0.15">
      <c r="E68" s="5"/>
      <c r="H68" s="19">
        <v>66</v>
      </c>
      <c r="I68">
        <v>110047</v>
      </c>
      <c r="J68" t="s">
        <v>1903</v>
      </c>
      <c r="K68">
        <v>112.58</v>
      </c>
      <c r="L68">
        <v>32.21</v>
      </c>
      <c r="M68">
        <v>144.79</v>
      </c>
      <c r="N68" s="21">
        <v>22.461320000000001</v>
      </c>
      <c r="O68" s="5" t="str">
        <f t="shared" ref="O68:O131" si="8">IF(ISNA(MATCH(I68,$A$3:$A$1000,0)),"未买","Yes")</f>
        <v>未买</v>
      </c>
      <c r="R68" s="19">
        <v>66</v>
      </c>
    </row>
    <row r="69" spans="5:18" x14ac:dyDescent="0.15">
      <c r="E69" s="5"/>
      <c r="H69" s="19">
        <v>67</v>
      </c>
      <c r="I69">
        <v>111001</v>
      </c>
      <c r="J69" t="s">
        <v>223</v>
      </c>
      <c r="K69">
        <v>112.58</v>
      </c>
      <c r="L69">
        <v>32.21</v>
      </c>
      <c r="M69">
        <v>144.79</v>
      </c>
      <c r="N69" s="21">
        <v>22.461320000000001</v>
      </c>
      <c r="O69" s="5" t="str">
        <f t="shared" si="8"/>
        <v>未买</v>
      </c>
      <c r="R69" s="19">
        <v>67</v>
      </c>
    </row>
    <row r="70" spans="5:18" x14ac:dyDescent="0.15">
      <c r="E70" s="5"/>
      <c r="H70" s="19">
        <v>68</v>
      </c>
      <c r="I70">
        <v>113599</v>
      </c>
      <c r="J70" t="s">
        <v>63</v>
      </c>
      <c r="K70">
        <v>134.25</v>
      </c>
      <c r="L70">
        <v>10.79</v>
      </c>
      <c r="M70">
        <v>145.04</v>
      </c>
      <c r="N70" s="21">
        <v>7.1961500000000003</v>
      </c>
      <c r="O70" s="5" t="str">
        <f t="shared" si="8"/>
        <v>未买</v>
      </c>
      <c r="R70" s="19">
        <v>68</v>
      </c>
    </row>
    <row r="71" spans="5:18" x14ac:dyDescent="0.15">
      <c r="E71" s="5"/>
      <c r="H71" s="19">
        <v>69</v>
      </c>
      <c r="I71">
        <v>123107</v>
      </c>
      <c r="J71" t="s">
        <v>1881</v>
      </c>
      <c r="K71">
        <v>123.3</v>
      </c>
      <c r="L71">
        <v>21.98</v>
      </c>
      <c r="M71">
        <v>145.28</v>
      </c>
      <c r="N71" s="21">
        <v>92.962732000000003</v>
      </c>
      <c r="O71" s="5" t="str">
        <f t="shared" si="8"/>
        <v>未买</v>
      </c>
      <c r="R71" s="19">
        <v>69</v>
      </c>
    </row>
    <row r="72" spans="5:18" x14ac:dyDescent="0.15">
      <c r="E72" s="5"/>
      <c r="H72" s="19">
        <v>70</v>
      </c>
      <c r="I72">
        <v>123063</v>
      </c>
      <c r="J72" t="s">
        <v>91</v>
      </c>
      <c r="K72">
        <v>132.1</v>
      </c>
      <c r="L72">
        <v>13.2</v>
      </c>
      <c r="M72">
        <v>145.29999999999998</v>
      </c>
      <c r="N72" s="21">
        <v>6.3457590000000001</v>
      </c>
      <c r="O72" s="5" t="str">
        <f t="shared" si="8"/>
        <v>未买</v>
      </c>
      <c r="R72" s="19">
        <v>70</v>
      </c>
    </row>
    <row r="73" spans="5:18" x14ac:dyDescent="0.15">
      <c r="E73" s="5"/>
      <c r="H73" s="19">
        <v>71</v>
      </c>
      <c r="I73">
        <v>128073</v>
      </c>
      <c r="J73" t="s">
        <v>98</v>
      </c>
      <c r="K73">
        <v>122.44199999999999</v>
      </c>
      <c r="L73">
        <v>22.87</v>
      </c>
      <c r="M73">
        <v>145.31199999999998</v>
      </c>
      <c r="N73" s="21">
        <v>2.9874689999999999</v>
      </c>
      <c r="O73" s="5" t="str">
        <f t="shared" si="8"/>
        <v>未买</v>
      </c>
      <c r="R73" s="19">
        <v>71</v>
      </c>
    </row>
    <row r="74" spans="5:18" x14ac:dyDescent="0.15">
      <c r="E74" s="5"/>
      <c r="H74" s="19">
        <v>72</v>
      </c>
      <c r="I74">
        <v>113640</v>
      </c>
      <c r="J74" t="s">
        <v>784</v>
      </c>
      <c r="K74">
        <v>120.86</v>
      </c>
      <c r="L74">
        <v>24.57</v>
      </c>
      <c r="M74">
        <v>145.43</v>
      </c>
      <c r="N74" s="21">
        <v>9.5721100000000003</v>
      </c>
      <c r="O74" s="5" t="str">
        <f t="shared" si="8"/>
        <v>未买</v>
      </c>
      <c r="R74" s="19">
        <v>72</v>
      </c>
    </row>
    <row r="75" spans="5:18" x14ac:dyDescent="0.15">
      <c r="E75" s="5"/>
      <c r="H75" s="19">
        <v>73</v>
      </c>
      <c r="I75">
        <v>127035</v>
      </c>
      <c r="J75" t="s">
        <v>228</v>
      </c>
      <c r="K75">
        <v>114.6</v>
      </c>
      <c r="L75">
        <v>30.85</v>
      </c>
      <c r="M75">
        <v>145.44999999999999</v>
      </c>
      <c r="N75" s="21">
        <v>6.2622609999999996</v>
      </c>
      <c r="O75" s="5" t="str">
        <f t="shared" si="8"/>
        <v>未买</v>
      </c>
      <c r="R75" s="19">
        <v>73</v>
      </c>
    </row>
    <row r="76" spans="5:18" x14ac:dyDescent="0.15">
      <c r="E76" s="5"/>
      <c r="H76" s="19">
        <v>74</v>
      </c>
      <c r="I76">
        <v>127012</v>
      </c>
      <c r="J76" t="s">
        <v>1896</v>
      </c>
      <c r="K76">
        <v>115.82899999999999</v>
      </c>
      <c r="L76">
        <v>29.82</v>
      </c>
      <c r="M76">
        <v>145.649</v>
      </c>
      <c r="N76" s="21">
        <v>49.998221000000001</v>
      </c>
      <c r="O76" s="5" t="str">
        <f t="shared" si="8"/>
        <v>未买</v>
      </c>
      <c r="R76" s="19">
        <v>74</v>
      </c>
    </row>
    <row r="77" spans="5:18" x14ac:dyDescent="0.15">
      <c r="E77" s="5"/>
      <c r="H77" s="19">
        <v>75</v>
      </c>
      <c r="I77">
        <v>128145</v>
      </c>
      <c r="J77" t="s">
        <v>105</v>
      </c>
      <c r="K77">
        <v>117.459</v>
      </c>
      <c r="L77">
        <v>28.26</v>
      </c>
      <c r="M77">
        <v>145.71899999999999</v>
      </c>
      <c r="N77" s="21">
        <v>3.7962769999999995</v>
      </c>
      <c r="O77" s="5" t="str">
        <f t="shared" si="8"/>
        <v>未买</v>
      </c>
      <c r="R77" s="19">
        <v>75</v>
      </c>
    </row>
    <row r="78" spans="5:18" x14ac:dyDescent="0.15">
      <c r="E78" s="5"/>
      <c r="H78" s="19">
        <v>76</v>
      </c>
      <c r="I78">
        <v>123089</v>
      </c>
      <c r="J78" t="s">
        <v>798</v>
      </c>
      <c r="K78">
        <v>134.17599999999999</v>
      </c>
      <c r="L78">
        <v>11.92</v>
      </c>
      <c r="M78">
        <v>146.09599999999998</v>
      </c>
      <c r="N78" s="21">
        <v>3.0624280000000002</v>
      </c>
      <c r="O78" s="5" t="str">
        <f t="shared" si="8"/>
        <v>未买</v>
      </c>
      <c r="R78" s="19">
        <v>76</v>
      </c>
    </row>
    <row r="79" spans="5:18" x14ac:dyDescent="0.15">
      <c r="E79" s="5"/>
      <c r="H79" s="19">
        <v>77</v>
      </c>
      <c r="I79">
        <v>127032</v>
      </c>
      <c r="J79" t="s">
        <v>1905</v>
      </c>
      <c r="K79">
        <v>111.71</v>
      </c>
      <c r="L79">
        <v>34.4</v>
      </c>
      <c r="M79">
        <v>146.10999999999999</v>
      </c>
      <c r="N79" s="21">
        <v>49.995736999999998</v>
      </c>
      <c r="O79" s="5" t="str">
        <f t="shared" si="8"/>
        <v>未买</v>
      </c>
      <c r="R79" s="19">
        <v>77</v>
      </c>
    </row>
    <row r="80" spans="5:18" x14ac:dyDescent="0.15">
      <c r="E80" s="5"/>
      <c r="H80" s="19">
        <v>78</v>
      </c>
      <c r="I80">
        <v>110038</v>
      </c>
      <c r="J80" t="s">
        <v>102</v>
      </c>
      <c r="K80">
        <v>124.12</v>
      </c>
      <c r="L80">
        <v>22.08</v>
      </c>
      <c r="M80">
        <v>146.19999999999999</v>
      </c>
      <c r="N80" s="21">
        <v>6.3024399999999998</v>
      </c>
      <c r="O80" s="5" t="str">
        <f t="shared" si="8"/>
        <v>未买</v>
      </c>
      <c r="R80" s="19">
        <v>78</v>
      </c>
    </row>
    <row r="81" spans="5:18" x14ac:dyDescent="0.15">
      <c r="E81" s="5"/>
      <c r="H81" s="19">
        <v>79</v>
      </c>
      <c r="I81">
        <v>127042</v>
      </c>
      <c r="J81" t="s">
        <v>93</v>
      </c>
      <c r="K81">
        <v>111.483</v>
      </c>
      <c r="L81">
        <v>34.72</v>
      </c>
      <c r="M81">
        <v>146.203</v>
      </c>
      <c r="N81" s="21">
        <v>7.4982860000000002</v>
      </c>
      <c r="O81" s="5" t="str">
        <f t="shared" si="8"/>
        <v>Yes</v>
      </c>
      <c r="R81" s="19">
        <v>79</v>
      </c>
    </row>
    <row r="82" spans="5:18" x14ac:dyDescent="0.15">
      <c r="E82" s="5"/>
      <c r="H82" s="19">
        <v>80</v>
      </c>
      <c r="I82">
        <v>127033</v>
      </c>
      <c r="J82" t="s">
        <v>1900</v>
      </c>
      <c r="K82">
        <v>115.7</v>
      </c>
      <c r="L82">
        <v>30.6</v>
      </c>
      <c r="M82">
        <v>146.30000000000001</v>
      </c>
      <c r="N82" s="21">
        <v>11.594339</v>
      </c>
      <c r="O82" s="5" t="str">
        <f t="shared" si="8"/>
        <v>未买</v>
      </c>
      <c r="R82" s="19">
        <v>80</v>
      </c>
    </row>
    <row r="83" spans="5:18" x14ac:dyDescent="0.15">
      <c r="E83" s="5"/>
      <c r="H83" s="19">
        <v>81</v>
      </c>
      <c r="I83">
        <v>123098</v>
      </c>
      <c r="J83" t="s">
        <v>1862</v>
      </c>
      <c r="K83">
        <v>130.30000000000001</v>
      </c>
      <c r="L83">
        <v>16.72</v>
      </c>
      <c r="M83">
        <v>147.02000000000001</v>
      </c>
      <c r="N83" s="21">
        <v>4.2361180000000003</v>
      </c>
      <c r="O83" s="5" t="str">
        <f t="shared" si="8"/>
        <v>未买</v>
      </c>
      <c r="R83" s="19">
        <v>81</v>
      </c>
    </row>
    <row r="84" spans="5:18" x14ac:dyDescent="0.15">
      <c r="E84" s="5"/>
      <c r="H84" s="19">
        <v>82</v>
      </c>
      <c r="I84">
        <v>110085</v>
      </c>
      <c r="J84" t="s">
        <v>1857</v>
      </c>
      <c r="K84">
        <v>131.82</v>
      </c>
      <c r="L84">
        <v>15.89</v>
      </c>
      <c r="M84">
        <v>147.70999999999998</v>
      </c>
      <c r="N84" s="21">
        <v>120</v>
      </c>
      <c r="O84" s="5" t="str">
        <f t="shared" si="8"/>
        <v>未买</v>
      </c>
      <c r="R84" s="19">
        <v>82</v>
      </c>
    </row>
    <row r="85" spans="5:18" x14ac:dyDescent="0.15">
      <c r="E85" s="5"/>
      <c r="H85" s="19">
        <v>83</v>
      </c>
      <c r="I85">
        <v>110072</v>
      </c>
      <c r="J85" t="s">
        <v>1932</v>
      </c>
      <c r="K85">
        <v>99.03</v>
      </c>
      <c r="L85">
        <v>48.92</v>
      </c>
      <c r="M85">
        <v>147.94999999999999</v>
      </c>
      <c r="N85" s="21">
        <v>33.663229999999999</v>
      </c>
      <c r="O85" s="5" t="str">
        <f t="shared" si="8"/>
        <v>未买</v>
      </c>
      <c r="R85" s="19">
        <v>83</v>
      </c>
    </row>
    <row r="86" spans="5:18" x14ac:dyDescent="0.15">
      <c r="E86" s="5"/>
      <c r="H86" s="19">
        <v>84</v>
      </c>
      <c r="I86">
        <v>113630</v>
      </c>
      <c r="J86" t="s">
        <v>188</v>
      </c>
      <c r="K86">
        <v>134.97999999999999</v>
      </c>
      <c r="L86">
        <v>13.02</v>
      </c>
      <c r="M86">
        <v>148</v>
      </c>
      <c r="N86" s="21">
        <v>6.9976000000000003</v>
      </c>
      <c r="O86" s="5" t="str">
        <f t="shared" si="8"/>
        <v>未买</v>
      </c>
      <c r="R86" s="19">
        <v>84</v>
      </c>
    </row>
    <row r="87" spans="5:18" x14ac:dyDescent="0.15">
      <c r="E87" s="5"/>
      <c r="H87" s="19">
        <v>85</v>
      </c>
      <c r="I87">
        <v>128042</v>
      </c>
      <c r="J87" t="s">
        <v>207</v>
      </c>
      <c r="K87">
        <v>117.5</v>
      </c>
      <c r="L87">
        <v>30.57</v>
      </c>
      <c r="M87">
        <v>148.07</v>
      </c>
      <c r="N87" s="21">
        <v>4.1551119999999999</v>
      </c>
      <c r="O87" s="5" t="str">
        <f t="shared" si="8"/>
        <v>未买</v>
      </c>
      <c r="R87" s="19">
        <v>85</v>
      </c>
    </row>
    <row r="88" spans="5:18" x14ac:dyDescent="0.15">
      <c r="E88" s="5"/>
      <c r="H88" s="19">
        <v>86</v>
      </c>
      <c r="I88">
        <v>128139</v>
      </c>
      <c r="J88" t="s">
        <v>164</v>
      </c>
      <c r="K88">
        <v>121.56</v>
      </c>
      <c r="L88">
        <v>26.8</v>
      </c>
      <c r="M88">
        <v>148.36000000000001</v>
      </c>
      <c r="N88" s="21">
        <v>6.4691850000000004</v>
      </c>
      <c r="O88" s="5" t="str">
        <f t="shared" si="8"/>
        <v>未买</v>
      </c>
      <c r="R88" s="19">
        <v>86</v>
      </c>
    </row>
    <row r="89" spans="5:18" x14ac:dyDescent="0.15">
      <c r="E89" s="5"/>
      <c r="H89" s="19">
        <v>87</v>
      </c>
      <c r="I89">
        <v>128121</v>
      </c>
      <c r="J89" t="s">
        <v>47</v>
      </c>
      <c r="K89">
        <v>123.28</v>
      </c>
      <c r="L89">
        <v>25.23</v>
      </c>
      <c r="M89">
        <v>148.51</v>
      </c>
      <c r="N89" s="21">
        <v>6.6986129999999999</v>
      </c>
      <c r="O89" s="5" t="str">
        <f t="shared" si="8"/>
        <v>未买</v>
      </c>
      <c r="R89" s="19">
        <v>87</v>
      </c>
    </row>
    <row r="90" spans="5:18" x14ac:dyDescent="0.15">
      <c r="E90" s="5"/>
      <c r="H90" s="19">
        <v>88</v>
      </c>
      <c r="I90">
        <v>113545</v>
      </c>
      <c r="J90" t="s">
        <v>85</v>
      </c>
      <c r="K90">
        <v>125.79</v>
      </c>
      <c r="L90">
        <v>22.84</v>
      </c>
      <c r="M90">
        <v>148.63</v>
      </c>
      <c r="N90" s="21">
        <v>9.8657599999999999</v>
      </c>
      <c r="O90" s="5" t="str">
        <f t="shared" si="8"/>
        <v>未买</v>
      </c>
      <c r="R90" s="19">
        <v>88</v>
      </c>
    </row>
    <row r="91" spans="5:18" x14ac:dyDescent="0.15">
      <c r="E91" s="5"/>
      <c r="H91" s="19">
        <v>89</v>
      </c>
      <c r="I91">
        <v>110086</v>
      </c>
      <c r="J91" t="s">
        <v>1901</v>
      </c>
      <c r="K91">
        <v>117.39</v>
      </c>
      <c r="L91">
        <v>31.31</v>
      </c>
      <c r="M91">
        <v>148.69999999999999</v>
      </c>
      <c r="N91" s="21">
        <v>20</v>
      </c>
      <c r="O91" s="5" t="str">
        <f t="shared" si="8"/>
        <v>未买</v>
      </c>
      <c r="R91" s="19">
        <v>89</v>
      </c>
    </row>
    <row r="92" spans="5:18" x14ac:dyDescent="0.15">
      <c r="E92" s="5"/>
      <c r="H92" s="19">
        <v>90</v>
      </c>
      <c r="I92">
        <v>113058</v>
      </c>
      <c r="J92" t="s">
        <v>1908</v>
      </c>
      <c r="K92">
        <v>112.02</v>
      </c>
      <c r="L92">
        <v>36.78</v>
      </c>
      <c r="M92">
        <v>148.80000000000001</v>
      </c>
      <c r="N92" s="21">
        <v>20</v>
      </c>
      <c r="O92" s="5" t="str">
        <f t="shared" si="8"/>
        <v>未买</v>
      </c>
      <c r="R92" s="19">
        <v>90</v>
      </c>
    </row>
    <row r="93" spans="5:18" x14ac:dyDescent="0.15">
      <c r="E93" s="5"/>
      <c r="H93" s="19">
        <v>91</v>
      </c>
      <c r="I93">
        <v>110061</v>
      </c>
      <c r="J93" t="s">
        <v>1836</v>
      </c>
      <c r="K93">
        <v>140.19</v>
      </c>
      <c r="L93">
        <v>8.93</v>
      </c>
      <c r="M93">
        <v>149.12</v>
      </c>
      <c r="N93" s="21">
        <v>39.61562</v>
      </c>
      <c r="O93" s="5" t="str">
        <f t="shared" si="8"/>
        <v>未买</v>
      </c>
      <c r="R93" s="19">
        <v>91</v>
      </c>
    </row>
    <row r="94" spans="5:18" x14ac:dyDescent="0.15">
      <c r="E94" s="5"/>
      <c r="H94" s="19">
        <v>92</v>
      </c>
      <c r="I94">
        <v>113039</v>
      </c>
      <c r="J94" t="s">
        <v>45</v>
      </c>
      <c r="K94">
        <v>134.77000000000001</v>
      </c>
      <c r="L94">
        <v>14.85</v>
      </c>
      <c r="M94">
        <v>149.62</v>
      </c>
      <c r="N94" s="21">
        <v>2.88449</v>
      </c>
      <c r="O94" s="5" t="str">
        <f t="shared" si="8"/>
        <v>未买</v>
      </c>
      <c r="R94" s="19">
        <v>92</v>
      </c>
    </row>
    <row r="95" spans="5:18" x14ac:dyDescent="0.15">
      <c r="E95" s="5"/>
      <c r="H95" s="19">
        <v>93</v>
      </c>
      <c r="I95">
        <v>127034</v>
      </c>
      <c r="J95" t="s">
        <v>204</v>
      </c>
      <c r="K95">
        <v>107.70099999999999</v>
      </c>
      <c r="L95">
        <v>41.99</v>
      </c>
      <c r="M95">
        <v>149.691</v>
      </c>
      <c r="N95" s="21">
        <v>7.1178169999999996</v>
      </c>
      <c r="O95" s="5" t="str">
        <f t="shared" si="8"/>
        <v>未买</v>
      </c>
      <c r="R95" s="19">
        <v>93</v>
      </c>
    </row>
    <row r="96" spans="5:18" x14ac:dyDescent="0.15">
      <c r="E96" s="5"/>
      <c r="H96" s="19">
        <v>94</v>
      </c>
      <c r="I96">
        <v>127016</v>
      </c>
      <c r="J96" t="s">
        <v>1910</v>
      </c>
      <c r="K96">
        <v>112.985</v>
      </c>
      <c r="L96">
        <v>37.17</v>
      </c>
      <c r="M96">
        <v>150.155</v>
      </c>
      <c r="N96" s="21">
        <v>13.998576</v>
      </c>
      <c r="O96" s="5" t="str">
        <f t="shared" si="8"/>
        <v>未买</v>
      </c>
      <c r="R96" s="19">
        <v>94</v>
      </c>
    </row>
    <row r="97" spans="5:18" x14ac:dyDescent="0.15">
      <c r="E97" s="5"/>
      <c r="H97" s="19">
        <v>95</v>
      </c>
      <c r="I97">
        <v>113052</v>
      </c>
      <c r="J97" t="s">
        <v>1919</v>
      </c>
      <c r="K97">
        <v>109.12</v>
      </c>
      <c r="L97">
        <v>41.16</v>
      </c>
      <c r="M97">
        <v>150.28</v>
      </c>
      <c r="N97" s="21">
        <v>500</v>
      </c>
      <c r="O97" s="5" t="str">
        <f t="shared" si="8"/>
        <v>未买</v>
      </c>
      <c r="R97" s="19">
        <v>95</v>
      </c>
    </row>
    <row r="98" spans="5:18" x14ac:dyDescent="0.15">
      <c r="E98" s="5"/>
      <c r="H98" s="19">
        <v>96</v>
      </c>
      <c r="I98">
        <v>113056</v>
      </c>
      <c r="J98" t="s">
        <v>1933</v>
      </c>
      <c r="K98">
        <v>101.49</v>
      </c>
      <c r="L98">
        <v>49.05</v>
      </c>
      <c r="M98">
        <v>150.54</v>
      </c>
      <c r="N98" s="21">
        <v>130</v>
      </c>
      <c r="O98" s="5" t="str">
        <f t="shared" si="8"/>
        <v>未买</v>
      </c>
      <c r="R98" s="19">
        <v>96</v>
      </c>
    </row>
    <row r="99" spans="5:18" x14ac:dyDescent="0.15">
      <c r="E99" s="5"/>
      <c r="H99" s="19">
        <v>97</v>
      </c>
      <c r="I99">
        <v>113519</v>
      </c>
      <c r="J99" t="s">
        <v>174</v>
      </c>
      <c r="K99">
        <v>117.14</v>
      </c>
      <c r="L99">
        <v>33.46</v>
      </c>
      <c r="M99">
        <v>150.6</v>
      </c>
      <c r="N99" s="21">
        <v>6.9611200000000002</v>
      </c>
      <c r="O99" s="5" t="str">
        <f t="shared" si="8"/>
        <v>未买</v>
      </c>
      <c r="R99" s="19">
        <v>97</v>
      </c>
    </row>
    <row r="100" spans="5:18" x14ac:dyDescent="0.15">
      <c r="E100" s="5"/>
      <c r="H100" s="19">
        <v>98</v>
      </c>
      <c r="I100">
        <v>113609</v>
      </c>
      <c r="J100" t="s">
        <v>83</v>
      </c>
      <c r="K100">
        <v>109.51</v>
      </c>
      <c r="L100">
        <v>41.21</v>
      </c>
      <c r="M100">
        <v>150.72</v>
      </c>
      <c r="N100" s="21">
        <v>7.3419299999999996</v>
      </c>
      <c r="O100" s="5" t="str">
        <f t="shared" si="8"/>
        <v>未买</v>
      </c>
      <c r="R100" s="19">
        <v>98</v>
      </c>
    </row>
    <row r="101" spans="5:18" x14ac:dyDescent="0.15">
      <c r="E101" s="5"/>
      <c r="H101" s="19">
        <v>99</v>
      </c>
      <c r="I101">
        <v>113013</v>
      </c>
      <c r="J101" t="s">
        <v>1918</v>
      </c>
      <c r="K101">
        <v>110.24</v>
      </c>
      <c r="L101">
        <v>40.950000000000003</v>
      </c>
      <c r="M101">
        <v>151.19</v>
      </c>
      <c r="N101" s="21">
        <v>69.901780000000002</v>
      </c>
      <c r="O101" s="5" t="str">
        <f t="shared" si="8"/>
        <v>未买</v>
      </c>
      <c r="R101" s="19">
        <v>99</v>
      </c>
    </row>
    <row r="102" spans="5:18" x14ac:dyDescent="0.15">
      <c r="E102" s="5"/>
      <c r="H102" s="19">
        <v>100</v>
      </c>
      <c r="I102">
        <v>123091</v>
      </c>
      <c r="J102" t="s">
        <v>244</v>
      </c>
      <c r="K102">
        <v>130.62700000000001</v>
      </c>
      <c r="L102">
        <v>20.66</v>
      </c>
      <c r="M102">
        <v>151.28700000000001</v>
      </c>
      <c r="N102" s="21">
        <v>5.497617</v>
      </c>
      <c r="O102" s="5" t="str">
        <f t="shared" si="8"/>
        <v>未买</v>
      </c>
      <c r="R102" s="19">
        <v>100</v>
      </c>
    </row>
    <row r="103" spans="5:18" x14ac:dyDescent="0.15">
      <c r="E103" s="5"/>
      <c r="H103" s="19">
        <v>101</v>
      </c>
      <c r="I103">
        <v>123105</v>
      </c>
      <c r="J103" t="s">
        <v>234</v>
      </c>
      <c r="K103">
        <v>128.886</v>
      </c>
      <c r="L103">
        <v>22.49</v>
      </c>
      <c r="M103">
        <v>151.376</v>
      </c>
      <c r="N103" s="21">
        <v>7.9986300000000004</v>
      </c>
      <c r="O103" s="5" t="str">
        <f t="shared" si="8"/>
        <v>未买</v>
      </c>
      <c r="R103" s="19">
        <v>101</v>
      </c>
    </row>
    <row r="104" spans="5:18" x14ac:dyDescent="0.15">
      <c r="E104" s="5"/>
      <c r="H104" s="19">
        <v>102</v>
      </c>
      <c r="I104">
        <v>128132</v>
      </c>
      <c r="J104" t="s">
        <v>160</v>
      </c>
      <c r="K104">
        <v>122.18</v>
      </c>
      <c r="L104">
        <v>29.22</v>
      </c>
      <c r="M104">
        <v>151.4</v>
      </c>
      <c r="N104" s="21">
        <v>8.4894379999999998</v>
      </c>
      <c r="O104" s="5" t="str">
        <f t="shared" si="8"/>
        <v>未买</v>
      </c>
      <c r="R104" s="19">
        <v>102</v>
      </c>
    </row>
    <row r="105" spans="5:18" x14ac:dyDescent="0.15">
      <c r="E105" s="5"/>
      <c r="H105" s="19">
        <v>103</v>
      </c>
      <c r="I105">
        <v>113620</v>
      </c>
      <c r="J105" t="s">
        <v>1869</v>
      </c>
      <c r="K105">
        <v>132.65</v>
      </c>
      <c r="L105">
        <v>18.920000000000002</v>
      </c>
      <c r="M105">
        <v>151.57</v>
      </c>
      <c r="N105" s="21">
        <v>8.4637399999999996</v>
      </c>
      <c r="O105" s="5" t="str">
        <f t="shared" si="8"/>
        <v>未买</v>
      </c>
      <c r="R105" s="19">
        <v>103</v>
      </c>
    </row>
    <row r="106" spans="5:18" x14ac:dyDescent="0.15">
      <c r="E106" s="5"/>
      <c r="H106" s="19">
        <v>104</v>
      </c>
      <c r="I106">
        <v>113051</v>
      </c>
      <c r="J106" t="s">
        <v>1874</v>
      </c>
      <c r="K106">
        <v>131.87</v>
      </c>
      <c r="L106">
        <v>19.88</v>
      </c>
      <c r="M106">
        <v>151.75</v>
      </c>
      <c r="N106" s="21">
        <v>29.9909</v>
      </c>
      <c r="O106" s="5" t="str">
        <f t="shared" si="8"/>
        <v>未买</v>
      </c>
      <c r="R106" s="19">
        <v>104</v>
      </c>
    </row>
    <row r="107" spans="5:18" x14ac:dyDescent="0.15">
      <c r="E107" s="5"/>
      <c r="H107" s="19">
        <v>105</v>
      </c>
      <c r="I107">
        <v>113037</v>
      </c>
      <c r="J107" t="s">
        <v>1930</v>
      </c>
      <c r="K107">
        <v>104.22</v>
      </c>
      <c r="L107">
        <v>47.58</v>
      </c>
      <c r="M107">
        <v>151.80000000000001</v>
      </c>
      <c r="N107" s="21">
        <v>44.99624</v>
      </c>
      <c r="O107" s="5" t="str">
        <f t="shared" si="8"/>
        <v>未买</v>
      </c>
      <c r="R107" s="19">
        <v>105</v>
      </c>
    </row>
    <row r="108" spans="5:18" x14ac:dyDescent="0.15">
      <c r="E108" s="5"/>
      <c r="H108" s="19">
        <v>106</v>
      </c>
      <c r="I108">
        <v>127014</v>
      </c>
      <c r="J108" t="s">
        <v>231</v>
      </c>
      <c r="K108">
        <v>128.19</v>
      </c>
      <c r="L108">
        <v>23.63</v>
      </c>
      <c r="M108">
        <v>151.82</v>
      </c>
      <c r="N108" s="21">
        <v>5.3444160000000007</v>
      </c>
      <c r="O108" s="5" t="str">
        <f t="shared" si="8"/>
        <v>未买</v>
      </c>
      <c r="R108" s="19">
        <v>106</v>
      </c>
    </row>
    <row r="109" spans="5:18" x14ac:dyDescent="0.15">
      <c r="E109" s="5"/>
      <c r="H109" s="19">
        <v>107</v>
      </c>
      <c r="I109">
        <v>127019</v>
      </c>
      <c r="J109" t="s">
        <v>176</v>
      </c>
      <c r="K109">
        <v>109.6</v>
      </c>
      <c r="L109">
        <v>42.3</v>
      </c>
      <c r="M109">
        <v>151.89999999999998</v>
      </c>
      <c r="N109" s="21">
        <v>8.4978960000000008</v>
      </c>
      <c r="O109" s="5" t="str">
        <f t="shared" si="8"/>
        <v>未买</v>
      </c>
      <c r="R109" s="19">
        <v>107</v>
      </c>
    </row>
    <row r="110" spans="5:18" x14ac:dyDescent="0.15">
      <c r="E110" s="5"/>
      <c r="H110" s="19">
        <v>108</v>
      </c>
      <c r="I110">
        <v>113634</v>
      </c>
      <c r="J110" t="s">
        <v>252</v>
      </c>
      <c r="K110">
        <v>130.22</v>
      </c>
      <c r="L110">
        <v>21.93</v>
      </c>
      <c r="M110">
        <v>152.15</v>
      </c>
      <c r="N110" s="21">
        <v>7.5171299999999999</v>
      </c>
      <c r="O110" s="5" t="str">
        <f t="shared" si="8"/>
        <v>未买</v>
      </c>
      <c r="R110" s="19">
        <v>108</v>
      </c>
    </row>
    <row r="111" spans="5:18" x14ac:dyDescent="0.15">
      <c r="E111" s="5"/>
      <c r="H111" s="19">
        <v>109</v>
      </c>
      <c r="I111">
        <v>113549</v>
      </c>
      <c r="J111" t="s">
        <v>100</v>
      </c>
      <c r="K111">
        <v>115.45</v>
      </c>
      <c r="L111">
        <v>36.72</v>
      </c>
      <c r="M111">
        <v>152.17000000000002</v>
      </c>
      <c r="N111" s="21">
        <v>8.0473300000000005</v>
      </c>
      <c r="O111" s="5" t="str">
        <f t="shared" si="8"/>
        <v>未买</v>
      </c>
      <c r="R111" s="19">
        <v>109</v>
      </c>
    </row>
    <row r="112" spans="5:18" x14ac:dyDescent="0.15">
      <c r="E112" s="5"/>
      <c r="H112" s="19">
        <v>110</v>
      </c>
      <c r="I112">
        <v>128071</v>
      </c>
      <c r="J112" t="s">
        <v>88</v>
      </c>
      <c r="K112">
        <v>112.375</v>
      </c>
      <c r="L112">
        <v>39.799999999999997</v>
      </c>
      <c r="M112">
        <v>152.17500000000001</v>
      </c>
      <c r="N112" s="21">
        <v>2.999336</v>
      </c>
      <c r="O112" s="5" t="str">
        <f t="shared" si="8"/>
        <v>未买</v>
      </c>
      <c r="R112" s="19">
        <v>110</v>
      </c>
    </row>
    <row r="113" spans="5:18" x14ac:dyDescent="0.15">
      <c r="E113" s="5"/>
      <c r="H113" s="19">
        <v>111</v>
      </c>
      <c r="I113">
        <v>110070</v>
      </c>
      <c r="J113" t="s">
        <v>89</v>
      </c>
      <c r="K113">
        <v>123.24</v>
      </c>
      <c r="L113">
        <v>29.75</v>
      </c>
      <c r="M113">
        <v>152.99</v>
      </c>
      <c r="N113" s="21">
        <v>2.1708799999999999</v>
      </c>
      <c r="O113" s="5" t="str">
        <f t="shared" si="8"/>
        <v>Yes</v>
      </c>
      <c r="R113" s="19">
        <v>111</v>
      </c>
    </row>
    <row r="114" spans="5:18" x14ac:dyDescent="0.15">
      <c r="E114" s="5"/>
      <c r="H114" s="19">
        <v>112</v>
      </c>
      <c r="I114">
        <v>123087</v>
      </c>
      <c r="J114" t="s">
        <v>72</v>
      </c>
      <c r="K114">
        <v>117.819</v>
      </c>
      <c r="L114">
        <v>35.36</v>
      </c>
      <c r="M114">
        <v>153.179</v>
      </c>
      <c r="N114" s="21">
        <v>4.1892620000000003</v>
      </c>
      <c r="O114" s="5" t="str">
        <f t="shared" si="8"/>
        <v>未买</v>
      </c>
      <c r="R114" s="19">
        <v>112</v>
      </c>
    </row>
    <row r="115" spans="5:18" x14ac:dyDescent="0.15">
      <c r="E115" s="5"/>
      <c r="H115" s="19">
        <v>113</v>
      </c>
      <c r="I115">
        <v>123112</v>
      </c>
      <c r="J115" t="s">
        <v>127</v>
      </c>
      <c r="K115">
        <v>125.6</v>
      </c>
      <c r="L115">
        <v>27.6</v>
      </c>
      <c r="M115">
        <v>153.19999999999999</v>
      </c>
      <c r="N115" s="21">
        <v>2.4541909999999998</v>
      </c>
      <c r="O115" s="5" t="str">
        <f t="shared" si="8"/>
        <v>未买</v>
      </c>
      <c r="R115" s="19">
        <v>113</v>
      </c>
    </row>
    <row r="116" spans="5:18" x14ac:dyDescent="0.15">
      <c r="E116" s="5"/>
      <c r="H116" s="19">
        <v>114</v>
      </c>
      <c r="I116">
        <v>113598</v>
      </c>
      <c r="J116" t="s">
        <v>101</v>
      </c>
      <c r="K116">
        <v>124.14</v>
      </c>
      <c r="L116">
        <v>29.06</v>
      </c>
      <c r="M116">
        <v>153.19999999999999</v>
      </c>
      <c r="N116" s="21">
        <v>2.7526000000000002</v>
      </c>
      <c r="O116" s="5" t="str">
        <f t="shared" si="8"/>
        <v>未买</v>
      </c>
      <c r="R116" s="19">
        <v>114</v>
      </c>
    </row>
    <row r="117" spans="5:18" x14ac:dyDescent="0.15">
      <c r="E117" s="5"/>
      <c r="H117" s="19">
        <v>115</v>
      </c>
      <c r="I117">
        <v>123082</v>
      </c>
      <c r="J117" t="s">
        <v>75</v>
      </c>
      <c r="K117">
        <v>114.273</v>
      </c>
      <c r="L117">
        <v>39.1</v>
      </c>
      <c r="M117">
        <v>153.37299999999999</v>
      </c>
      <c r="N117" s="21">
        <v>4.9930450000000004</v>
      </c>
      <c r="O117" s="5" t="str">
        <f t="shared" si="8"/>
        <v>未买</v>
      </c>
      <c r="R117" s="19">
        <v>115</v>
      </c>
    </row>
    <row r="118" spans="5:18" x14ac:dyDescent="0.15">
      <c r="E118" s="5"/>
      <c r="H118" s="19">
        <v>116</v>
      </c>
      <c r="I118">
        <v>113647</v>
      </c>
      <c r="J118" t="s">
        <v>1916</v>
      </c>
      <c r="K118">
        <v>113.96</v>
      </c>
      <c r="L118">
        <v>39.49</v>
      </c>
      <c r="M118">
        <v>153.44999999999999</v>
      </c>
      <c r="N118" s="21">
        <v>15</v>
      </c>
      <c r="O118" s="5" t="str">
        <f t="shared" si="8"/>
        <v>未买</v>
      </c>
      <c r="R118" s="19">
        <v>116</v>
      </c>
    </row>
    <row r="119" spans="5:18" x14ac:dyDescent="0.15">
      <c r="E119" s="5"/>
      <c r="H119" s="19">
        <v>117</v>
      </c>
      <c r="I119">
        <v>123127</v>
      </c>
      <c r="J119" t="s">
        <v>115</v>
      </c>
      <c r="K119">
        <v>121.55500000000001</v>
      </c>
      <c r="L119">
        <v>31.97</v>
      </c>
      <c r="M119">
        <v>153.52500000000001</v>
      </c>
      <c r="N119" s="21">
        <v>3.9997820000000002</v>
      </c>
      <c r="O119" s="5" t="str">
        <f t="shared" si="8"/>
        <v>未买</v>
      </c>
      <c r="R119" s="19">
        <v>117</v>
      </c>
    </row>
    <row r="120" spans="5:18" x14ac:dyDescent="0.15">
      <c r="E120" s="5"/>
      <c r="H120" s="19">
        <v>118</v>
      </c>
      <c r="I120">
        <v>127005</v>
      </c>
      <c r="J120" t="s">
        <v>1921</v>
      </c>
      <c r="K120">
        <v>112.026</v>
      </c>
      <c r="L120">
        <v>41.63</v>
      </c>
      <c r="M120">
        <v>153.65600000000001</v>
      </c>
      <c r="N120" s="21">
        <v>49.964184000000003</v>
      </c>
      <c r="O120" s="5" t="str">
        <f t="shared" si="8"/>
        <v>未买</v>
      </c>
      <c r="R120" s="19">
        <v>118</v>
      </c>
    </row>
    <row r="121" spans="5:18" x14ac:dyDescent="0.15">
      <c r="E121" s="5"/>
      <c r="H121" s="19">
        <v>119</v>
      </c>
      <c r="I121">
        <v>110075</v>
      </c>
      <c r="J121" t="s">
        <v>1891</v>
      </c>
      <c r="K121">
        <v>127.64</v>
      </c>
      <c r="L121">
        <v>26.03</v>
      </c>
      <c r="M121">
        <v>153.67000000000002</v>
      </c>
      <c r="N121" s="21">
        <v>58.964399999999998</v>
      </c>
      <c r="O121" s="5" t="str">
        <f t="shared" si="8"/>
        <v>未买</v>
      </c>
      <c r="R121" s="19">
        <v>119</v>
      </c>
    </row>
    <row r="122" spans="5:18" x14ac:dyDescent="0.15">
      <c r="E122" s="5"/>
      <c r="H122" s="19">
        <v>120</v>
      </c>
      <c r="I122">
        <v>113628</v>
      </c>
      <c r="J122" t="s">
        <v>229</v>
      </c>
      <c r="K122">
        <v>107.27</v>
      </c>
      <c r="L122">
        <v>47.01</v>
      </c>
      <c r="M122">
        <v>154.28</v>
      </c>
      <c r="N122" s="21">
        <v>4.1498299999999997</v>
      </c>
      <c r="O122" s="5" t="str">
        <f t="shared" si="8"/>
        <v>未买</v>
      </c>
      <c r="R122" s="19">
        <v>120</v>
      </c>
    </row>
    <row r="123" spans="5:18" x14ac:dyDescent="0.15">
      <c r="E123" s="5"/>
      <c r="H123" s="19">
        <v>121</v>
      </c>
      <c r="I123">
        <v>113054</v>
      </c>
      <c r="J123" t="s">
        <v>1925</v>
      </c>
      <c r="K123">
        <v>108.81</v>
      </c>
      <c r="L123">
        <v>45.57</v>
      </c>
      <c r="M123">
        <v>154.38</v>
      </c>
      <c r="N123" s="21">
        <v>23.6</v>
      </c>
      <c r="O123" s="5" t="str">
        <f t="shared" si="8"/>
        <v>未买</v>
      </c>
      <c r="R123" s="19">
        <v>121</v>
      </c>
    </row>
    <row r="124" spans="5:18" x14ac:dyDescent="0.15">
      <c r="E124" s="5"/>
      <c r="H124" s="19">
        <v>122</v>
      </c>
      <c r="I124">
        <v>123125</v>
      </c>
      <c r="J124" t="s">
        <v>225</v>
      </c>
      <c r="K124">
        <v>116.34</v>
      </c>
      <c r="L124">
        <v>38.340000000000003</v>
      </c>
      <c r="M124">
        <v>154.68</v>
      </c>
      <c r="N124" s="21">
        <v>8.9997199999999999</v>
      </c>
      <c r="O124" s="5" t="str">
        <f t="shared" si="8"/>
        <v>未买</v>
      </c>
      <c r="R124" s="19">
        <v>122</v>
      </c>
    </row>
    <row r="125" spans="5:18" x14ac:dyDescent="0.15">
      <c r="E125" s="5"/>
      <c r="H125" s="19">
        <v>123</v>
      </c>
      <c r="I125">
        <v>127047</v>
      </c>
      <c r="J125" t="s">
        <v>1938</v>
      </c>
      <c r="K125">
        <v>104.851</v>
      </c>
      <c r="L125">
        <v>50.28</v>
      </c>
      <c r="M125">
        <v>155.131</v>
      </c>
      <c r="N125" s="21">
        <v>14.999606999999999</v>
      </c>
      <c r="O125" s="5" t="str">
        <f t="shared" si="8"/>
        <v>未买</v>
      </c>
      <c r="R125" s="19">
        <v>123</v>
      </c>
    </row>
    <row r="126" spans="5:18" x14ac:dyDescent="0.15">
      <c r="E126" s="5"/>
      <c r="H126" s="19">
        <v>124</v>
      </c>
      <c r="I126">
        <v>113505</v>
      </c>
      <c r="J126" t="s">
        <v>242</v>
      </c>
      <c r="K126">
        <v>114.52</v>
      </c>
      <c r="L126">
        <v>41.02</v>
      </c>
      <c r="M126">
        <v>155.54</v>
      </c>
      <c r="N126" s="21">
        <v>7.4973799999999997</v>
      </c>
      <c r="O126" s="5" t="str">
        <f t="shared" si="8"/>
        <v>未买</v>
      </c>
      <c r="R126" s="19">
        <v>124</v>
      </c>
    </row>
    <row r="127" spans="5:18" x14ac:dyDescent="0.15">
      <c r="E127" s="5"/>
      <c r="H127" s="19">
        <v>125</v>
      </c>
      <c r="I127">
        <v>127021</v>
      </c>
      <c r="J127" t="s">
        <v>220</v>
      </c>
      <c r="K127">
        <v>114.199</v>
      </c>
      <c r="L127">
        <v>41.41</v>
      </c>
      <c r="M127">
        <v>155.60899999999998</v>
      </c>
      <c r="N127" s="21">
        <v>4.1596460000000004</v>
      </c>
      <c r="O127" s="5" t="str">
        <f t="shared" si="8"/>
        <v>未买</v>
      </c>
      <c r="R127" s="19">
        <v>125</v>
      </c>
    </row>
    <row r="128" spans="5:18" x14ac:dyDescent="0.15">
      <c r="E128" s="5"/>
      <c r="H128" s="19">
        <v>126</v>
      </c>
      <c r="I128">
        <v>123010</v>
      </c>
      <c r="J128" t="s">
        <v>198</v>
      </c>
      <c r="K128">
        <v>111.3</v>
      </c>
      <c r="L128">
        <v>45.15</v>
      </c>
      <c r="M128">
        <v>156.44999999999999</v>
      </c>
      <c r="N128" s="21">
        <v>4.2960060000000002</v>
      </c>
      <c r="O128" s="5" t="str">
        <f t="shared" si="8"/>
        <v>未买</v>
      </c>
      <c r="R128" s="19">
        <v>126</v>
      </c>
    </row>
    <row r="129" spans="5:18" x14ac:dyDescent="0.15">
      <c r="E129" s="5"/>
      <c r="H129" s="19">
        <v>127</v>
      </c>
      <c r="I129">
        <v>127025</v>
      </c>
      <c r="J129" t="s">
        <v>1924</v>
      </c>
      <c r="K129">
        <v>111.75</v>
      </c>
      <c r="L129">
        <v>45</v>
      </c>
      <c r="M129">
        <v>156.75</v>
      </c>
      <c r="N129" s="21">
        <v>17.764559999999999</v>
      </c>
      <c r="O129" s="5" t="str">
        <f t="shared" si="8"/>
        <v>未买</v>
      </c>
      <c r="R129" s="19">
        <v>127</v>
      </c>
    </row>
    <row r="130" spans="5:18" x14ac:dyDescent="0.15">
      <c r="E130" s="5"/>
      <c r="H130" s="19">
        <v>128</v>
      </c>
      <c r="I130">
        <v>113048</v>
      </c>
      <c r="J130" t="s">
        <v>1902</v>
      </c>
      <c r="K130">
        <v>125.37</v>
      </c>
      <c r="L130">
        <v>31.39</v>
      </c>
      <c r="M130">
        <v>156.76</v>
      </c>
      <c r="N130" s="21">
        <v>22.965219999999999</v>
      </c>
      <c r="O130" s="5" t="str">
        <f t="shared" si="8"/>
        <v>未买</v>
      </c>
      <c r="R130" s="19">
        <v>128</v>
      </c>
    </row>
    <row r="131" spans="5:18" x14ac:dyDescent="0.15">
      <c r="E131" s="5"/>
      <c r="H131" s="19">
        <v>129</v>
      </c>
      <c r="I131">
        <v>110045</v>
      </c>
      <c r="J131" t="s">
        <v>1935</v>
      </c>
      <c r="K131">
        <v>107.65</v>
      </c>
      <c r="L131">
        <v>49.18</v>
      </c>
      <c r="M131">
        <v>156.83000000000001</v>
      </c>
      <c r="N131" s="21">
        <v>29.496200000000002</v>
      </c>
      <c r="O131" s="5" t="str">
        <f t="shared" si="8"/>
        <v>未买</v>
      </c>
      <c r="R131" s="19">
        <v>129</v>
      </c>
    </row>
    <row r="132" spans="5:18" x14ac:dyDescent="0.15">
      <c r="E132" s="5"/>
      <c r="H132" s="19">
        <v>130</v>
      </c>
      <c r="I132">
        <v>123103</v>
      </c>
      <c r="J132" t="s">
        <v>818</v>
      </c>
      <c r="K132">
        <v>138.33500000000001</v>
      </c>
      <c r="L132">
        <v>18.55</v>
      </c>
      <c r="M132">
        <v>156.88500000000002</v>
      </c>
      <c r="N132" s="21">
        <v>2.4949629999999998</v>
      </c>
      <c r="O132" s="5" t="str">
        <f t="shared" ref="O132:O195" si="9">IF(ISNA(MATCH(I132,$A$3:$A$1000,0)),"未买","Yes")</f>
        <v>未买</v>
      </c>
      <c r="R132" s="19">
        <v>130</v>
      </c>
    </row>
    <row r="133" spans="5:18" x14ac:dyDescent="0.15">
      <c r="E133" s="5"/>
      <c r="H133" s="19">
        <v>131</v>
      </c>
      <c r="I133">
        <v>113024</v>
      </c>
      <c r="J133" t="s">
        <v>1911</v>
      </c>
      <c r="K133">
        <v>119.23</v>
      </c>
      <c r="L133">
        <v>37.68</v>
      </c>
      <c r="M133">
        <v>156.91</v>
      </c>
      <c r="N133" s="21">
        <v>29.953800000000001</v>
      </c>
      <c r="O133" s="5" t="str">
        <f t="shared" si="9"/>
        <v>未买</v>
      </c>
      <c r="R133" s="19">
        <v>131</v>
      </c>
    </row>
    <row r="134" spans="5:18" x14ac:dyDescent="0.15">
      <c r="E134" s="5"/>
      <c r="H134" s="19">
        <v>132</v>
      </c>
      <c r="I134">
        <v>128109</v>
      </c>
      <c r="J134" t="s">
        <v>1904</v>
      </c>
      <c r="K134">
        <v>124.9</v>
      </c>
      <c r="L134">
        <v>32.25</v>
      </c>
      <c r="M134">
        <v>157.15</v>
      </c>
      <c r="N134" s="21">
        <v>18.225552</v>
      </c>
      <c r="O134" s="5" t="str">
        <f t="shared" si="9"/>
        <v>未买</v>
      </c>
      <c r="R134" s="19">
        <v>132</v>
      </c>
    </row>
    <row r="135" spans="5:18" x14ac:dyDescent="0.15">
      <c r="E135" s="5"/>
      <c r="H135" s="19">
        <v>133</v>
      </c>
      <c r="I135">
        <v>128076</v>
      </c>
      <c r="J135" t="s">
        <v>130</v>
      </c>
      <c r="K135">
        <v>121.697</v>
      </c>
      <c r="L135">
        <v>36.08</v>
      </c>
      <c r="M135">
        <v>157.77699999999999</v>
      </c>
      <c r="N135" s="21">
        <v>2.1374019999999998</v>
      </c>
      <c r="O135" s="5" t="str">
        <f t="shared" si="9"/>
        <v>未买</v>
      </c>
      <c r="R135" s="19">
        <v>133</v>
      </c>
    </row>
    <row r="136" spans="5:18" x14ac:dyDescent="0.15">
      <c r="E136" s="5"/>
      <c r="H136" s="19">
        <v>134</v>
      </c>
      <c r="I136">
        <v>113601</v>
      </c>
      <c r="J136" t="s">
        <v>65</v>
      </c>
      <c r="K136">
        <v>114.44</v>
      </c>
      <c r="L136">
        <v>43.52</v>
      </c>
      <c r="M136">
        <v>157.96</v>
      </c>
      <c r="N136" s="21">
        <v>5.4290700000000003</v>
      </c>
      <c r="O136" s="5" t="str">
        <f t="shared" si="9"/>
        <v>未买</v>
      </c>
      <c r="R136" s="19">
        <v>134</v>
      </c>
    </row>
    <row r="137" spans="5:18" x14ac:dyDescent="0.15">
      <c r="E137" s="5"/>
      <c r="H137" s="19">
        <v>135</v>
      </c>
      <c r="I137">
        <v>113637</v>
      </c>
      <c r="J137" t="s">
        <v>273</v>
      </c>
      <c r="K137">
        <v>136.82</v>
      </c>
      <c r="L137">
        <v>21.15</v>
      </c>
      <c r="M137">
        <v>157.97</v>
      </c>
      <c r="N137" s="21">
        <v>8</v>
      </c>
      <c r="O137" s="5" t="str">
        <f t="shared" si="9"/>
        <v>未买</v>
      </c>
      <c r="R137" s="19">
        <v>135</v>
      </c>
    </row>
    <row r="138" spans="5:18" x14ac:dyDescent="0.15">
      <c r="E138" s="5"/>
      <c r="H138" s="19">
        <v>136</v>
      </c>
      <c r="I138">
        <v>128033</v>
      </c>
      <c r="J138" t="s">
        <v>69</v>
      </c>
      <c r="K138">
        <v>116.6</v>
      </c>
      <c r="L138">
        <v>41.42</v>
      </c>
      <c r="M138">
        <v>158.01999999999998</v>
      </c>
      <c r="N138" s="21">
        <v>2.973023</v>
      </c>
      <c r="O138" s="5" t="str">
        <f t="shared" si="9"/>
        <v>未买</v>
      </c>
      <c r="R138" s="19">
        <v>136</v>
      </c>
    </row>
    <row r="139" spans="5:18" x14ac:dyDescent="0.15">
      <c r="E139" s="5"/>
      <c r="H139" s="19">
        <v>137</v>
      </c>
      <c r="I139">
        <v>128144</v>
      </c>
      <c r="J139" t="s">
        <v>227</v>
      </c>
      <c r="K139">
        <v>118.125</v>
      </c>
      <c r="L139">
        <v>40.29</v>
      </c>
      <c r="M139">
        <v>158.41499999999999</v>
      </c>
      <c r="N139" s="21">
        <v>9.7941780000000005</v>
      </c>
      <c r="O139" s="5" t="str">
        <f t="shared" si="9"/>
        <v>未买</v>
      </c>
      <c r="R139" s="19">
        <v>137</v>
      </c>
    </row>
    <row r="140" spans="5:18" x14ac:dyDescent="0.15">
      <c r="E140" s="5"/>
      <c r="H140" s="19">
        <v>138</v>
      </c>
      <c r="I140">
        <v>128106</v>
      </c>
      <c r="J140" t="s">
        <v>1833</v>
      </c>
      <c r="K140">
        <v>151.94999999999999</v>
      </c>
      <c r="L140">
        <v>6.57</v>
      </c>
      <c r="M140">
        <v>158.51999999999998</v>
      </c>
      <c r="N140" s="21">
        <v>2.8925260000000002</v>
      </c>
      <c r="O140" s="5" t="str">
        <f t="shared" si="9"/>
        <v>未买</v>
      </c>
      <c r="R140" s="19">
        <v>138</v>
      </c>
    </row>
    <row r="141" spans="5:18" x14ac:dyDescent="0.15">
      <c r="E141" s="5"/>
      <c r="H141" s="19">
        <v>139</v>
      </c>
      <c r="I141">
        <v>113606</v>
      </c>
      <c r="J141" t="s">
        <v>212</v>
      </c>
      <c r="K141">
        <v>110.55</v>
      </c>
      <c r="L141">
        <v>48.13</v>
      </c>
      <c r="M141">
        <v>158.68</v>
      </c>
      <c r="N141" s="21">
        <v>5.9988799999999998</v>
      </c>
      <c r="O141" s="5" t="str">
        <f t="shared" si="9"/>
        <v>未买</v>
      </c>
      <c r="R141" s="19">
        <v>139</v>
      </c>
    </row>
    <row r="142" spans="5:18" x14ac:dyDescent="0.15">
      <c r="E142" s="5"/>
      <c r="H142" s="19">
        <v>140</v>
      </c>
      <c r="I142">
        <v>123077</v>
      </c>
      <c r="J142" t="s">
        <v>216</v>
      </c>
      <c r="K142">
        <v>119.20399999999999</v>
      </c>
      <c r="L142">
        <v>39.5</v>
      </c>
      <c r="M142">
        <v>158.70400000000001</v>
      </c>
      <c r="N142" s="21">
        <v>9.3675669999999993</v>
      </c>
      <c r="O142" s="5" t="str">
        <f t="shared" si="9"/>
        <v>未买</v>
      </c>
      <c r="R142" s="19">
        <v>140</v>
      </c>
    </row>
    <row r="143" spans="5:18" x14ac:dyDescent="0.15">
      <c r="E143" s="5"/>
      <c r="H143" s="19">
        <v>141</v>
      </c>
      <c r="I143">
        <v>123137</v>
      </c>
      <c r="J143" t="s">
        <v>786</v>
      </c>
      <c r="K143">
        <v>131.61000000000001</v>
      </c>
      <c r="L143">
        <v>27.13</v>
      </c>
      <c r="M143">
        <v>158.74</v>
      </c>
      <c r="N143" s="21">
        <v>8.9700000000000006</v>
      </c>
      <c r="O143" s="5" t="str">
        <f t="shared" si="9"/>
        <v>未买</v>
      </c>
      <c r="R143" s="19">
        <v>141</v>
      </c>
    </row>
    <row r="144" spans="5:18" x14ac:dyDescent="0.15">
      <c r="E144" s="5"/>
      <c r="H144" s="19">
        <v>142</v>
      </c>
      <c r="I144">
        <v>127054</v>
      </c>
      <c r="J144" t="s">
        <v>785</v>
      </c>
      <c r="K144">
        <v>113.05</v>
      </c>
      <c r="L144">
        <v>45.76</v>
      </c>
      <c r="M144">
        <v>158.81</v>
      </c>
      <c r="N144" s="21">
        <v>5.1364000000000001</v>
      </c>
      <c r="O144" s="5" t="str">
        <f t="shared" si="9"/>
        <v>未买</v>
      </c>
      <c r="R144" s="19">
        <v>142</v>
      </c>
    </row>
    <row r="145" spans="5:18" x14ac:dyDescent="0.15">
      <c r="E145" s="5"/>
      <c r="H145" s="19">
        <v>143</v>
      </c>
      <c r="I145">
        <v>128134</v>
      </c>
      <c r="J145" t="s">
        <v>1906</v>
      </c>
      <c r="K145">
        <v>124</v>
      </c>
      <c r="L145">
        <v>34.94</v>
      </c>
      <c r="M145">
        <v>158.94</v>
      </c>
      <c r="N145" s="21">
        <v>15.728267000000002</v>
      </c>
      <c r="O145" s="5" t="str">
        <f t="shared" si="9"/>
        <v>未买</v>
      </c>
      <c r="R145" s="19">
        <v>143</v>
      </c>
    </row>
    <row r="146" spans="5:18" x14ac:dyDescent="0.15">
      <c r="E146" s="5"/>
      <c r="H146" s="19">
        <v>144</v>
      </c>
      <c r="I146">
        <v>123002</v>
      </c>
      <c r="J146" t="s">
        <v>81</v>
      </c>
      <c r="K146">
        <v>115.78</v>
      </c>
      <c r="L146">
        <v>43.19</v>
      </c>
      <c r="M146">
        <v>158.97</v>
      </c>
      <c r="N146" s="21">
        <v>2.5214889999999999</v>
      </c>
      <c r="O146" s="5" t="str">
        <f t="shared" si="9"/>
        <v>Yes</v>
      </c>
      <c r="R146" s="19">
        <v>144</v>
      </c>
    </row>
    <row r="147" spans="5:18" x14ac:dyDescent="0.15">
      <c r="E147" s="5"/>
      <c r="H147" s="19">
        <v>145</v>
      </c>
      <c r="I147">
        <v>127006</v>
      </c>
      <c r="J147" t="s">
        <v>1941</v>
      </c>
      <c r="K147">
        <v>107.51</v>
      </c>
      <c r="L147">
        <v>51.49</v>
      </c>
      <c r="M147">
        <v>159</v>
      </c>
      <c r="N147" s="21">
        <v>24.072263</v>
      </c>
      <c r="O147" s="5" t="str">
        <f t="shared" si="9"/>
        <v>未买</v>
      </c>
      <c r="R147" s="19">
        <v>145</v>
      </c>
    </row>
    <row r="148" spans="5:18" x14ac:dyDescent="0.15">
      <c r="E148" s="5"/>
      <c r="H148" s="19">
        <v>146</v>
      </c>
      <c r="I148">
        <v>113568</v>
      </c>
      <c r="J148" t="s">
        <v>132</v>
      </c>
      <c r="K148">
        <v>155.18</v>
      </c>
      <c r="L148">
        <v>4.05</v>
      </c>
      <c r="M148">
        <v>159.23000000000002</v>
      </c>
      <c r="N148" s="21">
        <v>2.4309099999999999</v>
      </c>
      <c r="O148" s="5" t="str">
        <f t="shared" si="9"/>
        <v>未买</v>
      </c>
      <c r="R148" s="19">
        <v>146</v>
      </c>
    </row>
    <row r="149" spans="5:18" x14ac:dyDescent="0.15">
      <c r="E149" s="5"/>
      <c r="H149" s="19">
        <v>147</v>
      </c>
      <c r="I149">
        <v>128082</v>
      </c>
      <c r="J149" t="s">
        <v>1870</v>
      </c>
      <c r="K149">
        <v>140.30000000000001</v>
      </c>
      <c r="L149">
        <v>18.940000000000001</v>
      </c>
      <c r="M149">
        <v>159.24</v>
      </c>
      <c r="N149" s="21">
        <v>2.0338740000000004</v>
      </c>
      <c r="O149" s="5" t="str">
        <f t="shared" si="9"/>
        <v>未买</v>
      </c>
      <c r="R149" s="19">
        <v>147</v>
      </c>
    </row>
    <row r="150" spans="5:18" x14ac:dyDescent="0.15">
      <c r="E150" s="5"/>
      <c r="H150" s="19">
        <v>148</v>
      </c>
      <c r="I150">
        <v>127022</v>
      </c>
      <c r="J150" t="s">
        <v>1914</v>
      </c>
      <c r="K150">
        <v>120.8</v>
      </c>
      <c r="L150">
        <v>38.479999999999997</v>
      </c>
      <c r="M150">
        <v>159.28</v>
      </c>
      <c r="N150" s="21">
        <v>19.998301000000001</v>
      </c>
      <c r="O150" s="5" t="str">
        <f t="shared" si="9"/>
        <v>未买</v>
      </c>
      <c r="R150" s="19">
        <v>148</v>
      </c>
    </row>
    <row r="151" spans="5:18" x14ac:dyDescent="0.15">
      <c r="E151" s="5"/>
      <c r="H151" s="19">
        <v>149</v>
      </c>
      <c r="I151">
        <v>118001</v>
      </c>
      <c r="J151" t="s">
        <v>243</v>
      </c>
      <c r="K151">
        <v>120.8</v>
      </c>
      <c r="L151">
        <v>38.479999999999997</v>
      </c>
      <c r="M151">
        <v>159.28</v>
      </c>
      <c r="N151" s="21">
        <v>19.998301000000001</v>
      </c>
      <c r="O151" s="5" t="str">
        <f t="shared" si="9"/>
        <v>未买</v>
      </c>
      <c r="R151" s="19">
        <v>149</v>
      </c>
    </row>
    <row r="152" spans="5:18" x14ac:dyDescent="0.15">
      <c r="E152" s="5"/>
      <c r="H152" s="19">
        <v>150</v>
      </c>
      <c r="I152">
        <v>128049</v>
      </c>
      <c r="J152" t="s">
        <v>205</v>
      </c>
      <c r="K152">
        <v>110.47</v>
      </c>
      <c r="L152">
        <v>49.12</v>
      </c>
      <c r="M152">
        <v>159.59</v>
      </c>
      <c r="N152" s="21">
        <v>3.6314389999999999</v>
      </c>
      <c r="O152" s="5" t="str">
        <f t="shared" si="9"/>
        <v>未买</v>
      </c>
      <c r="R152" s="19">
        <v>150</v>
      </c>
    </row>
    <row r="153" spans="5:18" x14ac:dyDescent="0.15">
      <c r="E153" s="5"/>
      <c r="H153" s="19">
        <v>151</v>
      </c>
      <c r="I153">
        <v>127031</v>
      </c>
      <c r="J153" t="s">
        <v>187</v>
      </c>
      <c r="K153">
        <v>125.108</v>
      </c>
      <c r="L153">
        <v>34.520000000000003</v>
      </c>
      <c r="M153">
        <v>159.62800000000001</v>
      </c>
      <c r="N153" s="21">
        <v>9.9994130000000006</v>
      </c>
      <c r="O153" s="5" t="str">
        <f t="shared" si="9"/>
        <v>未买</v>
      </c>
      <c r="R153" s="19">
        <v>151</v>
      </c>
    </row>
    <row r="154" spans="5:18" x14ac:dyDescent="0.15">
      <c r="E154" s="5"/>
      <c r="H154" s="19">
        <v>152</v>
      </c>
      <c r="I154">
        <v>113030</v>
      </c>
      <c r="J154" t="s">
        <v>96</v>
      </c>
      <c r="K154">
        <v>120.72</v>
      </c>
      <c r="L154">
        <v>38.92</v>
      </c>
      <c r="M154">
        <v>159.63999999999999</v>
      </c>
      <c r="N154" s="21">
        <v>2.9510800000000001</v>
      </c>
      <c r="O154" s="5" t="str">
        <f t="shared" si="9"/>
        <v>未买</v>
      </c>
      <c r="R154" s="19">
        <v>152</v>
      </c>
    </row>
    <row r="155" spans="5:18" x14ac:dyDescent="0.15">
      <c r="E155" s="5"/>
      <c r="H155" s="19">
        <v>153</v>
      </c>
      <c r="I155">
        <v>123118</v>
      </c>
      <c r="J155" t="s">
        <v>241</v>
      </c>
      <c r="K155">
        <v>114.565</v>
      </c>
      <c r="L155">
        <v>45.2</v>
      </c>
      <c r="M155">
        <v>159.76499999999999</v>
      </c>
      <c r="N155" s="21">
        <v>3.1992880000000001</v>
      </c>
      <c r="O155" s="5" t="str">
        <f t="shared" si="9"/>
        <v>未买</v>
      </c>
      <c r="R155" s="19">
        <v>153</v>
      </c>
    </row>
    <row r="156" spans="5:18" x14ac:dyDescent="0.15">
      <c r="E156" s="5"/>
      <c r="H156" s="19">
        <v>154</v>
      </c>
      <c r="I156">
        <v>128128</v>
      </c>
      <c r="J156" t="s">
        <v>1835</v>
      </c>
      <c r="K156">
        <v>151.5</v>
      </c>
      <c r="L156">
        <v>8.84</v>
      </c>
      <c r="M156">
        <v>160.34</v>
      </c>
      <c r="N156" s="21">
        <v>6.8044089999999997</v>
      </c>
      <c r="O156" s="5" t="str">
        <f t="shared" si="9"/>
        <v>未买</v>
      </c>
      <c r="R156" s="19">
        <v>154</v>
      </c>
    </row>
    <row r="157" spans="5:18" x14ac:dyDescent="0.15">
      <c r="E157" s="5"/>
      <c r="H157" s="19">
        <v>155</v>
      </c>
      <c r="I157">
        <v>123120</v>
      </c>
      <c r="J157" t="s">
        <v>239</v>
      </c>
      <c r="K157">
        <v>124.25</v>
      </c>
      <c r="L157">
        <v>36.18</v>
      </c>
      <c r="M157">
        <v>160.43</v>
      </c>
      <c r="N157" s="21">
        <v>7.9852639999999999</v>
      </c>
      <c r="O157" s="5" t="str">
        <f t="shared" si="9"/>
        <v>未买</v>
      </c>
      <c r="R157" s="19">
        <v>155</v>
      </c>
    </row>
    <row r="158" spans="5:18" x14ac:dyDescent="0.15">
      <c r="E158" s="5"/>
      <c r="H158" s="19">
        <v>156</v>
      </c>
      <c r="I158">
        <v>113636</v>
      </c>
      <c r="J158" t="s">
        <v>251</v>
      </c>
      <c r="K158">
        <v>124.18</v>
      </c>
      <c r="L158">
        <v>36.31</v>
      </c>
      <c r="M158">
        <v>160.49</v>
      </c>
      <c r="N158" s="21">
        <v>10</v>
      </c>
      <c r="O158" s="5" t="str">
        <f t="shared" si="9"/>
        <v>未买</v>
      </c>
      <c r="R158" s="19">
        <v>156</v>
      </c>
    </row>
    <row r="159" spans="5:18" x14ac:dyDescent="0.15">
      <c r="E159" s="5"/>
      <c r="H159" s="19">
        <v>157</v>
      </c>
      <c r="I159">
        <v>113049</v>
      </c>
      <c r="J159" t="s">
        <v>1907</v>
      </c>
      <c r="K159">
        <v>125.07</v>
      </c>
      <c r="L159">
        <v>35.979999999999997</v>
      </c>
      <c r="M159">
        <v>161.04999999999998</v>
      </c>
      <c r="N159" s="21">
        <v>34.988169999999997</v>
      </c>
      <c r="O159" s="5" t="str">
        <f t="shared" si="9"/>
        <v>未买</v>
      </c>
      <c r="R159" s="19">
        <v>157</v>
      </c>
    </row>
    <row r="160" spans="5:18" x14ac:dyDescent="0.15">
      <c r="E160" s="5"/>
      <c r="H160" s="19">
        <v>158</v>
      </c>
      <c r="I160">
        <v>127043</v>
      </c>
      <c r="J160" t="s">
        <v>1827</v>
      </c>
      <c r="K160">
        <v>158.30000000000001</v>
      </c>
      <c r="L160">
        <v>2.79</v>
      </c>
      <c r="M160">
        <v>161.09</v>
      </c>
      <c r="N160" s="21">
        <v>11.586394</v>
      </c>
      <c r="O160" s="5" t="str">
        <f t="shared" si="9"/>
        <v>未买</v>
      </c>
      <c r="R160" s="19">
        <v>158</v>
      </c>
    </row>
    <row r="161" spans="5:18" x14ac:dyDescent="0.15">
      <c r="E161" s="5"/>
      <c r="H161" s="19">
        <v>159</v>
      </c>
      <c r="I161">
        <v>128097</v>
      </c>
      <c r="J161" t="s">
        <v>111</v>
      </c>
      <c r="K161">
        <v>115.4</v>
      </c>
      <c r="L161">
        <v>45.69</v>
      </c>
      <c r="M161">
        <v>161.09</v>
      </c>
      <c r="N161" s="21">
        <v>4.5857140000000003</v>
      </c>
      <c r="O161" s="5" t="str">
        <f t="shared" si="9"/>
        <v>未买</v>
      </c>
      <c r="R161" s="19">
        <v>159</v>
      </c>
    </row>
    <row r="162" spans="5:18" x14ac:dyDescent="0.15">
      <c r="E162" s="5"/>
      <c r="H162" s="19">
        <v>160</v>
      </c>
      <c r="I162">
        <v>128135</v>
      </c>
      <c r="J162" t="s">
        <v>1912</v>
      </c>
      <c r="K162">
        <v>122.88</v>
      </c>
      <c r="L162">
        <v>38.24</v>
      </c>
      <c r="M162">
        <v>161.12</v>
      </c>
      <c r="N162" s="21">
        <v>13.398632999999998</v>
      </c>
      <c r="O162" s="5" t="str">
        <f t="shared" si="9"/>
        <v>未买</v>
      </c>
      <c r="R162" s="19">
        <v>160</v>
      </c>
    </row>
    <row r="163" spans="5:18" x14ac:dyDescent="0.15">
      <c r="E163" s="5"/>
      <c r="H163" s="19">
        <v>161</v>
      </c>
      <c r="I163">
        <v>113602</v>
      </c>
      <c r="J163" t="s">
        <v>1926</v>
      </c>
      <c r="K163">
        <v>115.3</v>
      </c>
      <c r="L163">
        <v>45.86</v>
      </c>
      <c r="M163">
        <v>161.16</v>
      </c>
      <c r="N163" s="21">
        <v>17.798739999999999</v>
      </c>
      <c r="O163" s="5" t="str">
        <f t="shared" si="9"/>
        <v>未买</v>
      </c>
      <c r="R163" s="19">
        <v>161</v>
      </c>
    </row>
    <row r="164" spans="5:18" x14ac:dyDescent="0.15">
      <c r="E164" s="5"/>
      <c r="H164" s="19">
        <v>162</v>
      </c>
      <c r="I164">
        <v>123100</v>
      </c>
      <c r="J164" t="s">
        <v>104</v>
      </c>
      <c r="K164">
        <v>114.17</v>
      </c>
      <c r="L164">
        <v>47.28</v>
      </c>
      <c r="M164">
        <v>161.44999999999999</v>
      </c>
      <c r="N164" s="21">
        <v>3.7985370000000001</v>
      </c>
      <c r="O164" s="5" t="str">
        <f t="shared" si="9"/>
        <v>未买</v>
      </c>
      <c r="R164" s="19">
        <v>162</v>
      </c>
    </row>
    <row r="165" spans="5:18" x14ac:dyDescent="0.15">
      <c r="E165" s="5"/>
      <c r="H165" s="19">
        <v>163</v>
      </c>
      <c r="I165">
        <v>123123</v>
      </c>
      <c r="J165" t="s">
        <v>196</v>
      </c>
      <c r="K165">
        <v>133.30000000000001</v>
      </c>
      <c r="L165">
        <v>28.31</v>
      </c>
      <c r="M165">
        <v>161.61000000000001</v>
      </c>
      <c r="N165" s="21">
        <v>5.1604549999999998</v>
      </c>
      <c r="O165" s="5" t="str">
        <f t="shared" si="9"/>
        <v>未买</v>
      </c>
      <c r="R165" s="19">
        <v>163</v>
      </c>
    </row>
    <row r="166" spans="5:18" x14ac:dyDescent="0.15">
      <c r="E166" s="5"/>
      <c r="H166" s="19">
        <v>164</v>
      </c>
      <c r="I166">
        <v>113053</v>
      </c>
      <c r="J166" t="s">
        <v>1909</v>
      </c>
      <c r="K166">
        <v>124.58</v>
      </c>
      <c r="L166">
        <v>37.07</v>
      </c>
      <c r="M166">
        <v>161.65</v>
      </c>
      <c r="N166" s="21">
        <v>70</v>
      </c>
      <c r="O166" s="5" t="str">
        <f t="shared" si="9"/>
        <v>未买</v>
      </c>
      <c r="R166" s="19">
        <v>164</v>
      </c>
    </row>
    <row r="167" spans="5:18" x14ac:dyDescent="0.15">
      <c r="E167" s="5"/>
      <c r="H167" s="19">
        <v>165</v>
      </c>
      <c r="I167">
        <v>128090</v>
      </c>
      <c r="J167" t="s">
        <v>122</v>
      </c>
      <c r="K167">
        <v>122.6</v>
      </c>
      <c r="L167">
        <v>39.409999999999997</v>
      </c>
      <c r="M167">
        <v>162.01</v>
      </c>
      <c r="N167" s="21">
        <v>3.0994130000000002</v>
      </c>
      <c r="O167" s="5" t="str">
        <f t="shared" si="9"/>
        <v>未买</v>
      </c>
      <c r="R167" s="19">
        <v>165</v>
      </c>
    </row>
    <row r="168" spans="5:18" x14ac:dyDescent="0.15">
      <c r="E168" s="5"/>
      <c r="H168" s="19">
        <v>166</v>
      </c>
      <c r="I168">
        <v>123086</v>
      </c>
      <c r="J168" t="s">
        <v>1821</v>
      </c>
      <c r="K168">
        <v>161.6</v>
      </c>
      <c r="L168">
        <v>0.41</v>
      </c>
      <c r="M168">
        <v>162.01</v>
      </c>
      <c r="N168" s="21">
        <v>4.3500980000000009</v>
      </c>
      <c r="O168" s="5" t="str">
        <f t="shared" si="9"/>
        <v>未买</v>
      </c>
      <c r="R168" s="19">
        <v>166</v>
      </c>
    </row>
    <row r="169" spans="5:18" x14ac:dyDescent="0.15">
      <c r="E169" s="5"/>
      <c r="H169" s="19">
        <v>167</v>
      </c>
      <c r="I169">
        <v>113502</v>
      </c>
      <c r="J169" t="s">
        <v>133</v>
      </c>
      <c r="K169">
        <v>128.11000000000001</v>
      </c>
      <c r="L169">
        <v>34.03</v>
      </c>
      <c r="M169">
        <v>162.14000000000001</v>
      </c>
      <c r="N169" s="21">
        <v>1.8429500000000001</v>
      </c>
      <c r="O169" s="5" t="str">
        <f t="shared" si="9"/>
        <v>未买</v>
      </c>
      <c r="R169" s="19">
        <v>167</v>
      </c>
    </row>
    <row r="170" spans="5:18" x14ac:dyDescent="0.15">
      <c r="E170" s="5"/>
      <c r="H170" s="19">
        <v>168</v>
      </c>
      <c r="I170">
        <v>123057</v>
      </c>
      <c r="J170" t="s">
        <v>1860</v>
      </c>
      <c r="K170">
        <v>146</v>
      </c>
      <c r="L170">
        <v>16.170000000000002</v>
      </c>
      <c r="M170">
        <v>162.17000000000002</v>
      </c>
      <c r="N170" s="21">
        <v>2.0650419999999996</v>
      </c>
      <c r="O170" s="5" t="str">
        <f t="shared" si="9"/>
        <v>未买</v>
      </c>
      <c r="R170" s="19">
        <v>168</v>
      </c>
    </row>
    <row r="171" spans="5:18" x14ac:dyDescent="0.15">
      <c r="E171" s="5"/>
      <c r="H171" s="19">
        <v>169</v>
      </c>
      <c r="I171">
        <v>127056</v>
      </c>
      <c r="J171" t="s">
        <v>1934</v>
      </c>
      <c r="K171">
        <v>113.1</v>
      </c>
      <c r="L171">
        <v>49.15</v>
      </c>
      <c r="M171">
        <v>162.25</v>
      </c>
      <c r="N171" s="21">
        <v>50</v>
      </c>
      <c r="O171" s="5" t="str">
        <f t="shared" si="9"/>
        <v>未买</v>
      </c>
      <c r="R171" s="19">
        <v>169</v>
      </c>
    </row>
    <row r="172" spans="5:18" x14ac:dyDescent="0.15">
      <c r="E172" s="5"/>
      <c r="H172" s="19">
        <v>170</v>
      </c>
      <c r="I172">
        <v>123035</v>
      </c>
      <c r="J172" t="s">
        <v>124</v>
      </c>
      <c r="K172">
        <v>122.7</v>
      </c>
      <c r="L172">
        <v>40.369999999999997</v>
      </c>
      <c r="M172">
        <v>163.07</v>
      </c>
      <c r="N172" s="21">
        <v>7.9877429999999991</v>
      </c>
      <c r="O172" s="5" t="str">
        <f t="shared" si="9"/>
        <v>未买</v>
      </c>
      <c r="R172" s="19">
        <v>170</v>
      </c>
    </row>
    <row r="173" spans="5:18" x14ac:dyDescent="0.15">
      <c r="E173" s="5"/>
      <c r="H173" s="19">
        <v>171</v>
      </c>
      <c r="I173">
        <v>123078</v>
      </c>
      <c r="J173" t="s">
        <v>1850</v>
      </c>
      <c r="K173">
        <v>150.23500000000001</v>
      </c>
      <c r="L173">
        <v>13.21</v>
      </c>
      <c r="M173">
        <v>163.44500000000002</v>
      </c>
      <c r="N173" s="21">
        <v>6.1840869999999999</v>
      </c>
      <c r="O173" s="5" t="str">
        <f t="shared" si="9"/>
        <v>未买</v>
      </c>
      <c r="R173" s="19">
        <v>171</v>
      </c>
    </row>
    <row r="174" spans="5:18" x14ac:dyDescent="0.15">
      <c r="E174" s="5"/>
      <c r="H174" s="19">
        <v>172</v>
      </c>
      <c r="I174">
        <v>123044</v>
      </c>
      <c r="J174" t="s">
        <v>170</v>
      </c>
      <c r="K174">
        <v>115.63500000000001</v>
      </c>
      <c r="L174">
        <v>47.87</v>
      </c>
      <c r="M174">
        <v>163.505</v>
      </c>
      <c r="N174" s="21">
        <v>5.4958999999999998</v>
      </c>
      <c r="O174" s="5" t="str">
        <f t="shared" si="9"/>
        <v>未买</v>
      </c>
      <c r="R174" s="19">
        <v>172</v>
      </c>
    </row>
    <row r="175" spans="5:18" x14ac:dyDescent="0.15">
      <c r="E175" s="5"/>
      <c r="H175" s="19">
        <v>173</v>
      </c>
      <c r="I175">
        <v>123045</v>
      </c>
      <c r="J175" t="s">
        <v>109</v>
      </c>
      <c r="K175">
        <v>129.07900000000001</v>
      </c>
      <c r="L175">
        <v>34.71</v>
      </c>
      <c r="M175">
        <v>163.78900000000002</v>
      </c>
      <c r="N175" s="21">
        <v>1.6599440000000001</v>
      </c>
      <c r="O175" s="5" t="str">
        <f t="shared" si="9"/>
        <v>未买</v>
      </c>
      <c r="R175" s="19">
        <v>173</v>
      </c>
    </row>
    <row r="176" spans="5:18" x14ac:dyDescent="0.15">
      <c r="E176" s="5"/>
      <c r="H176" s="19">
        <v>174</v>
      </c>
      <c r="I176">
        <v>128140</v>
      </c>
      <c r="J176" t="s">
        <v>1882</v>
      </c>
      <c r="K176">
        <v>141.708</v>
      </c>
      <c r="L176">
        <v>22.1</v>
      </c>
      <c r="M176">
        <v>163.80799999999999</v>
      </c>
      <c r="N176" s="21">
        <v>10.896411000000001</v>
      </c>
      <c r="O176" s="5" t="str">
        <f t="shared" si="9"/>
        <v>未买</v>
      </c>
      <c r="R176" s="19">
        <v>174</v>
      </c>
    </row>
    <row r="177" spans="5:18" x14ac:dyDescent="0.15">
      <c r="E177" s="5"/>
      <c r="H177" s="19">
        <v>175</v>
      </c>
      <c r="I177">
        <v>113618</v>
      </c>
      <c r="J177" t="s">
        <v>1880</v>
      </c>
      <c r="K177">
        <v>142.06</v>
      </c>
      <c r="L177">
        <v>21.89</v>
      </c>
      <c r="M177">
        <v>163.95</v>
      </c>
      <c r="N177" s="21">
        <v>4.7717900000000002</v>
      </c>
      <c r="O177" s="5" t="str">
        <f t="shared" si="9"/>
        <v>未买</v>
      </c>
      <c r="R177" s="19">
        <v>175</v>
      </c>
    </row>
    <row r="178" spans="5:18" x14ac:dyDescent="0.15">
      <c r="E178" s="5"/>
      <c r="H178" s="19">
        <v>176</v>
      </c>
      <c r="I178">
        <v>113524</v>
      </c>
      <c r="J178" t="s">
        <v>222</v>
      </c>
      <c r="K178">
        <v>115.5</v>
      </c>
      <c r="L178">
        <v>48.5</v>
      </c>
      <c r="M178">
        <v>164</v>
      </c>
      <c r="N178" s="21">
        <v>3.2980100000000001</v>
      </c>
      <c r="O178" s="5" t="str">
        <f t="shared" si="9"/>
        <v>未买</v>
      </c>
      <c r="R178" s="19">
        <v>176</v>
      </c>
    </row>
    <row r="179" spans="5:18" x14ac:dyDescent="0.15">
      <c r="E179" s="5"/>
      <c r="H179" s="19">
        <v>177</v>
      </c>
      <c r="I179">
        <v>113047</v>
      </c>
      <c r="J179" t="s">
        <v>1915</v>
      </c>
      <c r="K179">
        <v>125.37</v>
      </c>
      <c r="L179">
        <v>38.79</v>
      </c>
      <c r="M179">
        <v>164.16</v>
      </c>
      <c r="N179" s="21">
        <v>14.98822</v>
      </c>
      <c r="O179" s="5" t="str">
        <f t="shared" si="9"/>
        <v>未买</v>
      </c>
      <c r="R179" s="19">
        <v>177</v>
      </c>
    </row>
    <row r="180" spans="5:18" x14ac:dyDescent="0.15">
      <c r="E180" s="5"/>
      <c r="H180" s="19">
        <v>178</v>
      </c>
      <c r="I180">
        <v>123050</v>
      </c>
      <c r="J180" t="s">
        <v>68</v>
      </c>
      <c r="K180">
        <v>119.502</v>
      </c>
      <c r="L180">
        <v>44.89</v>
      </c>
      <c r="M180">
        <v>164.392</v>
      </c>
      <c r="N180" s="21">
        <v>3.7459980000000006</v>
      </c>
      <c r="O180" s="5" t="str">
        <f t="shared" si="9"/>
        <v>未买</v>
      </c>
      <c r="R180" s="19">
        <v>178</v>
      </c>
    </row>
    <row r="181" spans="5:18" x14ac:dyDescent="0.15">
      <c r="E181" s="5"/>
      <c r="H181" s="19">
        <v>179</v>
      </c>
      <c r="I181">
        <v>127026</v>
      </c>
      <c r="J181" t="s">
        <v>235</v>
      </c>
      <c r="K181">
        <v>111.17100000000001</v>
      </c>
      <c r="L181">
        <v>53.7</v>
      </c>
      <c r="M181">
        <v>164.87100000000001</v>
      </c>
      <c r="N181" s="21">
        <v>6.9971039999999984</v>
      </c>
      <c r="O181" s="5" t="str">
        <f t="shared" si="9"/>
        <v>未买</v>
      </c>
      <c r="R181" s="19">
        <v>179</v>
      </c>
    </row>
    <row r="182" spans="5:18" x14ac:dyDescent="0.15">
      <c r="E182" s="5"/>
      <c r="H182" s="19">
        <v>180</v>
      </c>
      <c r="I182">
        <v>123067</v>
      </c>
      <c r="J182" t="s">
        <v>796</v>
      </c>
      <c r="K182">
        <v>152.595</v>
      </c>
      <c r="L182">
        <v>12.28</v>
      </c>
      <c r="M182">
        <v>164.875</v>
      </c>
      <c r="N182" s="21">
        <v>2.397818</v>
      </c>
      <c r="O182" s="5" t="str">
        <f t="shared" si="9"/>
        <v>未买</v>
      </c>
      <c r="R182" s="19">
        <v>180</v>
      </c>
    </row>
    <row r="183" spans="5:18" x14ac:dyDescent="0.15">
      <c r="E183" s="5"/>
      <c r="H183" s="19">
        <v>181</v>
      </c>
      <c r="I183">
        <v>113641</v>
      </c>
      <c r="J183" t="s">
        <v>1927</v>
      </c>
      <c r="K183">
        <v>118.93</v>
      </c>
      <c r="L183">
        <v>46.02</v>
      </c>
      <c r="M183">
        <v>164.95000000000002</v>
      </c>
      <c r="N183" s="21">
        <v>76</v>
      </c>
      <c r="O183" s="5" t="str">
        <f t="shared" si="9"/>
        <v>未买</v>
      </c>
      <c r="R183" s="19">
        <v>181</v>
      </c>
    </row>
    <row r="184" spans="5:18" x14ac:dyDescent="0.15">
      <c r="E184" s="5"/>
      <c r="H184" s="19">
        <v>182</v>
      </c>
      <c r="I184">
        <v>128040</v>
      </c>
      <c r="J184" t="s">
        <v>1855</v>
      </c>
      <c r="K184">
        <v>149.6</v>
      </c>
      <c r="L184">
        <v>15.42</v>
      </c>
      <c r="M184">
        <v>165.01999999999998</v>
      </c>
      <c r="N184" s="21">
        <v>2.0056020000000001</v>
      </c>
      <c r="O184" s="5" t="str">
        <f t="shared" si="9"/>
        <v>未买</v>
      </c>
      <c r="R184" s="19">
        <v>182</v>
      </c>
    </row>
    <row r="185" spans="5:18" x14ac:dyDescent="0.15">
      <c r="E185" s="5"/>
      <c r="H185" s="19">
        <v>183</v>
      </c>
      <c r="I185">
        <v>128133</v>
      </c>
      <c r="J185" t="s">
        <v>226</v>
      </c>
      <c r="K185">
        <v>118.361</v>
      </c>
      <c r="L185">
        <v>46.85</v>
      </c>
      <c r="M185">
        <v>165.21100000000001</v>
      </c>
      <c r="N185" s="21">
        <v>7.9943970000000002</v>
      </c>
      <c r="O185" s="5" t="str">
        <f t="shared" si="9"/>
        <v>未买</v>
      </c>
      <c r="R185" s="19">
        <v>183</v>
      </c>
    </row>
    <row r="186" spans="5:18" x14ac:dyDescent="0.15">
      <c r="E186" s="5"/>
      <c r="H186" s="19">
        <v>184</v>
      </c>
      <c r="I186">
        <v>110067</v>
      </c>
      <c r="J186" t="s">
        <v>1946</v>
      </c>
      <c r="K186">
        <v>107.54</v>
      </c>
      <c r="L186">
        <v>57.75</v>
      </c>
      <c r="M186">
        <v>165.29000000000002</v>
      </c>
      <c r="N186" s="21">
        <v>27.995080000000002</v>
      </c>
      <c r="O186" s="5" t="str">
        <f t="shared" si="9"/>
        <v>未买</v>
      </c>
      <c r="R186" s="19">
        <v>184</v>
      </c>
    </row>
    <row r="187" spans="5:18" x14ac:dyDescent="0.15">
      <c r="E187" s="5"/>
      <c r="H187" s="19">
        <v>185</v>
      </c>
      <c r="I187">
        <v>127030</v>
      </c>
      <c r="J187" t="s">
        <v>783</v>
      </c>
      <c r="K187">
        <v>141.31299999999999</v>
      </c>
      <c r="L187">
        <v>23.98</v>
      </c>
      <c r="M187">
        <v>165.29299999999998</v>
      </c>
      <c r="N187" s="21">
        <v>49.983575999999999</v>
      </c>
      <c r="O187" s="5" t="str">
        <f t="shared" si="9"/>
        <v>未买</v>
      </c>
      <c r="R187" s="19">
        <v>185</v>
      </c>
    </row>
    <row r="188" spans="5:18" x14ac:dyDescent="0.15">
      <c r="E188" s="5"/>
      <c r="H188" s="19">
        <v>186</v>
      </c>
      <c r="I188">
        <v>110060</v>
      </c>
      <c r="J188" t="s">
        <v>215</v>
      </c>
      <c r="K188">
        <v>118.74</v>
      </c>
      <c r="L188">
        <v>46.97</v>
      </c>
      <c r="M188">
        <v>165.70999999999998</v>
      </c>
      <c r="N188" s="21">
        <v>7.0625299999999998</v>
      </c>
      <c r="O188" s="5" t="str">
        <f t="shared" si="9"/>
        <v>未买</v>
      </c>
      <c r="R188" s="19">
        <v>186</v>
      </c>
    </row>
    <row r="189" spans="5:18" x14ac:dyDescent="0.15">
      <c r="E189" s="5"/>
      <c r="H189" s="19">
        <v>187</v>
      </c>
      <c r="I189">
        <v>123071</v>
      </c>
      <c r="J189" t="s">
        <v>1890</v>
      </c>
      <c r="K189">
        <v>139.81</v>
      </c>
      <c r="L189">
        <v>25.95</v>
      </c>
      <c r="M189">
        <v>165.76</v>
      </c>
      <c r="N189" s="21">
        <v>6.9424130000000002</v>
      </c>
      <c r="O189" s="5" t="str">
        <f t="shared" si="9"/>
        <v>未买</v>
      </c>
      <c r="R189" s="19">
        <v>187</v>
      </c>
    </row>
    <row r="190" spans="5:18" x14ac:dyDescent="0.15">
      <c r="E190" s="5"/>
      <c r="H190" s="19">
        <v>188</v>
      </c>
      <c r="I190">
        <v>127017</v>
      </c>
      <c r="J190" t="s">
        <v>197</v>
      </c>
      <c r="K190">
        <v>122.188</v>
      </c>
      <c r="L190">
        <v>43.63</v>
      </c>
      <c r="M190">
        <v>165.81800000000001</v>
      </c>
      <c r="N190" s="21">
        <v>9.9959550000000004</v>
      </c>
      <c r="O190" s="5" t="str">
        <f t="shared" si="9"/>
        <v>未买</v>
      </c>
      <c r="R190" s="19">
        <v>188</v>
      </c>
    </row>
    <row r="191" spans="5:18" x14ac:dyDescent="0.15">
      <c r="E191" s="5"/>
      <c r="H191" s="19">
        <v>189</v>
      </c>
      <c r="I191">
        <v>111004</v>
      </c>
      <c r="J191" t="s">
        <v>816</v>
      </c>
      <c r="K191">
        <v>122.188</v>
      </c>
      <c r="L191">
        <v>43.63</v>
      </c>
      <c r="M191">
        <v>165.81800000000001</v>
      </c>
      <c r="N191" s="21">
        <v>9.9959550000000004</v>
      </c>
      <c r="O191" s="5" t="str">
        <f t="shared" si="9"/>
        <v>未买</v>
      </c>
      <c r="R191" s="19">
        <v>189</v>
      </c>
    </row>
    <row r="192" spans="5:18" x14ac:dyDescent="0.15">
      <c r="E192" s="5"/>
      <c r="H192" s="19">
        <v>190</v>
      </c>
      <c r="I192">
        <v>123110</v>
      </c>
      <c r="J192" t="s">
        <v>107</v>
      </c>
      <c r="K192">
        <v>123.45399999999999</v>
      </c>
      <c r="L192">
        <v>42.51</v>
      </c>
      <c r="M192">
        <v>165.964</v>
      </c>
      <c r="N192" s="21">
        <v>2.6979679999999999</v>
      </c>
      <c r="O192" s="5" t="str">
        <f t="shared" si="9"/>
        <v>未买</v>
      </c>
      <c r="R192" s="19">
        <v>190</v>
      </c>
    </row>
    <row r="193" spans="5:18" x14ac:dyDescent="0.15">
      <c r="E193" s="5"/>
      <c r="H193" s="19">
        <v>191</v>
      </c>
      <c r="I193">
        <v>123114</v>
      </c>
      <c r="J193" t="s">
        <v>1866</v>
      </c>
      <c r="K193">
        <v>147.6</v>
      </c>
      <c r="L193">
        <v>18.39</v>
      </c>
      <c r="M193">
        <v>165.99</v>
      </c>
      <c r="N193" s="21">
        <v>9.0091009999999994</v>
      </c>
      <c r="O193" s="5" t="str">
        <f t="shared" si="9"/>
        <v>未买</v>
      </c>
      <c r="R193" s="19">
        <v>191</v>
      </c>
    </row>
    <row r="194" spans="5:18" x14ac:dyDescent="0.15">
      <c r="E194" s="5"/>
      <c r="H194" s="19">
        <v>192</v>
      </c>
      <c r="I194">
        <v>128137</v>
      </c>
      <c r="J194" t="s">
        <v>1928</v>
      </c>
      <c r="K194">
        <v>120.59399999999999</v>
      </c>
      <c r="L194">
        <v>46.02</v>
      </c>
      <c r="M194">
        <v>166.614</v>
      </c>
      <c r="N194" s="21">
        <v>5.9940730000000002</v>
      </c>
      <c r="O194" s="5" t="str">
        <f t="shared" si="9"/>
        <v>未买</v>
      </c>
      <c r="R194" s="19">
        <v>192</v>
      </c>
    </row>
    <row r="195" spans="5:18" x14ac:dyDescent="0.15">
      <c r="E195" s="5"/>
      <c r="H195" s="19">
        <v>193</v>
      </c>
      <c r="I195">
        <v>113504</v>
      </c>
      <c r="J195" t="s">
        <v>128</v>
      </c>
      <c r="K195">
        <v>149.38</v>
      </c>
      <c r="L195">
        <v>17.309999999999999</v>
      </c>
      <c r="M195">
        <v>166.69</v>
      </c>
      <c r="N195" s="21">
        <v>4.6277299999999997</v>
      </c>
      <c r="O195" s="5" t="str">
        <f t="shared" si="9"/>
        <v>未买</v>
      </c>
      <c r="R195" s="19">
        <v>193</v>
      </c>
    </row>
    <row r="196" spans="5:18" x14ac:dyDescent="0.15">
      <c r="E196" s="5"/>
      <c r="H196" s="19">
        <v>194</v>
      </c>
      <c r="I196">
        <v>123144</v>
      </c>
      <c r="J196" t="s">
        <v>1931</v>
      </c>
      <c r="K196">
        <v>118.983</v>
      </c>
      <c r="L196">
        <v>47.71</v>
      </c>
      <c r="M196">
        <v>166.69300000000001</v>
      </c>
      <c r="N196" s="21">
        <v>6</v>
      </c>
      <c r="O196" s="5" t="str">
        <f t="shared" ref="O196:O259" si="10">IF(ISNA(MATCH(I196,$A$3:$A$1000,0)),"未买","Yes")</f>
        <v>未买</v>
      </c>
      <c r="R196" s="19">
        <v>194</v>
      </c>
    </row>
    <row r="197" spans="5:18" x14ac:dyDescent="0.15">
      <c r="E197" s="5"/>
      <c r="H197" s="19">
        <v>195</v>
      </c>
      <c r="I197">
        <v>110074</v>
      </c>
      <c r="J197" t="s">
        <v>1871</v>
      </c>
      <c r="K197">
        <v>147.96</v>
      </c>
      <c r="L197">
        <v>19.2</v>
      </c>
      <c r="M197">
        <v>167.16</v>
      </c>
      <c r="N197" s="21">
        <v>5.09626</v>
      </c>
      <c r="O197" s="5" t="str">
        <f t="shared" si="10"/>
        <v>未买</v>
      </c>
      <c r="R197" s="19">
        <v>195</v>
      </c>
    </row>
    <row r="198" spans="5:18" x14ac:dyDescent="0.15">
      <c r="E198" s="5"/>
      <c r="H198" s="19">
        <v>196</v>
      </c>
      <c r="I198">
        <v>113644</v>
      </c>
      <c r="J198" t="s">
        <v>1943</v>
      </c>
      <c r="K198">
        <v>112.78</v>
      </c>
      <c r="L198">
        <v>54.41</v>
      </c>
      <c r="M198">
        <v>167.19</v>
      </c>
      <c r="N198" s="21">
        <v>10</v>
      </c>
      <c r="O198" s="5" t="str">
        <f t="shared" si="10"/>
        <v>未买</v>
      </c>
      <c r="R198" s="19">
        <v>196</v>
      </c>
    </row>
    <row r="199" spans="5:18" x14ac:dyDescent="0.15">
      <c r="E199" s="5"/>
      <c r="H199" s="19">
        <v>197</v>
      </c>
      <c r="I199">
        <v>113046</v>
      </c>
      <c r="J199" t="s">
        <v>1948</v>
      </c>
      <c r="K199">
        <v>107.66</v>
      </c>
      <c r="L199">
        <v>59.64</v>
      </c>
      <c r="M199">
        <v>167.3</v>
      </c>
      <c r="N199" s="21">
        <v>14.99883</v>
      </c>
      <c r="O199" s="5" t="str">
        <f t="shared" si="10"/>
        <v>未买</v>
      </c>
      <c r="R199" s="19">
        <v>197</v>
      </c>
    </row>
    <row r="200" spans="5:18" x14ac:dyDescent="0.15">
      <c r="E200" s="5"/>
      <c r="H200" s="19">
        <v>198</v>
      </c>
      <c r="I200">
        <v>113588</v>
      </c>
      <c r="J200" t="s">
        <v>219</v>
      </c>
      <c r="K200">
        <v>111.16</v>
      </c>
      <c r="L200">
        <v>56.19</v>
      </c>
      <c r="M200">
        <v>167.35</v>
      </c>
      <c r="N200" s="21">
        <v>5.49885</v>
      </c>
      <c r="O200" s="5" t="str">
        <f t="shared" si="10"/>
        <v>未买</v>
      </c>
      <c r="R200" s="19">
        <v>198</v>
      </c>
    </row>
    <row r="201" spans="5:18" x14ac:dyDescent="0.15">
      <c r="E201" s="5"/>
      <c r="H201" s="19">
        <v>199</v>
      </c>
      <c r="I201">
        <v>113021</v>
      </c>
      <c r="J201" t="s">
        <v>1947</v>
      </c>
      <c r="K201">
        <v>109.27</v>
      </c>
      <c r="L201">
        <v>58.16</v>
      </c>
      <c r="M201">
        <v>167.43</v>
      </c>
      <c r="N201" s="21">
        <v>399.99664999999999</v>
      </c>
      <c r="O201" s="5" t="str">
        <f t="shared" si="10"/>
        <v>未买</v>
      </c>
      <c r="R201" s="19">
        <v>199</v>
      </c>
    </row>
    <row r="202" spans="5:18" x14ac:dyDescent="0.15">
      <c r="E202" s="5"/>
      <c r="H202" s="19">
        <v>200</v>
      </c>
      <c r="I202">
        <v>128120</v>
      </c>
      <c r="J202" t="s">
        <v>117</v>
      </c>
      <c r="K202">
        <v>116.431</v>
      </c>
      <c r="L202">
        <v>51.03</v>
      </c>
      <c r="M202">
        <v>167.46100000000001</v>
      </c>
      <c r="N202" s="21">
        <v>2.5996240000000004</v>
      </c>
      <c r="O202" s="5" t="str">
        <f t="shared" si="10"/>
        <v>未买</v>
      </c>
      <c r="R202" s="19">
        <v>200</v>
      </c>
    </row>
    <row r="203" spans="5:18" x14ac:dyDescent="0.15">
      <c r="E203" s="5"/>
      <c r="H203" s="19">
        <v>201</v>
      </c>
      <c r="I203">
        <v>123062</v>
      </c>
      <c r="J203" t="s">
        <v>103</v>
      </c>
      <c r="K203">
        <v>119.218</v>
      </c>
      <c r="L203">
        <v>48.52</v>
      </c>
      <c r="M203">
        <v>167.738</v>
      </c>
      <c r="N203" s="21">
        <v>1.947703</v>
      </c>
      <c r="O203" s="5" t="str">
        <f t="shared" si="10"/>
        <v>未买</v>
      </c>
      <c r="R203" s="19">
        <v>201</v>
      </c>
    </row>
    <row r="204" spans="5:18" x14ac:dyDescent="0.15">
      <c r="E204" s="5"/>
      <c r="H204" s="19">
        <v>202</v>
      </c>
      <c r="I204">
        <v>113565</v>
      </c>
      <c r="J204" t="s">
        <v>123</v>
      </c>
      <c r="K204">
        <v>121.87</v>
      </c>
      <c r="L204">
        <v>45.93</v>
      </c>
      <c r="M204">
        <v>167.8</v>
      </c>
      <c r="N204" s="21">
        <v>2.24926</v>
      </c>
      <c r="O204" s="5" t="str">
        <f t="shared" si="10"/>
        <v>未买</v>
      </c>
      <c r="R204" s="19">
        <v>202</v>
      </c>
    </row>
    <row r="205" spans="5:18" x14ac:dyDescent="0.15">
      <c r="E205" s="5"/>
      <c r="H205" s="19">
        <v>203</v>
      </c>
      <c r="I205">
        <v>113610</v>
      </c>
      <c r="J205" t="s">
        <v>112</v>
      </c>
      <c r="K205">
        <v>110.89</v>
      </c>
      <c r="L205">
        <v>57.02</v>
      </c>
      <c r="M205">
        <v>167.91</v>
      </c>
      <c r="N205" s="21">
        <v>4.5794600000000001</v>
      </c>
      <c r="O205" s="5" t="str">
        <f t="shared" si="10"/>
        <v>未买</v>
      </c>
      <c r="R205" s="19">
        <v>203</v>
      </c>
    </row>
    <row r="206" spans="5:18" x14ac:dyDescent="0.15">
      <c r="E206" s="5"/>
      <c r="H206" s="19">
        <v>204</v>
      </c>
      <c r="I206">
        <v>127037</v>
      </c>
      <c r="J206" t="s">
        <v>233</v>
      </c>
      <c r="K206">
        <v>118.8</v>
      </c>
      <c r="L206">
        <v>49.47</v>
      </c>
      <c r="M206">
        <v>168.26999999999998</v>
      </c>
      <c r="N206" s="21">
        <v>6.9976070000000012</v>
      </c>
      <c r="O206" s="5" t="str">
        <f t="shared" si="10"/>
        <v>未买</v>
      </c>
      <c r="R206" s="19">
        <v>204</v>
      </c>
    </row>
    <row r="207" spans="5:18" x14ac:dyDescent="0.15">
      <c r="E207" s="5"/>
      <c r="H207" s="19">
        <v>205</v>
      </c>
      <c r="I207">
        <v>123084</v>
      </c>
      <c r="J207" t="s">
        <v>113</v>
      </c>
      <c r="K207">
        <v>140.46</v>
      </c>
      <c r="L207">
        <v>27.83</v>
      </c>
      <c r="M207">
        <v>168.29000000000002</v>
      </c>
      <c r="N207" s="21">
        <v>2.5422899999999999</v>
      </c>
      <c r="O207" s="5" t="str">
        <f t="shared" si="10"/>
        <v>未买</v>
      </c>
      <c r="R207" s="19">
        <v>205</v>
      </c>
    </row>
    <row r="208" spans="5:18" x14ac:dyDescent="0.15">
      <c r="E208" s="5"/>
      <c r="H208" s="19">
        <v>206</v>
      </c>
      <c r="I208">
        <v>123130</v>
      </c>
      <c r="J208" t="s">
        <v>71</v>
      </c>
      <c r="K208">
        <v>146.19999999999999</v>
      </c>
      <c r="L208">
        <v>22.26</v>
      </c>
      <c r="M208">
        <v>168.45999999999998</v>
      </c>
      <c r="N208" s="21">
        <v>3.7563980000000008</v>
      </c>
      <c r="O208" s="5" t="str">
        <f t="shared" si="10"/>
        <v>未买</v>
      </c>
      <c r="R208" s="19">
        <v>206</v>
      </c>
    </row>
    <row r="209" spans="5:18" x14ac:dyDescent="0.15">
      <c r="E209" s="5"/>
      <c r="H209" s="19">
        <v>207</v>
      </c>
      <c r="I209">
        <v>113579</v>
      </c>
      <c r="J209" t="s">
        <v>108</v>
      </c>
      <c r="K209">
        <v>123.57</v>
      </c>
      <c r="L209">
        <v>44.95</v>
      </c>
      <c r="M209">
        <v>168.51999999999998</v>
      </c>
      <c r="N209" s="21">
        <v>5.0250300000000001</v>
      </c>
      <c r="O209" s="5" t="str">
        <f t="shared" si="10"/>
        <v>未买</v>
      </c>
      <c r="R209" s="19">
        <v>207</v>
      </c>
    </row>
    <row r="210" spans="5:18" x14ac:dyDescent="0.15">
      <c r="E210" s="5"/>
      <c r="H210" s="19">
        <v>208</v>
      </c>
      <c r="I210">
        <v>123048</v>
      </c>
      <c r="J210" t="s">
        <v>236</v>
      </c>
      <c r="K210">
        <v>123</v>
      </c>
      <c r="L210">
        <v>46.22</v>
      </c>
      <c r="M210">
        <v>169.22</v>
      </c>
      <c r="N210" s="21">
        <v>3.7914160000000008</v>
      </c>
      <c r="O210" s="5" t="str">
        <f t="shared" si="10"/>
        <v>未买</v>
      </c>
      <c r="R210" s="19">
        <v>208</v>
      </c>
    </row>
    <row r="211" spans="5:18" x14ac:dyDescent="0.15">
      <c r="E211" s="5"/>
      <c r="H211" s="19">
        <v>209</v>
      </c>
      <c r="I211">
        <v>113526</v>
      </c>
      <c r="J211" t="s">
        <v>144</v>
      </c>
      <c r="K211">
        <v>136.65</v>
      </c>
      <c r="L211">
        <v>32.619999999999997</v>
      </c>
      <c r="M211">
        <v>169.27</v>
      </c>
      <c r="N211" s="21">
        <v>1.92994</v>
      </c>
      <c r="O211" s="5" t="str">
        <f t="shared" si="10"/>
        <v>未买</v>
      </c>
      <c r="R211" s="19">
        <v>209</v>
      </c>
    </row>
    <row r="212" spans="5:18" x14ac:dyDescent="0.15">
      <c r="E212" s="5"/>
      <c r="H212" s="19">
        <v>210</v>
      </c>
      <c r="I212">
        <v>128056</v>
      </c>
      <c r="J212" t="s">
        <v>79</v>
      </c>
      <c r="K212">
        <v>119.78100000000001</v>
      </c>
      <c r="L212">
        <v>49.5</v>
      </c>
      <c r="M212">
        <v>169.28100000000001</v>
      </c>
      <c r="N212" s="21">
        <v>1.7224740000000003</v>
      </c>
      <c r="O212" s="5" t="str">
        <f t="shared" si="10"/>
        <v>未买</v>
      </c>
      <c r="R212" s="19">
        <v>210</v>
      </c>
    </row>
    <row r="213" spans="5:18" x14ac:dyDescent="0.15">
      <c r="E213" s="5"/>
      <c r="H213" s="19">
        <v>211</v>
      </c>
      <c r="I213">
        <v>113648</v>
      </c>
      <c r="J213" t="s">
        <v>1942</v>
      </c>
      <c r="K213">
        <v>117.67</v>
      </c>
      <c r="L213">
        <v>51.62</v>
      </c>
      <c r="M213">
        <v>169.29</v>
      </c>
      <c r="N213" s="21">
        <v>10</v>
      </c>
      <c r="O213" s="5" t="str">
        <f t="shared" si="10"/>
        <v>未买</v>
      </c>
      <c r="R213" s="19">
        <v>211</v>
      </c>
    </row>
    <row r="214" spans="5:18" x14ac:dyDescent="0.15">
      <c r="E214" s="5"/>
      <c r="H214" s="19">
        <v>212</v>
      </c>
      <c r="I214">
        <v>113619</v>
      </c>
      <c r="J214" t="s">
        <v>230</v>
      </c>
      <c r="K214">
        <v>121.91</v>
      </c>
      <c r="L214">
        <v>47.9</v>
      </c>
      <c r="M214">
        <v>169.81</v>
      </c>
      <c r="N214" s="21">
        <v>9.9967699999999997</v>
      </c>
      <c r="O214" s="5" t="str">
        <f t="shared" si="10"/>
        <v>未买</v>
      </c>
      <c r="R214" s="19">
        <v>212</v>
      </c>
    </row>
    <row r="215" spans="5:18" x14ac:dyDescent="0.15">
      <c r="E215" s="5"/>
      <c r="H215" s="19">
        <v>213</v>
      </c>
      <c r="I215">
        <v>123133</v>
      </c>
      <c r="J215" t="s">
        <v>278</v>
      </c>
      <c r="K215">
        <v>118.6</v>
      </c>
      <c r="L215">
        <v>51.31</v>
      </c>
      <c r="M215">
        <v>169.91</v>
      </c>
      <c r="N215" s="21">
        <v>7.2</v>
      </c>
      <c r="O215" s="5" t="str">
        <f t="shared" si="10"/>
        <v>未买</v>
      </c>
      <c r="R215" s="19">
        <v>213</v>
      </c>
    </row>
    <row r="216" spans="5:18" x14ac:dyDescent="0.15">
      <c r="E216" s="5"/>
      <c r="H216" s="19">
        <v>214</v>
      </c>
      <c r="I216">
        <v>123132</v>
      </c>
      <c r="J216" t="s">
        <v>254</v>
      </c>
      <c r="K216">
        <v>116.67</v>
      </c>
      <c r="L216">
        <v>53.43</v>
      </c>
      <c r="M216">
        <v>170.1</v>
      </c>
      <c r="N216" s="21">
        <v>7</v>
      </c>
      <c r="O216" s="5" t="str">
        <f t="shared" si="10"/>
        <v>未买</v>
      </c>
      <c r="R216" s="19">
        <v>214</v>
      </c>
    </row>
    <row r="217" spans="5:18" x14ac:dyDescent="0.15">
      <c r="E217" s="5"/>
      <c r="H217" s="19">
        <v>215</v>
      </c>
      <c r="I217">
        <v>110056</v>
      </c>
      <c r="J217" t="s">
        <v>1937</v>
      </c>
      <c r="K217">
        <v>120.45</v>
      </c>
      <c r="L217">
        <v>49.81</v>
      </c>
      <c r="M217">
        <v>170.26</v>
      </c>
      <c r="N217" s="21">
        <v>17.100950000000001</v>
      </c>
      <c r="O217" s="5" t="str">
        <f t="shared" si="10"/>
        <v>未买</v>
      </c>
      <c r="R217" s="19">
        <v>215</v>
      </c>
    </row>
    <row r="218" spans="5:18" x14ac:dyDescent="0.15">
      <c r="E218" s="5"/>
      <c r="H218" s="19">
        <v>216</v>
      </c>
      <c r="I218">
        <v>123052</v>
      </c>
      <c r="J218" t="s">
        <v>1893</v>
      </c>
      <c r="K218">
        <v>141.80000000000001</v>
      </c>
      <c r="L218">
        <v>28.66</v>
      </c>
      <c r="M218">
        <v>170.46</v>
      </c>
      <c r="N218" s="21">
        <v>1.503663</v>
      </c>
      <c r="O218" s="5" t="str">
        <f t="shared" si="10"/>
        <v>未买</v>
      </c>
      <c r="R218" s="19">
        <v>216</v>
      </c>
    </row>
    <row r="219" spans="5:18" x14ac:dyDescent="0.15">
      <c r="E219" s="5"/>
      <c r="H219" s="19">
        <v>217</v>
      </c>
      <c r="I219">
        <v>111000</v>
      </c>
      <c r="J219" t="s">
        <v>84</v>
      </c>
      <c r="K219">
        <v>141.80000000000001</v>
      </c>
      <c r="L219">
        <v>28.66</v>
      </c>
      <c r="M219">
        <v>170.46</v>
      </c>
      <c r="N219" s="21">
        <v>1.503663</v>
      </c>
      <c r="O219" s="5" t="str">
        <f t="shared" si="10"/>
        <v>未买</v>
      </c>
      <c r="R219" s="19">
        <v>217</v>
      </c>
    </row>
    <row r="220" spans="5:18" x14ac:dyDescent="0.15">
      <c r="E220" s="5"/>
      <c r="H220" s="19">
        <v>218</v>
      </c>
      <c r="I220">
        <v>113643</v>
      </c>
      <c r="J220" t="s">
        <v>817</v>
      </c>
      <c r="K220">
        <v>124.62</v>
      </c>
      <c r="L220">
        <v>46.04</v>
      </c>
      <c r="M220">
        <v>170.66</v>
      </c>
      <c r="N220" s="21">
        <v>5</v>
      </c>
      <c r="O220" s="5" t="str">
        <f t="shared" si="10"/>
        <v>未买</v>
      </c>
      <c r="R220" s="19">
        <v>218</v>
      </c>
    </row>
    <row r="221" spans="5:18" x14ac:dyDescent="0.15">
      <c r="E221" s="5"/>
      <c r="H221" s="19">
        <v>219</v>
      </c>
      <c r="I221">
        <v>123145</v>
      </c>
      <c r="J221" t="s">
        <v>1923</v>
      </c>
      <c r="K221">
        <v>126.77</v>
      </c>
      <c r="L221">
        <v>43.99</v>
      </c>
      <c r="M221">
        <v>170.76</v>
      </c>
      <c r="N221" s="21">
        <v>11.5</v>
      </c>
      <c r="O221" s="5" t="str">
        <f t="shared" si="10"/>
        <v>未买</v>
      </c>
      <c r="R221" s="19">
        <v>219</v>
      </c>
    </row>
    <row r="222" spans="5:18" x14ac:dyDescent="0.15">
      <c r="E222" s="5"/>
      <c r="H222" s="19">
        <v>220</v>
      </c>
      <c r="I222">
        <v>113546</v>
      </c>
      <c r="J222" t="s">
        <v>87</v>
      </c>
      <c r="K222">
        <v>126.48</v>
      </c>
      <c r="L222">
        <v>44.48</v>
      </c>
      <c r="M222">
        <v>170.96</v>
      </c>
      <c r="N222" s="21">
        <v>2.29684</v>
      </c>
      <c r="O222" s="5" t="str">
        <f t="shared" si="10"/>
        <v>未买</v>
      </c>
      <c r="R222" s="19">
        <v>220</v>
      </c>
    </row>
    <row r="223" spans="5:18" x14ac:dyDescent="0.15">
      <c r="E223" s="5"/>
      <c r="H223" s="19">
        <v>221</v>
      </c>
      <c r="I223">
        <v>113600</v>
      </c>
      <c r="J223" t="s">
        <v>275</v>
      </c>
      <c r="K223">
        <v>120.64</v>
      </c>
      <c r="L223">
        <v>50.41</v>
      </c>
      <c r="M223">
        <v>171.05</v>
      </c>
      <c r="N223" s="21">
        <v>4.5331000000000001</v>
      </c>
      <c r="O223" s="5" t="str">
        <f t="shared" si="10"/>
        <v>未买</v>
      </c>
      <c r="R223" s="19">
        <v>221</v>
      </c>
    </row>
    <row r="224" spans="5:18" x14ac:dyDescent="0.15">
      <c r="E224" s="5"/>
      <c r="H224" s="19">
        <v>222</v>
      </c>
      <c r="I224">
        <v>123106</v>
      </c>
      <c r="J224" t="s">
        <v>64</v>
      </c>
      <c r="K224">
        <v>112.441</v>
      </c>
      <c r="L224">
        <v>58.95</v>
      </c>
      <c r="M224">
        <v>171.39100000000002</v>
      </c>
      <c r="N224" s="21">
        <v>3.199684</v>
      </c>
      <c r="O224" s="5" t="str">
        <f t="shared" si="10"/>
        <v>未买</v>
      </c>
      <c r="R224" s="19">
        <v>222</v>
      </c>
    </row>
    <row r="225" spans="5:18" x14ac:dyDescent="0.15">
      <c r="E225" s="5"/>
      <c r="H225" s="19">
        <v>223</v>
      </c>
      <c r="I225">
        <v>123142</v>
      </c>
      <c r="J225" t="s">
        <v>782</v>
      </c>
      <c r="K225">
        <v>116.794</v>
      </c>
      <c r="L225">
        <v>54.65</v>
      </c>
      <c r="M225">
        <v>171.44399999999999</v>
      </c>
      <c r="N225" s="21">
        <v>5.5</v>
      </c>
      <c r="O225" s="5" t="str">
        <f t="shared" si="10"/>
        <v>未买</v>
      </c>
      <c r="R225" s="19">
        <v>223</v>
      </c>
    </row>
    <row r="226" spans="5:18" x14ac:dyDescent="0.15">
      <c r="E226" s="5"/>
      <c r="H226" s="19">
        <v>224</v>
      </c>
      <c r="I226">
        <v>113561</v>
      </c>
      <c r="J226" t="s">
        <v>86</v>
      </c>
      <c r="K226">
        <v>118.38</v>
      </c>
      <c r="L226">
        <v>53.18</v>
      </c>
      <c r="M226">
        <v>171.56</v>
      </c>
      <c r="N226" s="21">
        <v>1.4991000000000001</v>
      </c>
      <c r="O226" s="5" t="str">
        <f t="shared" si="10"/>
        <v>未买</v>
      </c>
      <c r="R226" s="19">
        <v>224</v>
      </c>
    </row>
    <row r="227" spans="5:18" x14ac:dyDescent="0.15">
      <c r="E227" s="5"/>
      <c r="H227" s="19">
        <v>225</v>
      </c>
      <c r="I227">
        <v>128078</v>
      </c>
      <c r="J227" t="s">
        <v>1940</v>
      </c>
      <c r="K227">
        <v>120.49</v>
      </c>
      <c r="L227">
        <v>51.2</v>
      </c>
      <c r="M227">
        <v>171.69</v>
      </c>
      <c r="N227" s="21">
        <v>9.5993570000000012</v>
      </c>
      <c r="O227" s="5" t="str">
        <f t="shared" si="10"/>
        <v>未买</v>
      </c>
      <c r="R227" s="19">
        <v>225</v>
      </c>
    </row>
    <row r="228" spans="5:18" x14ac:dyDescent="0.15">
      <c r="E228" s="5"/>
      <c r="H228" s="19">
        <v>226</v>
      </c>
      <c r="I228">
        <v>127055</v>
      </c>
      <c r="J228" t="s">
        <v>781</v>
      </c>
      <c r="K228">
        <v>116.84099999999999</v>
      </c>
      <c r="L228">
        <v>54.9</v>
      </c>
      <c r="M228">
        <v>171.74099999999999</v>
      </c>
      <c r="N228" s="21">
        <v>5.77</v>
      </c>
      <c r="O228" s="5" t="str">
        <f t="shared" si="10"/>
        <v>未买</v>
      </c>
      <c r="R228" s="19">
        <v>226</v>
      </c>
    </row>
    <row r="229" spans="5:18" x14ac:dyDescent="0.15">
      <c r="E229" s="5"/>
      <c r="H229" s="19">
        <v>227</v>
      </c>
      <c r="I229">
        <v>128039</v>
      </c>
      <c r="J229" t="s">
        <v>120</v>
      </c>
      <c r="K229">
        <v>117.221</v>
      </c>
      <c r="L229">
        <v>55.32</v>
      </c>
      <c r="M229">
        <v>172.541</v>
      </c>
      <c r="N229" s="21">
        <v>2.0240990000000001</v>
      </c>
      <c r="O229" s="5" t="str">
        <f t="shared" si="10"/>
        <v>未买</v>
      </c>
      <c r="R229" s="19">
        <v>227</v>
      </c>
    </row>
    <row r="230" spans="5:18" x14ac:dyDescent="0.15">
      <c r="E230" s="5"/>
      <c r="H230" s="19">
        <v>228</v>
      </c>
      <c r="I230">
        <v>128029</v>
      </c>
      <c r="J230" t="s">
        <v>1849</v>
      </c>
      <c r="K230">
        <v>160.20099999999999</v>
      </c>
      <c r="L230">
        <v>12.43</v>
      </c>
      <c r="M230">
        <v>172.631</v>
      </c>
      <c r="N230" s="21">
        <v>9.0859769999999997</v>
      </c>
      <c r="O230" s="5" t="str">
        <f t="shared" si="10"/>
        <v>未买</v>
      </c>
      <c r="R230" s="19">
        <v>228</v>
      </c>
    </row>
    <row r="231" spans="5:18" x14ac:dyDescent="0.15">
      <c r="E231" s="5"/>
      <c r="H231" s="19">
        <v>229</v>
      </c>
      <c r="I231">
        <v>123059</v>
      </c>
      <c r="J231" t="s">
        <v>211</v>
      </c>
      <c r="K231">
        <v>116.396</v>
      </c>
      <c r="L231">
        <v>56.24</v>
      </c>
      <c r="M231">
        <v>172.636</v>
      </c>
      <c r="N231" s="21">
        <v>3.912436</v>
      </c>
      <c r="O231" s="5" t="str">
        <f t="shared" si="10"/>
        <v>未买</v>
      </c>
      <c r="R231" s="19">
        <v>229</v>
      </c>
    </row>
    <row r="232" spans="5:18" x14ac:dyDescent="0.15">
      <c r="E232" s="5"/>
      <c r="H232" s="19">
        <v>230</v>
      </c>
      <c r="I232">
        <v>123121</v>
      </c>
      <c r="J232" t="s">
        <v>237</v>
      </c>
      <c r="K232">
        <v>145</v>
      </c>
      <c r="L232">
        <v>28.05</v>
      </c>
      <c r="M232">
        <v>173.05</v>
      </c>
      <c r="N232" s="21">
        <v>8.3956039999999987</v>
      </c>
      <c r="O232" s="5" t="str">
        <f t="shared" si="10"/>
        <v>未买</v>
      </c>
      <c r="R232" s="19">
        <v>230</v>
      </c>
    </row>
    <row r="233" spans="5:18" x14ac:dyDescent="0.15">
      <c r="E233" s="5"/>
      <c r="H233" s="19">
        <v>231</v>
      </c>
      <c r="I233">
        <v>128143</v>
      </c>
      <c r="J233" t="s">
        <v>118</v>
      </c>
      <c r="K233">
        <v>117.009</v>
      </c>
      <c r="L233">
        <v>56.3</v>
      </c>
      <c r="M233">
        <v>173.309</v>
      </c>
      <c r="N233" s="21">
        <v>2.443762</v>
      </c>
      <c r="O233" s="5" t="str">
        <f t="shared" si="10"/>
        <v>未买</v>
      </c>
      <c r="R233" s="19">
        <v>231</v>
      </c>
    </row>
    <row r="234" spans="5:18" x14ac:dyDescent="0.15">
      <c r="E234" s="5"/>
      <c r="H234" s="19">
        <v>232</v>
      </c>
      <c r="I234">
        <v>113642</v>
      </c>
      <c r="J234" t="s">
        <v>1922</v>
      </c>
      <c r="K234">
        <v>131.94999999999999</v>
      </c>
      <c r="L234">
        <v>42.37</v>
      </c>
      <c r="M234">
        <v>174.32</v>
      </c>
      <c r="N234" s="21">
        <v>24.7</v>
      </c>
      <c r="O234" s="5" t="str">
        <f t="shared" si="10"/>
        <v>未买</v>
      </c>
      <c r="R234" s="19">
        <v>232</v>
      </c>
    </row>
    <row r="235" spans="5:18" x14ac:dyDescent="0.15">
      <c r="E235" s="5"/>
      <c r="H235" s="19">
        <v>233</v>
      </c>
      <c r="I235">
        <v>127015</v>
      </c>
      <c r="J235" t="s">
        <v>169</v>
      </c>
      <c r="K235">
        <v>114.38</v>
      </c>
      <c r="L235">
        <v>59.99</v>
      </c>
      <c r="M235">
        <v>174.37</v>
      </c>
      <c r="N235" s="21">
        <v>9.4969560000000008</v>
      </c>
      <c r="O235" s="5" t="str">
        <f t="shared" si="10"/>
        <v>未买</v>
      </c>
      <c r="R235" s="19">
        <v>233</v>
      </c>
    </row>
    <row r="236" spans="5:18" x14ac:dyDescent="0.15">
      <c r="E236" s="5"/>
      <c r="H236" s="19">
        <v>234</v>
      </c>
      <c r="I236">
        <v>123092</v>
      </c>
      <c r="J236" t="s">
        <v>1822</v>
      </c>
      <c r="K236">
        <v>174.12299999999999</v>
      </c>
      <c r="L236">
        <v>0.52</v>
      </c>
      <c r="M236">
        <v>174.643</v>
      </c>
      <c r="N236" s="21">
        <v>4.1420899999999996</v>
      </c>
      <c r="O236" s="5" t="str">
        <f t="shared" si="10"/>
        <v>未买</v>
      </c>
      <c r="R236" s="19">
        <v>234</v>
      </c>
    </row>
    <row r="237" spans="5:18" x14ac:dyDescent="0.15">
      <c r="E237" s="5"/>
      <c r="H237" s="19">
        <v>235</v>
      </c>
      <c r="I237">
        <v>127036</v>
      </c>
      <c r="J237" t="s">
        <v>1944</v>
      </c>
      <c r="K237">
        <v>119</v>
      </c>
      <c r="L237">
        <v>55.66</v>
      </c>
      <c r="M237">
        <v>174.66</v>
      </c>
      <c r="N237" s="21">
        <v>29.992660000000001</v>
      </c>
      <c r="O237" s="5" t="str">
        <f t="shared" si="10"/>
        <v>未买</v>
      </c>
      <c r="R237" s="19">
        <v>235</v>
      </c>
    </row>
    <row r="238" spans="5:18" x14ac:dyDescent="0.15">
      <c r="E238" s="5"/>
      <c r="H238" s="19">
        <v>236</v>
      </c>
      <c r="I238">
        <v>127038</v>
      </c>
      <c r="J238" t="s">
        <v>1865</v>
      </c>
      <c r="K238">
        <v>156.9</v>
      </c>
      <c r="L238">
        <v>18.13</v>
      </c>
      <c r="M238">
        <v>175.03</v>
      </c>
      <c r="N238" s="21">
        <v>14.939162</v>
      </c>
      <c r="O238" s="5" t="str">
        <f t="shared" si="10"/>
        <v>未买</v>
      </c>
      <c r="R238" s="19">
        <v>236</v>
      </c>
    </row>
    <row r="239" spans="5:18" x14ac:dyDescent="0.15">
      <c r="E239" s="5"/>
      <c r="H239" s="19">
        <v>237</v>
      </c>
      <c r="I239">
        <v>128123</v>
      </c>
      <c r="J239" t="s">
        <v>165</v>
      </c>
      <c r="K239">
        <v>114.51</v>
      </c>
      <c r="L239">
        <v>60.6</v>
      </c>
      <c r="M239">
        <v>175.11</v>
      </c>
      <c r="N239" s="21">
        <v>3.1992660000000002</v>
      </c>
      <c r="O239" s="5" t="str">
        <f t="shared" si="10"/>
        <v>未买</v>
      </c>
      <c r="R239" s="19">
        <v>237</v>
      </c>
    </row>
    <row r="240" spans="5:18" x14ac:dyDescent="0.15">
      <c r="E240" s="5"/>
      <c r="H240" s="19">
        <v>238</v>
      </c>
      <c r="I240">
        <v>110073</v>
      </c>
      <c r="J240" t="s">
        <v>1953</v>
      </c>
      <c r="K240">
        <v>105.54</v>
      </c>
      <c r="L240">
        <v>69.62</v>
      </c>
      <c r="M240">
        <v>175.16000000000003</v>
      </c>
      <c r="N240" s="21">
        <v>79.993359999999996</v>
      </c>
      <c r="O240" s="5" t="str">
        <f t="shared" si="10"/>
        <v>未买</v>
      </c>
      <c r="R240" s="19">
        <v>238</v>
      </c>
    </row>
    <row r="241" spans="5:18" x14ac:dyDescent="0.15">
      <c r="E241" s="5"/>
      <c r="H241" s="19">
        <v>239</v>
      </c>
      <c r="I241">
        <v>123129</v>
      </c>
      <c r="J241" t="s">
        <v>247</v>
      </c>
      <c r="K241">
        <v>116.666</v>
      </c>
      <c r="L241">
        <v>58.6</v>
      </c>
      <c r="M241">
        <v>175.26599999999999</v>
      </c>
      <c r="N241" s="21">
        <v>5.9999390000000004</v>
      </c>
      <c r="O241" s="5" t="str">
        <f t="shared" si="10"/>
        <v>未买</v>
      </c>
      <c r="R241" s="19">
        <v>239</v>
      </c>
    </row>
    <row r="242" spans="5:18" x14ac:dyDescent="0.15">
      <c r="E242" s="5"/>
      <c r="H242" s="19">
        <v>240</v>
      </c>
      <c r="I242">
        <v>128105</v>
      </c>
      <c r="J242" t="s">
        <v>186</v>
      </c>
      <c r="K242">
        <v>101.511</v>
      </c>
      <c r="L242">
        <v>73.790000000000006</v>
      </c>
      <c r="M242">
        <v>175.30099999999999</v>
      </c>
      <c r="N242" s="21">
        <v>7.9952110000000003</v>
      </c>
      <c r="O242" s="5" t="str">
        <f t="shared" si="10"/>
        <v>未买</v>
      </c>
      <c r="R242" s="19">
        <v>240</v>
      </c>
    </row>
    <row r="243" spans="5:18" x14ac:dyDescent="0.15">
      <c r="E243" s="5"/>
      <c r="H243" s="19">
        <v>241</v>
      </c>
      <c r="I243">
        <v>113527</v>
      </c>
      <c r="J243" t="s">
        <v>119</v>
      </c>
      <c r="K243">
        <v>119.44</v>
      </c>
      <c r="L243">
        <v>55.89</v>
      </c>
      <c r="M243">
        <v>175.32999999999998</v>
      </c>
      <c r="N243" s="21">
        <v>2.8632300000000002</v>
      </c>
      <c r="O243" s="5" t="str">
        <f t="shared" si="10"/>
        <v>未买</v>
      </c>
      <c r="R243" s="19">
        <v>241</v>
      </c>
    </row>
    <row r="244" spans="5:18" x14ac:dyDescent="0.15">
      <c r="E244" s="5"/>
      <c r="H244" s="19">
        <v>242</v>
      </c>
      <c r="I244">
        <v>113535</v>
      </c>
      <c r="J244" t="s">
        <v>217</v>
      </c>
      <c r="K244">
        <v>111.47</v>
      </c>
      <c r="L244">
        <v>65.260000000000005</v>
      </c>
      <c r="M244">
        <v>176.73000000000002</v>
      </c>
      <c r="N244" s="21">
        <v>4.9961399999999996</v>
      </c>
      <c r="O244" s="5" t="str">
        <f t="shared" si="10"/>
        <v>未买</v>
      </c>
      <c r="R244" s="19">
        <v>242</v>
      </c>
    </row>
    <row r="245" spans="5:18" x14ac:dyDescent="0.15">
      <c r="E245" s="5"/>
      <c r="H245" s="19">
        <v>243</v>
      </c>
      <c r="I245">
        <v>123083</v>
      </c>
      <c r="J245" t="s">
        <v>114</v>
      </c>
      <c r="K245">
        <v>168.5</v>
      </c>
      <c r="L245">
        <v>8.3800000000000008</v>
      </c>
      <c r="M245">
        <v>176.88</v>
      </c>
      <c r="N245" s="21">
        <v>5.482971</v>
      </c>
      <c r="O245" s="5" t="str">
        <f t="shared" si="10"/>
        <v>未买</v>
      </c>
      <c r="R245" s="19">
        <v>243</v>
      </c>
    </row>
    <row r="246" spans="5:18" x14ac:dyDescent="0.15">
      <c r="E246" s="5"/>
      <c r="H246" s="19">
        <v>244</v>
      </c>
      <c r="I246">
        <v>127050</v>
      </c>
      <c r="J246" t="s">
        <v>1945</v>
      </c>
      <c r="K246">
        <v>119.95</v>
      </c>
      <c r="L246">
        <v>57.46</v>
      </c>
      <c r="M246">
        <v>177.41</v>
      </c>
      <c r="N246" s="21">
        <v>21.989227</v>
      </c>
      <c r="O246" s="5" t="str">
        <f t="shared" si="10"/>
        <v>未买</v>
      </c>
      <c r="R246" s="19">
        <v>244</v>
      </c>
    </row>
    <row r="247" spans="5:18" x14ac:dyDescent="0.15">
      <c r="E247" s="5"/>
      <c r="H247" s="19">
        <v>245</v>
      </c>
      <c r="I247">
        <v>113563</v>
      </c>
      <c r="J247" t="s">
        <v>167</v>
      </c>
      <c r="K247">
        <v>108.9</v>
      </c>
      <c r="L247">
        <v>68.58</v>
      </c>
      <c r="M247">
        <v>177.48000000000002</v>
      </c>
      <c r="N247" s="21">
        <v>8.0190199999999994</v>
      </c>
      <c r="O247" s="5" t="str">
        <f t="shared" si="10"/>
        <v>未买</v>
      </c>
      <c r="R247" s="19">
        <v>245</v>
      </c>
    </row>
    <row r="248" spans="5:18" x14ac:dyDescent="0.15">
      <c r="E248" s="5"/>
      <c r="H248" s="19">
        <v>246</v>
      </c>
      <c r="I248">
        <v>123131</v>
      </c>
      <c r="J248" t="s">
        <v>250</v>
      </c>
      <c r="K248">
        <v>124.7</v>
      </c>
      <c r="L248">
        <v>52.97</v>
      </c>
      <c r="M248">
        <v>177.67000000000002</v>
      </c>
      <c r="N248" s="21">
        <v>6.35</v>
      </c>
      <c r="O248" s="5" t="str">
        <f t="shared" si="10"/>
        <v>未买</v>
      </c>
      <c r="R248" s="19">
        <v>246</v>
      </c>
    </row>
    <row r="249" spans="5:18" x14ac:dyDescent="0.15">
      <c r="E249" s="5"/>
      <c r="H249" s="19">
        <v>247</v>
      </c>
      <c r="I249">
        <v>127048</v>
      </c>
      <c r="J249" t="s">
        <v>221</v>
      </c>
      <c r="K249">
        <v>122.485</v>
      </c>
      <c r="L249">
        <v>55.38</v>
      </c>
      <c r="M249">
        <v>177.86500000000001</v>
      </c>
      <c r="N249" s="21">
        <v>2.6998259999999998</v>
      </c>
      <c r="O249" s="5" t="str">
        <f t="shared" si="10"/>
        <v>未买</v>
      </c>
      <c r="R249" s="19">
        <v>247</v>
      </c>
    </row>
    <row r="250" spans="5:18" x14ac:dyDescent="0.15">
      <c r="E250" s="5"/>
      <c r="H250" s="19">
        <v>248</v>
      </c>
      <c r="I250">
        <v>113629</v>
      </c>
      <c r="J250" t="s">
        <v>80</v>
      </c>
      <c r="K250">
        <v>133.84</v>
      </c>
      <c r="L250">
        <v>44.04</v>
      </c>
      <c r="M250">
        <v>177.88</v>
      </c>
      <c r="N250" s="21">
        <v>6.1978400000000002</v>
      </c>
      <c r="O250" s="5" t="str">
        <f t="shared" si="10"/>
        <v>未买</v>
      </c>
      <c r="R250" s="19">
        <v>248</v>
      </c>
    </row>
    <row r="251" spans="5:18" x14ac:dyDescent="0.15">
      <c r="E251" s="5"/>
      <c r="H251" s="19">
        <v>249</v>
      </c>
      <c r="I251">
        <v>113621</v>
      </c>
      <c r="J251" t="s">
        <v>248</v>
      </c>
      <c r="K251">
        <v>126.4</v>
      </c>
      <c r="L251">
        <v>51.65</v>
      </c>
      <c r="M251">
        <v>178.05</v>
      </c>
      <c r="N251" s="21">
        <v>5.3671432979999993</v>
      </c>
      <c r="O251" s="5" t="str">
        <f t="shared" si="10"/>
        <v>未买</v>
      </c>
      <c r="R251" s="19">
        <v>249</v>
      </c>
    </row>
    <row r="252" spans="5:18" x14ac:dyDescent="0.15">
      <c r="E252" s="5"/>
      <c r="H252" s="19">
        <v>250</v>
      </c>
      <c r="I252">
        <v>113593</v>
      </c>
      <c r="J252" t="s">
        <v>60</v>
      </c>
      <c r="K252">
        <v>113.66</v>
      </c>
      <c r="L252">
        <v>64.53</v>
      </c>
      <c r="M252">
        <v>178.19</v>
      </c>
      <c r="N252" s="21">
        <v>3.9978699999999998</v>
      </c>
      <c r="O252" s="5" t="str">
        <f t="shared" si="10"/>
        <v>未买</v>
      </c>
      <c r="R252" s="19">
        <v>250</v>
      </c>
    </row>
    <row r="253" spans="5:18" x14ac:dyDescent="0.15">
      <c r="E253" s="5"/>
      <c r="H253" s="19">
        <v>251</v>
      </c>
      <c r="I253">
        <v>113615</v>
      </c>
      <c r="J253" t="s">
        <v>1825</v>
      </c>
      <c r="K253">
        <v>177.14</v>
      </c>
      <c r="L253">
        <v>1.4</v>
      </c>
      <c r="M253">
        <v>178.54</v>
      </c>
      <c r="N253" s="21">
        <v>8.5466999999999995</v>
      </c>
      <c r="O253" s="5" t="str">
        <f t="shared" si="10"/>
        <v>未买</v>
      </c>
      <c r="R253" s="19">
        <v>251</v>
      </c>
    </row>
    <row r="254" spans="5:18" x14ac:dyDescent="0.15">
      <c r="E254" s="5"/>
      <c r="H254" s="19">
        <v>252</v>
      </c>
      <c r="I254">
        <v>118000</v>
      </c>
      <c r="J254" t="s">
        <v>1913</v>
      </c>
      <c r="K254">
        <v>177.14</v>
      </c>
      <c r="L254">
        <v>1.4</v>
      </c>
      <c r="M254">
        <v>178.54</v>
      </c>
      <c r="N254" s="21">
        <v>8.5466999999999995</v>
      </c>
      <c r="O254" s="5" t="str">
        <f t="shared" si="10"/>
        <v>未买</v>
      </c>
      <c r="R254" s="19">
        <v>252</v>
      </c>
    </row>
    <row r="255" spans="5:18" x14ac:dyDescent="0.15">
      <c r="E255" s="5"/>
      <c r="H255" s="19">
        <v>253</v>
      </c>
      <c r="I255">
        <v>128046</v>
      </c>
      <c r="J255" t="s">
        <v>800</v>
      </c>
      <c r="K255">
        <v>177.417</v>
      </c>
      <c r="L255">
        <v>1.33</v>
      </c>
      <c r="M255">
        <v>178.74700000000001</v>
      </c>
      <c r="N255" s="21">
        <v>7.748437</v>
      </c>
      <c r="O255" s="5" t="str">
        <f t="shared" si="10"/>
        <v>未买</v>
      </c>
      <c r="R255" s="19">
        <v>253</v>
      </c>
    </row>
    <row r="256" spans="5:18" x14ac:dyDescent="0.15">
      <c r="E256" s="5"/>
      <c r="H256" s="19">
        <v>254</v>
      </c>
      <c r="I256">
        <v>123075</v>
      </c>
      <c r="J256" t="s">
        <v>70</v>
      </c>
      <c r="K256">
        <v>115.086</v>
      </c>
      <c r="L256">
        <v>63.71</v>
      </c>
      <c r="M256">
        <v>178.79599999999999</v>
      </c>
      <c r="N256" s="21">
        <v>5.9963600000000001</v>
      </c>
      <c r="O256" s="5" t="str">
        <f t="shared" si="10"/>
        <v>未买</v>
      </c>
      <c r="R256" s="19">
        <v>254</v>
      </c>
    </row>
    <row r="257" spans="5:18" x14ac:dyDescent="0.15">
      <c r="E257" s="5"/>
      <c r="H257" s="19">
        <v>255</v>
      </c>
      <c r="I257">
        <v>123004</v>
      </c>
      <c r="J257" t="s">
        <v>181</v>
      </c>
      <c r="K257">
        <v>107.398</v>
      </c>
      <c r="L257">
        <v>71.64</v>
      </c>
      <c r="M257">
        <v>179.03800000000001</v>
      </c>
      <c r="N257" s="21">
        <v>8.031758</v>
      </c>
      <c r="O257" s="5" t="str">
        <f t="shared" si="10"/>
        <v>未买</v>
      </c>
      <c r="R257" s="19">
        <v>255</v>
      </c>
    </row>
    <row r="258" spans="5:18" x14ac:dyDescent="0.15">
      <c r="E258" s="5"/>
      <c r="H258" s="19">
        <v>256</v>
      </c>
      <c r="I258">
        <v>113043</v>
      </c>
      <c r="J258" t="s">
        <v>1954</v>
      </c>
      <c r="K258">
        <v>106</v>
      </c>
      <c r="L258">
        <v>73.319999999999993</v>
      </c>
      <c r="M258">
        <v>179.32</v>
      </c>
      <c r="N258" s="21">
        <v>37.997660000000003</v>
      </c>
      <c r="O258" s="5" t="str">
        <f t="shared" si="10"/>
        <v>未买</v>
      </c>
      <c r="R258" s="19">
        <v>256</v>
      </c>
    </row>
    <row r="259" spans="5:18" x14ac:dyDescent="0.15">
      <c r="E259" s="5"/>
      <c r="H259" s="19">
        <v>257</v>
      </c>
      <c r="I259">
        <v>123064</v>
      </c>
      <c r="J259" t="s">
        <v>142</v>
      </c>
      <c r="K259">
        <v>120</v>
      </c>
      <c r="L259">
        <v>60</v>
      </c>
      <c r="M259">
        <v>180</v>
      </c>
      <c r="N259" s="21">
        <v>5.9814829999999999</v>
      </c>
      <c r="O259" s="5" t="str">
        <f t="shared" si="10"/>
        <v>未买</v>
      </c>
      <c r="R259" s="19">
        <v>257</v>
      </c>
    </row>
    <row r="260" spans="5:18" x14ac:dyDescent="0.15">
      <c r="E260" s="5"/>
      <c r="H260" s="19">
        <v>258</v>
      </c>
      <c r="I260">
        <v>123115</v>
      </c>
      <c r="J260" t="s">
        <v>1949</v>
      </c>
      <c r="K260">
        <v>114.435</v>
      </c>
      <c r="L260">
        <v>65.680000000000007</v>
      </c>
      <c r="M260">
        <v>180.11500000000001</v>
      </c>
      <c r="N260" s="21">
        <v>11.94642</v>
      </c>
      <c r="O260" s="5" t="str">
        <f t="shared" ref="O260:O323" si="11">IF(ISNA(MATCH(I260,$A$3:$A$1000,0)),"未买","Yes")</f>
        <v>未买</v>
      </c>
      <c r="R260" s="19">
        <v>258</v>
      </c>
    </row>
    <row r="261" spans="5:18" x14ac:dyDescent="0.15">
      <c r="E261" s="5"/>
      <c r="H261" s="19">
        <v>259</v>
      </c>
      <c r="I261">
        <v>123061</v>
      </c>
      <c r="J261" t="s">
        <v>95</v>
      </c>
      <c r="K261">
        <v>118.012</v>
      </c>
      <c r="L261">
        <v>62.13</v>
      </c>
      <c r="M261">
        <v>180.142</v>
      </c>
      <c r="N261" s="21">
        <v>2.4961600000000002</v>
      </c>
      <c r="O261" s="5" t="str">
        <f t="shared" si="11"/>
        <v>未买</v>
      </c>
      <c r="R261" s="19">
        <v>259</v>
      </c>
    </row>
    <row r="262" spans="5:18" x14ac:dyDescent="0.15">
      <c r="E262" s="5"/>
      <c r="H262" s="19">
        <v>260</v>
      </c>
      <c r="I262">
        <v>128091</v>
      </c>
      <c r="J262" t="s">
        <v>1875</v>
      </c>
      <c r="K262">
        <v>160.36000000000001</v>
      </c>
      <c r="L262">
        <v>19.91</v>
      </c>
      <c r="M262">
        <v>180.27</v>
      </c>
      <c r="N262" s="21">
        <v>1.5412429999999999</v>
      </c>
      <c r="O262" s="5" t="str">
        <f t="shared" si="11"/>
        <v>未买</v>
      </c>
      <c r="R262" s="19">
        <v>260</v>
      </c>
    </row>
    <row r="263" spans="5:18" x14ac:dyDescent="0.15">
      <c r="E263" s="5"/>
      <c r="H263" s="19">
        <v>261</v>
      </c>
      <c r="I263">
        <v>113623</v>
      </c>
      <c r="J263" t="s">
        <v>1951</v>
      </c>
      <c r="K263">
        <v>113.92</v>
      </c>
      <c r="L263">
        <v>66.62</v>
      </c>
      <c r="M263">
        <v>180.54000000000002</v>
      </c>
      <c r="N263" s="21">
        <v>24.999580000000002</v>
      </c>
      <c r="O263" s="5" t="str">
        <f t="shared" si="11"/>
        <v>未买</v>
      </c>
      <c r="R263" s="19">
        <v>261</v>
      </c>
    </row>
    <row r="264" spans="5:18" x14ac:dyDescent="0.15">
      <c r="E264" s="5"/>
      <c r="H264" s="19">
        <v>262</v>
      </c>
      <c r="I264">
        <v>123012</v>
      </c>
      <c r="J264" t="s">
        <v>1847</v>
      </c>
      <c r="K264">
        <v>168.976</v>
      </c>
      <c r="L264">
        <v>11.59</v>
      </c>
      <c r="M264">
        <v>180.566</v>
      </c>
      <c r="N264" s="21">
        <v>1.223781</v>
      </c>
      <c r="O264" s="5" t="str">
        <f t="shared" si="11"/>
        <v>未买</v>
      </c>
      <c r="R264" s="19">
        <v>262</v>
      </c>
    </row>
    <row r="265" spans="5:18" x14ac:dyDescent="0.15">
      <c r="E265" s="5"/>
      <c r="H265" s="19">
        <v>263</v>
      </c>
      <c r="I265">
        <v>113042</v>
      </c>
      <c r="J265" t="s">
        <v>1956</v>
      </c>
      <c r="K265">
        <v>105.99</v>
      </c>
      <c r="L265">
        <v>75.48</v>
      </c>
      <c r="M265">
        <v>181.47</v>
      </c>
      <c r="N265" s="21">
        <v>199.98697999999999</v>
      </c>
      <c r="O265" s="5" t="str">
        <f t="shared" si="11"/>
        <v>未买</v>
      </c>
      <c r="R265" s="19">
        <v>263</v>
      </c>
    </row>
    <row r="266" spans="5:18" x14ac:dyDescent="0.15">
      <c r="E266" s="5"/>
      <c r="H266" s="19">
        <v>264</v>
      </c>
      <c r="I266">
        <v>113578</v>
      </c>
      <c r="J266" t="s">
        <v>175</v>
      </c>
      <c r="K266">
        <v>104.83</v>
      </c>
      <c r="L266">
        <v>77.53</v>
      </c>
      <c r="M266">
        <v>182.36</v>
      </c>
      <c r="N266" s="21">
        <v>3.8380800000000002</v>
      </c>
      <c r="O266" s="5" t="str">
        <f t="shared" si="11"/>
        <v>未买</v>
      </c>
      <c r="R266" s="19">
        <v>264</v>
      </c>
    </row>
    <row r="267" spans="5:18" x14ac:dyDescent="0.15">
      <c r="E267" s="5"/>
      <c r="H267" s="19">
        <v>265</v>
      </c>
      <c r="I267">
        <v>113577</v>
      </c>
      <c r="J267" t="s">
        <v>116</v>
      </c>
      <c r="K267">
        <v>126</v>
      </c>
      <c r="L267">
        <v>56.42</v>
      </c>
      <c r="M267">
        <v>182.42000000000002</v>
      </c>
      <c r="N267" s="21">
        <v>1.7774799999999999</v>
      </c>
      <c r="O267" s="5" t="str">
        <f t="shared" si="11"/>
        <v>未买</v>
      </c>
      <c r="R267" s="19">
        <v>265</v>
      </c>
    </row>
    <row r="268" spans="5:18" x14ac:dyDescent="0.15">
      <c r="E268" s="5"/>
      <c r="H268" s="19">
        <v>266</v>
      </c>
      <c r="I268">
        <v>123049</v>
      </c>
      <c r="J268" t="s">
        <v>194</v>
      </c>
      <c r="K268">
        <v>106.93</v>
      </c>
      <c r="L268">
        <v>75.760000000000005</v>
      </c>
      <c r="M268">
        <v>182.69</v>
      </c>
      <c r="N268" s="21">
        <v>9.1698649999999997</v>
      </c>
      <c r="O268" s="5" t="str">
        <f t="shared" si="11"/>
        <v>未买</v>
      </c>
      <c r="R268" s="19">
        <v>266</v>
      </c>
    </row>
    <row r="269" spans="5:18" x14ac:dyDescent="0.15">
      <c r="E269" s="5"/>
      <c r="H269" s="19">
        <v>267</v>
      </c>
      <c r="I269">
        <v>110058</v>
      </c>
      <c r="J269" t="s">
        <v>78</v>
      </c>
      <c r="K269">
        <v>112.12</v>
      </c>
      <c r="L269">
        <v>70.73</v>
      </c>
      <c r="M269">
        <v>182.85000000000002</v>
      </c>
      <c r="N269" s="21">
        <v>2.6103100000000001</v>
      </c>
      <c r="O269" s="5" t="str">
        <f t="shared" si="11"/>
        <v>未买</v>
      </c>
      <c r="R269" s="19">
        <v>267</v>
      </c>
    </row>
    <row r="270" spans="5:18" x14ac:dyDescent="0.15">
      <c r="E270" s="5"/>
      <c r="H270" s="19">
        <v>268</v>
      </c>
      <c r="I270">
        <v>123025</v>
      </c>
      <c r="J270" t="s">
        <v>67</v>
      </c>
      <c r="K270">
        <v>123.809</v>
      </c>
      <c r="L270">
        <v>59.1</v>
      </c>
      <c r="M270">
        <v>182.90899999999999</v>
      </c>
      <c r="N270" s="21">
        <v>3.0864669999999998</v>
      </c>
      <c r="O270" s="5" t="str">
        <f t="shared" si="11"/>
        <v>未买</v>
      </c>
      <c r="R270" s="19">
        <v>268</v>
      </c>
    </row>
    <row r="271" spans="5:18" x14ac:dyDescent="0.15">
      <c r="E271" s="5"/>
      <c r="H271" s="19">
        <v>269</v>
      </c>
      <c r="I271">
        <v>128053</v>
      </c>
      <c r="J271" t="s">
        <v>61</v>
      </c>
      <c r="K271">
        <v>134.499</v>
      </c>
      <c r="L271">
        <v>48.5</v>
      </c>
      <c r="M271">
        <v>182.999</v>
      </c>
      <c r="N271" s="21">
        <v>1.9004799999999999</v>
      </c>
      <c r="O271" s="5" t="str">
        <f t="shared" si="11"/>
        <v>未买</v>
      </c>
      <c r="R271" s="19">
        <v>269</v>
      </c>
    </row>
    <row r="272" spans="5:18" x14ac:dyDescent="0.15">
      <c r="E272" s="5"/>
      <c r="H272" s="19">
        <v>270</v>
      </c>
      <c r="I272">
        <v>113635</v>
      </c>
      <c r="J272" t="s">
        <v>1950</v>
      </c>
      <c r="K272">
        <v>116.65</v>
      </c>
      <c r="L272">
        <v>66.41</v>
      </c>
      <c r="M272">
        <v>183.06</v>
      </c>
      <c r="N272" s="21">
        <v>13.5</v>
      </c>
      <c r="O272" s="5" t="str">
        <f t="shared" si="11"/>
        <v>未买</v>
      </c>
      <c r="R272" s="19">
        <v>270</v>
      </c>
    </row>
    <row r="273" spans="5:18" x14ac:dyDescent="0.15">
      <c r="E273" s="5"/>
      <c r="H273" s="19">
        <v>271</v>
      </c>
      <c r="I273">
        <v>127007</v>
      </c>
      <c r="J273" t="s">
        <v>1839</v>
      </c>
      <c r="K273">
        <v>174.05</v>
      </c>
      <c r="L273">
        <v>9.1199999999999992</v>
      </c>
      <c r="M273">
        <v>183.17000000000002</v>
      </c>
      <c r="N273" s="21">
        <v>3.6980269999999993</v>
      </c>
      <c r="O273" s="5" t="str">
        <f t="shared" si="11"/>
        <v>未买</v>
      </c>
      <c r="R273" s="19">
        <v>271</v>
      </c>
    </row>
    <row r="274" spans="5:18" x14ac:dyDescent="0.15">
      <c r="E274" s="5"/>
      <c r="H274" s="19">
        <v>272</v>
      </c>
      <c r="I274">
        <v>128101</v>
      </c>
      <c r="J274" t="s">
        <v>1936</v>
      </c>
      <c r="K274">
        <v>134</v>
      </c>
      <c r="L274">
        <v>49.35</v>
      </c>
      <c r="M274">
        <v>183.35</v>
      </c>
      <c r="N274" s="21">
        <v>2.994631</v>
      </c>
      <c r="O274" s="5" t="str">
        <f t="shared" si="11"/>
        <v>未买</v>
      </c>
      <c r="R274" s="19">
        <v>272</v>
      </c>
    </row>
    <row r="275" spans="5:18" x14ac:dyDescent="0.15">
      <c r="E275" s="5"/>
      <c r="H275" s="19">
        <v>273</v>
      </c>
      <c r="I275">
        <v>128023</v>
      </c>
      <c r="J275" t="s">
        <v>214</v>
      </c>
      <c r="K275">
        <v>114.502</v>
      </c>
      <c r="L275">
        <v>68.959999999999994</v>
      </c>
      <c r="M275">
        <v>183.46199999999999</v>
      </c>
      <c r="N275" s="21">
        <v>9.9865580000000005</v>
      </c>
      <c r="O275" s="5" t="str">
        <f t="shared" si="11"/>
        <v>未买</v>
      </c>
      <c r="R275" s="19">
        <v>273</v>
      </c>
    </row>
    <row r="276" spans="5:18" x14ac:dyDescent="0.15">
      <c r="E276" s="5"/>
      <c r="H276" s="19">
        <v>274</v>
      </c>
      <c r="I276">
        <v>110082</v>
      </c>
      <c r="J276" t="s">
        <v>1952</v>
      </c>
      <c r="K276">
        <v>115.58</v>
      </c>
      <c r="L276">
        <v>68.17</v>
      </c>
      <c r="M276">
        <v>183.75</v>
      </c>
      <c r="N276" s="21">
        <v>19.99943</v>
      </c>
      <c r="O276" s="5" t="str">
        <f t="shared" si="11"/>
        <v>未买</v>
      </c>
      <c r="R276" s="19">
        <v>274</v>
      </c>
    </row>
    <row r="277" spans="5:18" x14ac:dyDescent="0.15">
      <c r="E277" s="5"/>
      <c r="H277" s="19">
        <v>275</v>
      </c>
      <c r="I277">
        <v>113525</v>
      </c>
      <c r="J277" t="s">
        <v>1872</v>
      </c>
      <c r="K277">
        <v>165.33</v>
      </c>
      <c r="L277">
        <v>19.21</v>
      </c>
      <c r="M277">
        <v>184.54000000000002</v>
      </c>
      <c r="N277" s="21">
        <v>1.85362</v>
      </c>
      <c r="O277" s="5" t="str">
        <f t="shared" si="11"/>
        <v>未买</v>
      </c>
      <c r="R277" s="19">
        <v>275</v>
      </c>
    </row>
    <row r="278" spans="5:18" x14ac:dyDescent="0.15">
      <c r="E278" s="5"/>
      <c r="H278" s="19">
        <v>276</v>
      </c>
      <c r="I278">
        <v>128026</v>
      </c>
      <c r="J278" t="s">
        <v>192</v>
      </c>
      <c r="K278">
        <v>107.10599999999999</v>
      </c>
      <c r="L278">
        <v>77.89</v>
      </c>
      <c r="M278">
        <v>184.99599999999998</v>
      </c>
      <c r="N278" s="21">
        <v>4.0879250000000003</v>
      </c>
      <c r="O278" s="5" t="str">
        <f t="shared" si="11"/>
        <v>未买</v>
      </c>
      <c r="R278" s="19">
        <v>276</v>
      </c>
    </row>
    <row r="279" spans="5:18" x14ac:dyDescent="0.15">
      <c r="E279" s="5"/>
      <c r="H279" s="19">
        <v>277</v>
      </c>
      <c r="I279">
        <v>123060</v>
      </c>
      <c r="J279" t="s">
        <v>1854</v>
      </c>
      <c r="K279">
        <v>169.90100000000001</v>
      </c>
      <c r="L279">
        <v>15.23</v>
      </c>
      <c r="M279">
        <v>185.131</v>
      </c>
      <c r="N279" s="21">
        <v>3.0963069999999999</v>
      </c>
      <c r="O279" s="5" t="str">
        <f t="shared" si="11"/>
        <v>未买</v>
      </c>
      <c r="R279" s="19">
        <v>277</v>
      </c>
    </row>
    <row r="280" spans="5:18" x14ac:dyDescent="0.15">
      <c r="E280" s="5"/>
      <c r="H280" s="19">
        <v>278</v>
      </c>
      <c r="I280">
        <v>128069</v>
      </c>
      <c r="J280" t="s">
        <v>173</v>
      </c>
      <c r="K280">
        <v>115.33</v>
      </c>
      <c r="L280">
        <v>69.98</v>
      </c>
      <c r="M280">
        <v>185.31</v>
      </c>
      <c r="N280" s="21">
        <v>2.99343</v>
      </c>
      <c r="O280" s="5" t="str">
        <f t="shared" si="11"/>
        <v>未买</v>
      </c>
      <c r="R280" s="19">
        <v>278</v>
      </c>
    </row>
    <row r="281" spans="5:18" x14ac:dyDescent="0.15">
      <c r="E281" s="5"/>
      <c r="H281" s="19">
        <v>279</v>
      </c>
      <c r="I281">
        <v>113530</v>
      </c>
      <c r="J281" t="s">
        <v>191</v>
      </c>
      <c r="K281">
        <v>112.51</v>
      </c>
      <c r="L281">
        <v>73.33</v>
      </c>
      <c r="M281">
        <v>185.84</v>
      </c>
      <c r="N281" s="21">
        <v>6.2976599999999996</v>
      </c>
      <c r="O281" s="5" t="str">
        <f t="shared" si="11"/>
        <v>未买</v>
      </c>
      <c r="R281" s="19">
        <v>279</v>
      </c>
    </row>
    <row r="282" spans="5:18" x14ac:dyDescent="0.15">
      <c r="E282" s="5"/>
      <c r="H282" s="19">
        <v>280</v>
      </c>
      <c r="I282">
        <v>118005</v>
      </c>
      <c r="J282" t="s">
        <v>787</v>
      </c>
      <c r="K282">
        <v>112.51</v>
      </c>
      <c r="L282">
        <v>73.33</v>
      </c>
      <c r="M282">
        <v>185.84</v>
      </c>
      <c r="N282" s="21">
        <v>6.2976599999999996</v>
      </c>
      <c r="O282" s="5" t="str">
        <f t="shared" si="11"/>
        <v>未买</v>
      </c>
      <c r="R282" s="19">
        <v>280</v>
      </c>
    </row>
    <row r="283" spans="5:18" x14ac:dyDescent="0.15">
      <c r="E283" s="5"/>
      <c r="H283" s="19">
        <v>281</v>
      </c>
      <c r="I283">
        <v>113045</v>
      </c>
      <c r="J283" t="s">
        <v>1957</v>
      </c>
      <c r="K283">
        <v>109.78</v>
      </c>
      <c r="L283">
        <v>76.98</v>
      </c>
      <c r="M283">
        <v>186.76</v>
      </c>
      <c r="N283" s="21">
        <v>34.499510000000001</v>
      </c>
      <c r="O283" s="5" t="str">
        <f t="shared" si="11"/>
        <v>未买</v>
      </c>
      <c r="R283" s="19">
        <v>281</v>
      </c>
    </row>
    <row r="284" spans="5:18" x14ac:dyDescent="0.15">
      <c r="E284" s="5"/>
      <c r="H284" s="19">
        <v>282</v>
      </c>
      <c r="I284">
        <v>123054</v>
      </c>
      <c r="J284" t="s">
        <v>82</v>
      </c>
      <c r="K284">
        <v>132</v>
      </c>
      <c r="L284">
        <v>55.84</v>
      </c>
      <c r="M284">
        <v>187.84</v>
      </c>
      <c r="N284" s="21">
        <v>2.0732020000000002</v>
      </c>
      <c r="O284" s="5" t="str">
        <f t="shared" si="11"/>
        <v>未买</v>
      </c>
      <c r="R284" s="19">
        <v>282</v>
      </c>
    </row>
    <row r="285" spans="5:18" x14ac:dyDescent="0.15">
      <c r="E285" s="5"/>
      <c r="H285" s="19">
        <v>283</v>
      </c>
      <c r="I285">
        <v>123014</v>
      </c>
      <c r="J285" t="s">
        <v>55</v>
      </c>
      <c r="K285">
        <v>137.98500000000001</v>
      </c>
      <c r="L285">
        <v>50.1</v>
      </c>
      <c r="M285">
        <v>188.08500000000001</v>
      </c>
      <c r="N285" s="21">
        <v>1.1603950000000001</v>
      </c>
      <c r="O285" s="5" t="str">
        <f t="shared" si="11"/>
        <v>未买</v>
      </c>
      <c r="R285" s="19">
        <v>283</v>
      </c>
    </row>
    <row r="286" spans="5:18" x14ac:dyDescent="0.15">
      <c r="E286" s="5"/>
      <c r="H286" s="19">
        <v>284</v>
      </c>
      <c r="I286">
        <v>123096</v>
      </c>
      <c r="J286" t="s">
        <v>210</v>
      </c>
      <c r="K286">
        <v>106.1</v>
      </c>
      <c r="L286">
        <v>82.05</v>
      </c>
      <c r="M286">
        <v>188.14999999999998</v>
      </c>
      <c r="N286" s="21">
        <v>8.1692879999999999</v>
      </c>
      <c r="O286" s="5" t="str">
        <f t="shared" si="11"/>
        <v>未买</v>
      </c>
      <c r="R286" s="19">
        <v>284</v>
      </c>
    </row>
    <row r="287" spans="5:18" x14ac:dyDescent="0.15">
      <c r="E287" s="5"/>
      <c r="H287" s="19">
        <v>285</v>
      </c>
      <c r="I287" s="7">
        <v>113542</v>
      </c>
      <c r="J287" s="7" t="s">
        <v>178</v>
      </c>
      <c r="K287" s="7">
        <v>106.53</v>
      </c>
      <c r="L287" s="7">
        <v>82.13</v>
      </c>
      <c r="M287" s="7">
        <v>188.66</v>
      </c>
      <c r="N287" s="56">
        <v>6.02719</v>
      </c>
      <c r="O287" s="5" t="str">
        <f t="shared" si="11"/>
        <v>未买</v>
      </c>
      <c r="R287" s="19">
        <v>285</v>
      </c>
    </row>
    <row r="288" spans="5:18" x14ac:dyDescent="0.15">
      <c r="E288" s="5"/>
      <c r="H288" s="19">
        <v>286</v>
      </c>
      <c r="I288" s="7">
        <v>128142</v>
      </c>
      <c r="J288" s="7" t="s">
        <v>201</v>
      </c>
      <c r="K288" s="7">
        <v>109.1</v>
      </c>
      <c r="L288" s="7">
        <v>80.72</v>
      </c>
      <c r="M288" s="7">
        <v>189.82</v>
      </c>
      <c r="N288" s="56">
        <v>7.1797839999999997</v>
      </c>
      <c r="O288" s="5" t="str">
        <f t="shared" si="11"/>
        <v>未买</v>
      </c>
      <c r="R288" s="19">
        <v>286</v>
      </c>
    </row>
    <row r="289" spans="5:18" x14ac:dyDescent="0.15">
      <c r="E289" s="5"/>
      <c r="H289" s="19">
        <v>287</v>
      </c>
      <c r="I289" s="7">
        <v>110062</v>
      </c>
      <c r="J289" s="7" t="s">
        <v>1961</v>
      </c>
      <c r="K289" s="7">
        <v>109.42</v>
      </c>
      <c r="L289" s="7">
        <v>81.58</v>
      </c>
      <c r="M289" s="7">
        <v>191</v>
      </c>
      <c r="N289" s="56">
        <v>30.87631</v>
      </c>
      <c r="O289" s="5" t="str">
        <f t="shared" si="11"/>
        <v>未买</v>
      </c>
      <c r="R289" s="19">
        <v>287</v>
      </c>
    </row>
    <row r="290" spans="5:18" x14ac:dyDescent="0.15">
      <c r="E290" s="5"/>
      <c r="H290" s="19">
        <v>288</v>
      </c>
      <c r="I290" s="7">
        <v>123022</v>
      </c>
      <c r="J290" s="7" t="s">
        <v>1920</v>
      </c>
      <c r="K290" s="7">
        <v>150.5</v>
      </c>
      <c r="L290" s="7">
        <v>41.38</v>
      </c>
      <c r="M290" s="7">
        <v>191.88</v>
      </c>
      <c r="N290" s="56">
        <v>2.5627830000000005</v>
      </c>
      <c r="O290" s="5" t="str">
        <f t="shared" si="11"/>
        <v>未买</v>
      </c>
      <c r="R290" s="19">
        <v>288</v>
      </c>
    </row>
    <row r="291" spans="5:18" x14ac:dyDescent="0.15">
      <c r="E291" s="5"/>
      <c r="H291" s="19">
        <v>289</v>
      </c>
      <c r="I291" s="7">
        <v>110059</v>
      </c>
      <c r="J291" s="7" t="s">
        <v>1963</v>
      </c>
      <c r="K291" s="7">
        <v>106.49</v>
      </c>
      <c r="L291" s="7">
        <v>85.94</v>
      </c>
      <c r="M291" s="7">
        <v>192.43</v>
      </c>
      <c r="N291" s="56">
        <v>499.98649</v>
      </c>
      <c r="O291" s="5" t="str">
        <f t="shared" si="11"/>
        <v>未买</v>
      </c>
      <c r="R291" s="19">
        <v>289</v>
      </c>
    </row>
    <row r="292" spans="5:18" x14ac:dyDescent="0.15">
      <c r="E292" s="5"/>
      <c r="H292" s="19">
        <v>290</v>
      </c>
      <c r="I292" s="7">
        <v>123128</v>
      </c>
      <c r="J292" s="7" t="s">
        <v>1967</v>
      </c>
      <c r="K292" s="7">
        <v>103.843</v>
      </c>
      <c r="L292" s="7">
        <v>88.67</v>
      </c>
      <c r="M292" s="7">
        <v>192.51300000000001</v>
      </c>
      <c r="N292" s="56">
        <v>13.794491000000001</v>
      </c>
      <c r="O292" s="5" t="str">
        <f t="shared" si="11"/>
        <v>未买</v>
      </c>
      <c r="R292" s="19">
        <v>290</v>
      </c>
    </row>
    <row r="293" spans="5:18" x14ac:dyDescent="0.15">
      <c r="E293" s="5"/>
      <c r="H293" s="19">
        <v>291</v>
      </c>
      <c r="I293" s="7">
        <v>110081</v>
      </c>
      <c r="J293" s="7" t="s">
        <v>1960</v>
      </c>
      <c r="K293" s="7">
        <v>114</v>
      </c>
      <c r="L293" s="7">
        <v>78.52</v>
      </c>
      <c r="M293" s="7">
        <v>192.51999999999998</v>
      </c>
      <c r="N293" s="56">
        <v>85.983620000000002</v>
      </c>
      <c r="O293" s="5" t="str">
        <f t="shared" si="11"/>
        <v>未买</v>
      </c>
      <c r="R293" s="19">
        <v>291</v>
      </c>
    </row>
    <row r="294" spans="5:18" x14ac:dyDescent="0.15">
      <c r="E294" s="5"/>
      <c r="H294" s="19">
        <v>292</v>
      </c>
      <c r="I294" s="7">
        <v>123122</v>
      </c>
      <c r="J294" s="7" t="s">
        <v>177</v>
      </c>
      <c r="K294" s="7">
        <v>113.44</v>
      </c>
      <c r="L294" s="7">
        <v>79.209999999999994</v>
      </c>
      <c r="M294" s="7">
        <v>192.64999999999998</v>
      </c>
      <c r="N294" s="56">
        <v>5.8082830000000003</v>
      </c>
      <c r="O294" s="5" t="str">
        <f t="shared" si="11"/>
        <v>未买</v>
      </c>
      <c r="R294" s="19">
        <v>292</v>
      </c>
    </row>
    <row r="295" spans="5:18" x14ac:dyDescent="0.15">
      <c r="E295" s="5"/>
      <c r="H295" s="19">
        <v>293</v>
      </c>
      <c r="I295" s="7">
        <v>128015</v>
      </c>
      <c r="J295" s="7" t="s">
        <v>163</v>
      </c>
      <c r="K295" s="7">
        <v>111.208</v>
      </c>
      <c r="L295" s="7">
        <v>81.53</v>
      </c>
      <c r="M295" s="7">
        <v>192.738</v>
      </c>
      <c r="N295" s="56">
        <v>7.7922979999999997</v>
      </c>
      <c r="O295" s="5" t="str">
        <f t="shared" si="11"/>
        <v>未买</v>
      </c>
      <c r="R295" s="19">
        <v>293</v>
      </c>
    </row>
    <row r="296" spans="5:18" x14ac:dyDescent="0.15">
      <c r="E296" s="5"/>
      <c r="H296" s="19">
        <v>294</v>
      </c>
      <c r="I296" s="7">
        <v>128117</v>
      </c>
      <c r="J296" s="7" t="s">
        <v>155</v>
      </c>
      <c r="K296" s="7">
        <v>111.26900000000001</v>
      </c>
      <c r="L296" s="7">
        <v>82.29</v>
      </c>
      <c r="M296" s="7">
        <v>193.55900000000003</v>
      </c>
      <c r="N296" s="56">
        <v>3.5988820000000001</v>
      </c>
      <c r="O296" s="5" t="str">
        <f t="shared" si="11"/>
        <v>未买</v>
      </c>
      <c r="R296" s="19">
        <v>294</v>
      </c>
    </row>
    <row r="297" spans="5:18" x14ac:dyDescent="0.15">
      <c r="E297" s="5"/>
      <c r="H297" s="19">
        <v>295</v>
      </c>
      <c r="I297" s="7">
        <v>127024</v>
      </c>
      <c r="J297" s="7" t="s">
        <v>1965</v>
      </c>
      <c r="K297" s="7">
        <v>106.255</v>
      </c>
      <c r="L297" s="7">
        <v>87.96</v>
      </c>
      <c r="M297" s="7">
        <v>194.21499999999997</v>
      </c>
      <c r="N297" s="56">
        <v>14.761067000000002</v>
      </c>
      <c r="O297" s="5" t="str">
        <f t="shared" si="11"/>
        <v>未买</v>
      </c>
      <c r="R297" s="19">
        <v>295</v>
      </c>
    </row>
    <row r="298" spans="5:18" x14ac:dyDescent="0.15">
      <c r="E298" s="5"/>
      <c r="H298" s="19">
        <v>296</v>
      </c>
      <c r="I298" s="7">
        <v>113566</v>
      </c>
      <c r="J298" s="7" t="s">
        <v>195</v>
      </c>
      <c r="K298" s="7">
        <v>116.23</v>
      </c>
      <c r="L298" s="7">
        <v>78.08</v>
      </c>
      <c r="M298" s="7">
        <v>194.31</v>
      </c>
      <c r="N298" s="56">
        <v>1.6127199999999999</v>
      </c>
      <c r="O298" s="5" t="str">
        <f t="shared" si="11"/>
        <v>未买</v>
      </c>
      <c r="R298" s="19">
        <v>296</v>
      </c>
    </row>
    <row r="299" spans="5:18" x14ac:dyDescent="0.15">
      <c r="E299" s="5"/>
      <c r="H299" s="19">
        <v>297</v>
      </c>
      <c r="I299" s="7">
        <v>128014</v>
      </c>
      <c r="J299" s="7" t="s">
        <v>189</v>
      </c>
      <c r="K299" s="7">
        <v>110.08199999999999</v>
      </c>
      <c r="L299" s="7">
        <v>84.27</v>
      </c>
      <c r="M299" s="7">
        <v>194.35199999999998</v>
      </c>
      <c r="N299" s="56">
        <v>3.3698380000000001</v>
      </c>
      <c r="O299" s="5" t="str">
        <f t="shared" si="11"/>
        <v>未买</v>
      </c>
      <c r="R299" s="19">
        <v>297</v>
      </c>
    </row>
    <row r="300" spans="5:18" x14ac:dyDescent="0.15">
      <c r="E300" s="5"/>
      <c r="H300" s="19">
        <v>298</v>
      </c>
      <c r="I300" s="7">
        <v>123056</v>
      </c>
      <c r="J300" s="7" t="s">
        <v>158</v>
      </c>
      <c r="K300" s="7">
        <v>107.47199999999999</v>
      </c>
      <c r="L300" s="7">
        <v>86.97</v>
      </c>
      <c r="M300" s="7">
        <v>194.44200000000001</v>
      </c>
      <c r="N300" s="56">
        <v>5.8400559999999997</v>
      </c>
      <c r="O300" s="5" t="str">
        <f t="shared" si="11"/>
        <v>未买</v>
      </c>
      <c r="R300" s="19">
        <v>298</v>
      </c>
    </row>
    <row r="301" spans="5:18" x14ac:dyDescent="0.15">
      <c r="E301" s="5"/>
      <c r="H301" s="19">
        <v>299</v>
      </c>
      <c r="I301" s="7">
        <v>127053</v>
      </c>
      <c r="J301" s="7" t="s">
        <v>793</v>
      </c>
      <c r="K301" s="7">
        <v>108.3</v>
      </c>
      <c r="L301" s="7">
        <v>86.53</v>
      </c>
      <c r="M301" s="7">
        <v>194.82999999999998</v>
      </c>
      <c r="N301" s="56">
        <v>8.24</v>
      </c>
      <c r="O301" s="5" t="str">
        <f t="shared" si="11"/>
        <v>未买</v>
      </c>
      <c r="R301" s="19">
        <v>299</v>
      </c>
    </row>
    <row r="302" spans="5:18" x14ac:dyDescent="0.15">
      <c r="E302" s="5"/>
      <c r="H302" s="19">
        <v>300</v>
      </c>
      <c r="I302" s="7">
        <v>123088</v>
      </c>
      <c r="J302" s="7" t="s">
        <v>238</v>
      </c>
      <c r="K302" s="7">
        <v>111.687</v>
      </c>
      <c r="L302" s="7">
        <v>83.82</v>
      </c>
      <c r="M302" s="7">
        <v>195.50700000000001</v>
      </c>
      <c r="N302" s="56">
        <v>3.0117950000000002</v>
      </c>
      <c r="O302" s="5" t="str">
        <f t="shared" si="11"/>
        <v>未买</v>
      </c>
      <c r="R302" s="19">
        <v>300</v>
      </c>
    </row>
    <row r="303" spans="5:18" x14ac:dyDescent="0.15">
      <c r="E303" s="5"/>
      <c r="H303" s="19">
        <v>301</v>
      </c>
      <c r="I303" s="7">
        <v>113622</v>
      </c>
      <c r="J303" s="7" t="s">
        <v>1964</v>
      </c>
      <c r="K303" s="7">
        <v>109.57</v>
      </c>
      <c r="L303" s="7">
        <v>86.98</v>
      </c>
      <c r="M303" s="7">
        <v>196.55</v>
      </c>
      <c r="N303" s="56">
        <v>11.49971</v>
      </c>
      <c r="O303" s="5" t="str">
        <f t="shared" si="11"/>
        <v>未买</v>
      </c>
      <c r="R303" s="19">
        <v>301</v>
      </c>
    </row>
    <row r="304" spans="5:18" x14ac:dyDescent="0.15">
      <c r="E304" s="5"/>
      <c r="H304" s="19">
        <v>302</v>
      </c>
      <c r="I304" s="7">
        <v>111002</v>
      </c>
      <c r="J304" s="7" t="s">
        <v>249</v>
      </c>
      <c r="K304" s="7">
        <v>141.38900000000001</v>
      </c>
      <c r="L304" s="7">
        <v>55.53</v>
      </c>
      <c r="M304" s="7">
        <v>196.91900000000001</v>
      </c>
      <c r="N304" s="56">
        <v>1.4565429999999999</v>
      </c>
      <c r="O304" s="5" t="str">
        <f t="shared" si="11"/>
        <v>未买</v>
      </c>
      <c r="R304" s="19">
        <v>302</v>
      </c>
    </row>
    <row r="305" spans="5:18" x14ac:dyDescent="0.15">
      <c r="E305" s="5"/>
      <c r="H305" s="19">
        <v>303</v>
      </c>
      <c r="I305" s="7">
        <v>128036</v>
      </c>
      <c r="J305" s="7" t="s">
        <v>182</v>
      </c>
      <c r="K305" s="7">
        <v>141.38900000000001</v>
      </c>
      <c r="L305" s="7">
        <v>55.53</v>
      </c>
      <c r="M305" s="7">
        <v>196.91900000000001</v>
      </c>
      <c r="N305" s="56">
        <v>1.4565429999999999</v>
      </c>
      <c r="O305" s="5" t="str">
        <f t="shared" si="11"/>
        <v>未买</v>
      </c>
      <c r="R305" s="19">
        <v>303</v>
      </c>
    </row>
    <row r="306" spans="5:18" x14ac:dyDescent="0.15">
      <c r="E306" s="5"/>
      <c r="H306" s="19">
        <v>304</v>
      </c>
      <c r="I306" s="7">
        <v>113585</v>
      </c>
      <c r="J306" s="7" t="s">
        <v>1834</v>
      </c>
      <c r="K306" s="7">
        <v>190.61</v>
      </c>
      <c r="L306" s="7">
        <v>8.5500000000000007</v>
      </c>
      <c r="M306" s="7">
        <v>199.16000000000003</v>
      </c>
      <c r="N306" s="56">
        <v>1.0027999999999999</v>
      </c>
      <c r="O306" s="5" t="str">
        <f t="shared" si="11"/>
        <v>未买</v>
      </c>
      <c r="R306" s="19">
        <v>304</v>
      </c>
    </row>
    <row r="307" spans="5:18" x14ac:dyDescent="0.15">
      <c r="E307" s="5"/>
      <c r="H307" s="19">
        <v>305</v>
      </c>
      <c r="I307" s="7">
        <v>113608</v>
      </c>
      <c r="J307" s="7" t="s">
        <v>66</v>
      </c>
      <c r="K307" s="7">
        <v>108.51</v>
      </c>
      <c r="L307" s="7">
        <v>90.7</v>
      </c>
      <c r="M307" s="7">
        <v>199.21</v>
      </c>
      <c r="N307" s="56">
        <v>4.1998600000000001</v>
      </c>
      <c r="O307" s="5" t="str">
        <f t="shared" si="11"/>
        <v>未买</v>
      </c>
      <c r="R307" s="19">
        <v>305</v>
      </c>
    </row>
    <row r="308" spans="5:18" x14ac:dyDescent="0.15">
      <c r="E308" s="5"/>
      <c r="H308" s="19">
        <v>306</v>
      </c>
      <c r="I308" s="7">
        <v>128122</v>
      </c>
      <c r="J308" s="7" t="s">
        <v>203</v>
      </c>
      <c r="K308" s="7">
        <v>117.01</v>
      </c>
      <c r="L308" s="7">
        <v>82.51</v>
      </c>
      <c r="M308" s="7">
        <v>199.52</v>
      </c>
      <c r="N308" s="56">
        <v>2.6856960000000001</v>
      </c>
      <c r="O308" s="5" t="str">
        <f t="shared" si="11"/>
        <v>未买</v>
      </c>
      <c r="R308" s="19">
        <v>306</v>
      </c>
    </row>
    <row r="309" spans="5:18" x14ac:dyDescent="0.15">
      <c r="E309" s="5"/>
      <c r="H309" s="19">
        <v>307</v>
      </c>
      <c r="I309" s="7">
        <v>123108</v>
      </c>
      <c r="J309" s="7" t="s">
        <v>1966</v>
      </c>
      <c r="K309" s="7">
        <v>111.73</v>
      </c>
      <c r="L309" s="7">
        <v>88.03</v>
      </c>
      <c r="M309" s="7">
        <v>199.76</v>
      </c>
      <c r="N309" s="56">
        <v>16.377645999999999</v>
      </c>
      <c r="O309" s="5" t="str">
        <f t="shared" si="11"/>
        <v>未买</v>
      </c>
      <c r="R309" s="19">
        <v>307</v>
      </c>
    </row>
    <row r="310" spans="5:18" x14ac:dyDescent="0.15">
      <c r="E310" s="5"/>
      <c r="H310" s="19">
        <v>308</v>
      </c>
      <c r="I310" s="7">
        <v>128116</v>
      </c>
      <c r="J310" s="7" t="s">
        <v>185</v>
      </c>
      <c r="K310" s="7">
        <v>106.282</v>
      </c>
      <c r="L310" s="7">
        <v>93.49</v>
      </c>
      <c r="M310" s="7">
        <v>199.77199999999999</v>
      </c>
      <c r="N310" s="56">
        <v>6.4919989999999999</v>
      </c>
      <c r="O310" s="5" t="str">
        <f t="shared" si="11"/>
        <v>未买</v>
      </c>
      <c r="R310" s="19">
        <v>308</v>
      </c>
    </row>
    <row r="311" spans="5:18" x14ac:dyDescent="0.15">
      <c r="E311" s="5"/>
      <c r="H311" s="19">
        <v>309</v>
      </c>
      <c r="I311" s="7">
        <v>128063</v>
      </c>
      <c r="J311" s="7" t="s">
        <v>206</v>
      </c>
      <c r="K311" s="7">
        <v>114.11499999999999</v>
      </c>
      <c r="L311" s="7">
        <v>86.04</v>
      </c>
      <c r="M311" s="7">
        <v>200.155</v>
      </c>
      <c r="N311" s="56">
        <v>6.293526</v>
      </c>
      <c r="O311" s="5" t="str">
        <f t="shared" si="11"/>
        <v>未买</v>
      </c>
      <c r="R311" s="19">
        <v>309</v>
      </c>
    </row>
    <row r="312" spans="5:18" x14ac:dyDescent="0.15">
      <c r="E312" s="5"/>
      <c r="H312" s="19">
        <v>310</v>
      </c>
      <c r="I312" s="7">
        <v>113638</v>
      </c>
      <c r="J312" s="7" t="s">
        <v>277</v>
      </c>
      <c r="K312" s="7">
        <v>117.18</v>
      </c>
      <c r="L312" s="7">
        <v>83.21</v>
      </c>
      <c r="M312" s="7">
        <v>200.39</v>
      </c>
      <c r="N312" s="56">
        <v>6</v>
      </c>
      <c r="O312" s="5" t="str">
        <f t="shared" si="11"/>
        <v>未买</v>
      </c>
      <c r="R312" s="19">
        <v>310</v>
      </c>
    </row>
    <row r="313" spans="5:18" x14ac:dyDescent="0.15">
      <c r="E313" s="5"/>
      <c r="H313" s="19">
        <v>311</v>
      </c>
      <c r="I313" s="7">
        <v>123093</v>
      </c>
      <c r="J313" s="7" t="s">
        <v>143</v>
      </c>
      <c r="K313" s="7">
        <v>117.9</v>
      </c>
      <c r="L313" s="7">
        <v>82.96</v>
      </c>
      <c r="M313" s="7">
        <v>200.86</v>
      </c>
      <c r="N313" s="56">
        <v>2.4998309999999999</v>
      </c>
      <c r="O313" s="5" t="str">
        <f t="shared" si="11"/>
        <v>未买</v>
      </c>
      <c r="R313" s="19">
        <v>311</v>
      </c>
    </row>
    <row r="314" spans="5:18" x14ac:dyDescent="0.15">
      <c r="E314" s="5"/>
      <c r="H314" s="19">
        <v>312</v>
      </c>
      <c r="I314" s="7">
        <v>123099</v>
      </c>
      <c r="J314" s="7" t="s">
        <v>245</v>
      </c>
      <c r="K314" s="7">
        <v>110.351</v>
      </c>
      <c r="L314" s="7">
        <v>91.02</v>
      </c>
      <c r="M314" s="7">
        <v>201.37099999999998</v>
      </c>
      <c r="N314" s="56">
        <v>8.4993130000000008</v>
      </c>
      <c r="O314" s="5" t="str">
        <f t="shared" si="11"/>
        <v>未买</v>
      </c>
      <c r="R314" s="19">
        <v>312</v>
      </c>
    </row>
    <row r="315" spans="5:18" x14ac:dyDescent="0.15">
      <c r="E315" s="5"/>
      <c r="H315" s="19">
        <v>313</v>
      </c>
      <c r="I315" s="7">
        <v>118006</v>
      </c>
      <c r="J315" s="7" t="s">
        <v>810</v>
      </c>
      <c r="K315" s="7">
        <v>110.351</v>
      </c>
      <c r="L315" s="7">
        <v>91.02</v>
      </c>
      <c r="M315" s="7">
        <v>201.37099999999998</v>
      </c>
      <c r="N315" s="56">
        <v>8.4993130000000008</v>
      </c>
      <c r="O315" s="5" t="str">
        <f t="shared" si="11"/>
        <v>未买</v>
      </c>
      <c r="R315" s="19">
        <v>313</v>
      </c>
    </row>
    <row r="316" spans="5:18" x14ac:dyDescent="0.15">
      <c r="E316" s="5"/>
      <c r="H316" s="19">
        <v>314</v>
      </c>
      <c r="I316" s="7">
        <v>128131</v>
      </c>
      <c r="J316" s="7" t="s">
        <v>1968</v>
      </c>
      <c r="K316" s="7">
        <v>110.886</v>
      </c>
      <c r="L316" s="7">
        <v>90.69</v>
      </c>
      <c r="M316" s="7">
        <v>201.57599999999999</v>
      </c>
      <c r="N316" s="56">
        <v>13.997867000000003</v>
      </c>
      <c r="O316" s="5" t="str">
        <f t="shared" si="11"/>
        <v>未买</v>
      </c>
      <c r="R316" s="19">
        <v>314</v>
      </c>
    </row>
    <row r="317" spans="5:18" x14ac:dyDescent="0.15">
      <c r="E317" s="5"/>
      <c r="H317" s="19">
        <v>315</v>
      </c>
      <c r="I317" s="7">
        <v>128035</v>
      </c>
      <c r="J317" s="7" t="s">
        <v>1970</v>
      </c>
      <c r="K317" s="7">
        <v>108.004</v>
      </c>
      <c r="L317" s="7">
        <v>94.78</v>
      </c>
      <c r="M317" s="7">
        <v>202.78399999999999</v>
      </c>
      <c r="N317" s="56">
        <v>22.995426999999999</v>
      </c>
      <c r="O317" s="5" t="str">
        <f t="shared" si="11"/>
        <v>未买</v>
      </c>
      <c r="R317" s="19">
        <v>315</v>
      </c>
    </row>
    <row r="318" spans="5:18" x14ac:dyDescent="0.15">
      <c r="E318" s="5"/>
      <c r="H318" s="19">
        <v>316</v>
      </c>
      <c r="I318" s="7">
        <v>113639</v>
      </c>
      <c r="J318" s="7" t="s">
        <v>792</v>
      </c>
      <c r="K318" s="7">
        <v>105.9</v>
      </c>
      <c r="L318" s="7">
        <v>97.06</v>
      </c>
      <c r="M318" s="7">
        <v>202.96</v>
      </c>
      <c r="N318" s="56">
        <v>5.7</v>
      </c>
      <c r="O318" s="5" t="str">
        <f t="shared" si="11"/>
        <v>未买</v>
      </c>
      <c r="R318" s="19">
        <v>316</v>
      </c>
    </row>
    <row r="319" spans="5:18" x14ac:dyDescent="0.15">
      <c r="E319" s="5"/>
      <c r="H319" s="19">
        <v>317</v>
      </c>
      <c r="I319" s="7">
        <v>110048</v>
      </c>
      <c r="J319" s="7" t="s">
        <v>1863</v>
      </c>
      <c r="K319" s="7">
        <v>186.17</v>
      </c>
      <c r="L319" s="7">
        <v>16.82</v>
      </c>
      <c r="M319" s="7">
        <v>202.98999999999998</v>
      </c>
      <c r="N319" s="56">
        <v>12.761939999999999</v>
      </c>
      <c r="O319" s="5" t="str">
        <f t="shared" si="11"/>
        <v>未买</v>
      </c>
      <c r="R319" s="19">
        <v>317</v>
      </c>
    </row>
    <row r="320" spans="5:18" x14ac:dyDescent="0.15">
      <c r="E320" s="5"/>
      <c r="H320" s="19">
        <v>318</v>
      </c>
      <c r="I320" s="7">
        <v>113604</v>
      </c>
      <c r="J320" s="7" t="s">
        <v>162</v>
      </c>
      <c r="K320" s="7">
        <v>103.78</v>
      </c>
      <c r="L320" s="7">
        <v>99.88</v>
      </c>
      <c r="M320" s="7">
        <v>203.66</v>
      </c>
      <c r="N320" s="56">
        <v>6.3989599999999998</v>
      </c>
      <c r="O320" s="5" t="str">
        <f t="shared" si="11"/>
        <v>未买</v>
      </c>
      <c r="R320" s="19">
        <v>318</v>
      </c>
    </row>
    <row r="321" spans="5:18" x14ac:dyDescent="0.15">
      <c r="E321" s="5"/>
      <c r="H321" s="19">
        <v>319</v>
      </c>
      <c r="I321" s="7">
        <v>113027</v>
      </c>
      <c r="J321" s="7" t="s">
        <v>1884</v>
      </c>
      <c r="K321" s="7">
        <v>180.4</v>
      </c>
      <c r="L321" s="7">
        <v>23.46</v>
      </c>
      <c r="M321" s="7">
        <v>203.86</v>
      </c>
      <c r="N321" s="56">
        <v>2.38733</v>
      </c>
      <c r="O321" s="5" t="str">
        <f t="shared" si="11"/>
        <v>未买</v>
      </c>
      <c r="R321" s="19">
        <v>319</v>
      </c>
    </row>
    <row r="322" spans="5:18" x14ac:dyDescent="0.15">
      <c r="E322" s="5"/>
      <c r="H322" s="19">
        <v>320</v>
      </c>
      <c r="I322" s="7">
        <v>113626</v>
      </c>
      <c r="J322" s="7" t="s">
        <v>1841</v>
      </c>
      <c r="K322" s="7">
        <v>193.75</v>
      </c>
      <c r="L322" s="7">
        <v>10.39</v>
      </c>
      <c r="M322" s="7">
        <v>204.14</v>
      </c>
      <c r="N322" s="56">
        <v>9.0150299999999994</v>
      </c>
      <c r="O322" s="5" t="str">
        <f t="shared" si="11"/>
        <v>未买</v>
      </c>
      <c r="R322" s="19">
        <v>320</v>
      </c>
    </row>
    <row r="323" spans="5:18" x14ac:dyDescent="0.15">
      <c r="E323" s="5"/>
      <c r="H323" s="19">
        <v>321</v>
      </c>
      <c r="I323" s="7">
        <v>113594</v>
      </c>
      <c r="J323" s="7" t="s">
        <v>76</v>
      </c>
      <c r="K323" s="7">
        <v>114.91</v>
      </c>
      <c r="L323" s="7">
        <v>90.25</v>
      </c>
      <c r="M323" s="7">
        <v>205.16</v>
      </c>
      <c r="N323" s="56">
        <v>2.9975299999999998</v>
      </c>
      <c r="O323" s="5" t="str">
        <f t="shared" si="11"/>
        <v>未买</v>
      </c>
      <c r="R323" s="19">
        <v>321</v>
      </c>
    </row>
    <row r="324" spans="5:18" x14ac:dyDescent="0.15">
      <c r="E324" s="5"/>
      <c r="H324" s="19">
        <v>322</v>
      </c>
      <c r="I324" s="7">
        <v>128017</v>
      </c>
      <c r="J324" s="7" t="s">
        <v>1851</v>
      </c>
      <c r="K324" s="7">
        <v>192.3</v>
      </c>
      <c r="L324" s="7">
        <v>13.91</v>
      </c>
      <c r="M324" s="7">
        <v>206.21</v>
      </c>
      <c r="N324" s="56">
        <v>5.5183169999999997</v>
      </c>
      <c r="O324" s="5" t="str">
        <f t="shared" ref="O324:O387" si="12">IF(ISNA(MATCH(I324,$A$3:$A$1000,0)),"未买","Yes")</f>
        <v>未买</v>
      </c>
      <c r="R324" s="19">
        <v>322</v>
      </c>
    </row>
    <row r="325" spans="5:18" x14ac:dyDescent="0.15">
      <c r="E325" s="5"/>
      <c r="H325" s="19">
        <v>323</v>
      </c>
      <c r="I325" s="7">
        <v>113616</v>
      </c>
      <c r="J325" s="7" t="s">
        <v>1962</v>
      </c>
      <c r="K325" s="7">
        <v>123.08</v>
      </c>
      <c r="L325" s="7">
        <v>83.43</v>
      </c>
      <c r="M325" s="7">
        <v>206.51</v>
      </c>
      <c r="N325" s="56">
        <v>24.333829999999999</v>
      </c>
      <c r="O325" s="5" t="str">
        <f t="shared" si="12"/>
        <v>未买</v>
      </c>
      <c r="R325" s="19">
        <v>323</v>
      </c>
    </row>
    <row r="326" spans="5:18" x14ac:dyDescent="0.15">
      <c r="E326" s="5"/>
      <c r="H326" s="19">
        <v>324</v>
      </c>
      <c r="I326" s="7">
        <v>123126</v>
      </c>
      <c r="J326" s="7" t="s">
        <v>184</v>
      </c>
      <c r="K326" s="7">
        <v>112.8</v>
      </c>
      <c r="L326" s="7">
        <v>93.81</v>
      </c>
      <c r="M326" s="7">
        <v>206.61</v>
      </c>
      <c r="N326" s="56">
        <v>3.399826</v>
      </c>
      <c r="O326" s="5" t="str">
        <f t="shared" si="12"/>
        <v>未买</v>
      </c>
      <c r="R326" s="19">
        <v>324</v>
      </c>
    </row>
    <row r="327" spans="5:18" x14ac:dyDescent="0.15">
      <c r="E327" s="5"/>
      <c r="H327" s="19">
        <v>325</v>
      </c>
      <c r="I327" s="7">
        <v>123109</v>
      </c>
      <c r="J327" s="7" t="s">
        <v>1971</v>
      </c>
      <c r="K327" s="7">
        <v>111.018</v>
      </c>
      <c r="L327" s="7">
        <v>96.14</v>
      </c>
      <c r="M327" s="7">
        <v>207.15800000000002</v>
      </c>
      <c r="N327" s="56">
        <v>4.5957910000000002</v>
      </c>
      <c r="O327" s="5" t="str">
        <f t="shared" si="12"/>
        <v>未买</v>
      </c>
      <c r="R327" s="19">
        <v>325</v>
      </c>
    </row>
    <row r="328" spans="5:18" x14ac:dyDescent="0.15">
      <c r="E328" s="5"/>
      <c r="H328" s="19">
        <v>326</v>
      </c>
      <c r="I328" s="7">
        <v>113595</v>
      </c>
      <c r="J328" s="7" t="s">
        <v>141</v>
      </c>
      <c r="K328" s="7">
        <v>112.87</v>
      </c>
      <c r="L328" s="7">
        <v>94.77</v>
      </c>
      <c r="M328" s="7">
        <v>207.64</v>
      </c>
      <c r="N328" s="56">
        <v>3.2978900000000002</v>
      </c>
      <c r="O328" s="5" t="str">
        <f t="shared" si="12"/>
        <v>未买</v>
      </c>
      <c r="R328" s="19">
        <v>326</v>
      </c>
    </row>
    <row r="329" spans="5:18" x14ac:dyDescent="0.15">
      <c r="E329" s="5"/>
      <c r="H329" s="19">
        <v>327</v>
      </c>
      <c r="I329" s="7">
        <v>123119</v>
      </c>
      <c r="J329" s="7" t="s">
        <v>1973</v>
      </c>
      <c r="K329" s="7">
        <v>111.5</v>
      </c>
      <c r="L329" s="7">
        <v>96.51</v>
      </c>
      <c r="M329" s="7">
        <v>208.01</v>
      </c>
      <c r="N329" s="56">
        <v>19.997641000000002</v>
      </c>
      <c r="O329" s="5" t="str">
        <f t="shared" si="12"/>
        <v>未买</v>
      </c>
      <c r="R329" s="19">
        <v>327</v>
      </c>
    </row>
    <row r="330" spans="5:18" x14ac:dyDescent="0.15">
      <c r="E330" s="5"/>
      <c r="H330" s="19">
        <v>328</v>
      </c>
      <c r="I330" s="7">
        <v>118004</v>
      </c>
      <c r="J330" s="7" t="s">
        <v>279</v>
      </c>
      <c r="K330" s="7">
        <v>111.87</v>
      </c>
      <c r="L330" s="7">
        <v>96.19</v>
      </c>
      <c r="M330" s="7">
        <v>208.06</v>
      </c>
      <c r="N330" s="56">
        <v>18.424399999999999</v>
      </c>
      <c r="O330" s="5" t="str">
        <f t="shared" si="12"/>
        <v>未买</v>
      </c>
      <c r="R330" s="19">
        <v>328</v>
      </c>
    </row>
    <row r="331" spans="5:18" x14ac:dyDescent="0.15">
      <c r="E331" s="5"/>
      <c r="H331" s="19">
        <v>329</v>
      </c>
      <c r="I331" s="7">
        <v>110076</v>
      </c>
      <c r="J331" s="7" t="s">
        <v>1972</v>
      </c>
      <c r="K331" s="7">
        <v>111.87</v>
      </c>
      <c r="L331" s="7">
        <v>96.19</v>
      </c>
      <c r="M331" s="7">
        <v>208.06</v>
      </c>
      <c r="N331" s="56">
        <v>18.424399999999999</v>
      </c>
      <c r="O331" s="5" t="str">
        <f t="shared" si="12"/>
        <v>未买</v>
      </c>
      <c r="R331" s="19">
        <v>329</v>
      </c>
    </row>
    <row r="332" spans="5:18" x14ac:dyDescent="0.15">
      <c r="E332" s="5"/>
      <c r="H332" s="19">
        <v>330</v>
      </c>
      <c r="I332" s="7">
        <v>113582</v>
      </c>
      <c r="J332" s="7" t="s">
        <v>1867</v>
      </c>
      <c r="K332" s="7">
        <v>191.24</v>
      </c>
      <c r="L332" s="7">
        <v>18.52</v>
      </c>
      <c r="M332" s="7">
        <v>209.76000000000002</v>
      </c>
      <c r="N332" s="56">
        <v>4.1769800000000004</v>
      </c>
      <c r="O332" s="5" t="str">
        <f t="shared" si="12"/>
        <v>未买</v>
      </c>
      <c r="R332" s="19">
        <v>330</v>
      </c>
    </row>
    <row r="333" spans="5:18" x14ac:dyDescent="0.15">
      <c r="E333" s="5"/>
      <c r="H333" s="19">
        <v>331</v>
      </c>
      <c r="I333" s="7">
        <v>123073</v>
      </c>
      <c r="J333" s="7" t="s">
        <v>1838</v>
      </c>
      <c r="K333" s="7">
        <v>201.46299999999999</v>
      </c>
      <c r="L333" s="7">
        <v>9.09</v>
      </c>
      <c r="M333" s="7">
        <v>210.553</v>
      </c>
      <c r="N333" s="56">
        <v>2.5521029999999998</v>
      </c>
      <c r="O333" s="5" t="str">
        <f t="shared" si="12"/>
        <v>未买</v>
      </c>
      <c r="R333" s="19">
        <v>331</v>
      </c>
    </row>
    <row r="334" spans="5:18" x14ac:dyDescent="0.15">
      <c r="E334" s="5"/>
      <c r="H334" s="19">
        <v>332</v>
      </c>
      <c r="I334" s="7">
        <v>128072</v>
      </c>
      <c r="J334" s="7" t="s">
        <v>156</v>
      </c>
      <c r="K334" s="7">
        <v>108</v>
      </c>
      <c r="L334" s="7">
        <v>102.78</v>
      </c>
      <c r="M334" s="7">
        <v>210.78</v>
      </c>
      <c r="N334" s="56">
        <v>3.017925</v>
      </c>
      <c r="O334" s="5" t="str">
        <f t="shared" si="12"/>
        <v>未买</v>
      </c>
      <c r="R334" s="19">
        <v>332</v>
      </c>
    </row>
    <row r="335" spans="5:18" x14ac:dyDescent="0.15">
      <c r="E335" s="5"/>
      <c r="H335" s="19">
        <v>333</v>
      </c>
      <c r="I335" s="7">
        <v>128079</v>
      </c>
      <c r="J335" s="7" t="s">
        <v>94</v>
      </c>
      <c r="K335" s="7">
        <v>134</v>
      </c>
      <c r="L335" s="7">
        <v>77.180000000000007</v>
      </c>
      <c r="M335" s="7">
        <v>211.18</v>
      </c>
      <c r="N335" s="56">
        <v>1.520079</v>
      </c>
      <c r="O335" s="5" t="str">
        <f t="shared" si="12"/>
        <v>未买</v>
      </c>
      <c r="R335" s="19">
        <v>333</v>
      </c>
    </row>
    <row r="336" spans="5:18" x14ac:dyDescent="0.15">
      <c r="E336" s="5"/>
      <c r="H336" s="19">
        <v>334</v>
      </c>
      <c r="I336" s="7">
        <v>113633</v>
      </c>
      <c r="J336" s="7" t="s">
        <v>1974</v>
      </c>
      <c r="K336" s="7">
        <v>111.97</v>
      </c>
      <c r="L336" s="7">
        <v>99.27</v>
      </c>
      <c r="M336" s="7">
        <v>211.24</v>
      </c>
      <c r="N336" s="56">
        <v>10.4</v>
      </c>
      <c r="O336" s="5" t="str">
        <f t="shared" si="12"/>
        <v>未买</v>
      </c>
      <c r="R336" s="19">
        <v>334</v>
      </c>
    </row>
    <row r="337" spans="5:18" x14ac:dyDescent="0.15">
      <c r="E337" s="5"/>
      <c r="H337" s="19">
        <v>335</v>
      </c>
      <c r="I337" s="7">
        <v>110055</v>
      </c>
      <c r="J337" s="7" t="s">
        <v>1886</v>
      </c>
      <c r="K337" s="7">
        <v>189.01</v>
      </c>
      <c r="L337" s="7">
        <v>24.77</v>
      </c>
      <c r="M337" s="7">
        <v>213.78</v>
      </c>
      <c r="N337" s="56">
        <v>2.4354499999999999</v>
      </c>
      <c r="O337" s="5" t="str">
        <f t="shared" si="12"/>
        <v>未买</v>
      </c>
      <c r="R337" s="19">
        <v>335</v>
      </c>
    </row>
    <row r="338" spans="5:18" x14ac:dyDescent="0.15">
      <c r="E338" s="5"/>
      <c r="H338" s="19">
        <v>336</v>
      </c>
      <c r="I338" s="7">
        <v>123116</v>
      </c>
      <c r="J338" s="7" t="s">
        <v>213</v>
      </c>
      <c r="K338" s="7">
        <v>116.52500000000001</v>
      </c>
      <c r="L338" s="7">
        <v>98</v>
      </c>
      <c r="M338" s="7">
        <v>214.52500000000001</v>
      </c>
      <c r="N338" s="56">
        <v>3.7816160000000005</v>
      </c>
      <c r="O338" s="5" t="str">
        <f t="shared" si="12"/>
        <v>未买</v>
      </c>
      <c r="R338" s="19">
        <v>336</v>
      </c>
    </row>
    <row r="339" spans="5:18" x14ac:dyDescent="0.15">
      <c r="E339" s="5"/>
      <c r="H339" s="19">
        <v>337</v>
      </c>
      <c r="I339" s="7">
        <v>128125</v>
      </c>
      <c r="J339" s="7" t="s">
        <v>150</v>
      </c>
      <c r="K339" s="7">
        <v>107.96</v>
      </c>
      <c r="L339" s="7">
        <v>106.62</v>
      </c>
      <c r="M339" s="7">
        <v>214.57999999999998</v>
      </c>
      <c r="N339" s="56">
        <v>4.4980469999999997</v>
      </c>
      <c r="O339" s="5" t="str">
        <f t="shared" si="12"/>
        <v>未买</v>
      </c>
      <c r="R339" s="19">
        <v>337</v>
      </c>
    </row>
    <row r="340" spans="5:18" x14ac:dyDescent="0.15">
      <c r="E340" s="5"/>
      <c r="H340" s="19">
        <v>338</v>
      </c>
      <c r="I340" s="7">
        <v>128074</v>
      </c>
      <c r="J340" s="7" t="s">
        <v>208</v>
      </c>
      <c r="K340" s="7">
        <v>110.28</v>
      </c>
      <c r="L340" s="7">
        <v>106.32</v>
      </c>
      <c r="M340" s="7">
        <v>216.6</v>
      </c>
      <c r="N340" s="56">
        <v>6.8249360000000001</v>
      </c>
      <c r="O340" s="5" t="str">
        <f t="shared" si="12"/>
        <v>未买</v>
      </c>
      <c r="R340" s="19">
        <v>338</v>
      </c>
    </row>
    <row r="341" spans="5:18" x14ac:dyDescent="0.15">
      <c r="E341" s="5"/>
      <c r="H341" s="19">
        <v>339</v>
      </c>
      <c r="I341" s="7">
        <v>128108</v>
      </c>
      <c r="J341" s="7" t="s">
        <v>1976</v>
      </c>
      <c r="K341" s="7">
        <v>102.2</v>
      </c>
      <c r="L341" s="7">
        <v>115.75</v>
      </c>
      <c r="M341" s="7">
        <v>217.95</v>
      </c>
      <c r="N341" s="56">
        <v>15.214722</v>
      </c>
      <c r="O341" s="5" t="str">
        <f t="shared" si="12"/>
        <v>未买</v>
      </c>
      <c r="R341" s="19">
        <v>339</v>
      </c>
    </row>
    <row r="342" spans="5:18" x14ac:dyDescent="0.15">
      <c r="E342" s="5"/>
      <c r="H342" s="19">
        <v>340</v>
      </c>
      <c r="I342" s="7">
        <v>127041</v>
      </c>
      <c r="J342" s="7" t="s">
        <v>200</v>
      </c>
      <c r="K342" s="7">
        <v>110.776</v>
      </c>
      <c r="L342" s="7">
        <v>108.38</v>
      </c>
      <c r="M342" s="7">
        <v>219.15600000000001</v>
      </c>
      <c r="N342" s="56">
        <v>5.9996049999999999</v>
      </c>
      <c r="O342" s="5" t="str">
        <f t="shared" si="12"/>
        <v>未买</v>
      </c>
      <c r="R342" s="19">
        <v>340</v>
      </c>
    </row>
    <row r="343" spans="5:18" x14ac:dyDescent="0.15">
      <c r="E343" s="5"/>
      <c r="H343" s="19">
        <v>341</v>
      </c>
      <c r="I343" s="7">
        <v>113597</v>
      </c>
      <c r="J343" s="7" t="s">
        <v>157</v>
      </c>
      <c r="K343" s="7">
        <v>128.31</v>
      </c>
      <c r="L343" s="7">
        <v>92.37</v>
      </c>
      <c r="M343" s="7">
        <v>220.68</v>
      </c>
      <c r="N343" s="56">
        <v>2.98447</v>
      </c>
      <c r="O343" s="5" t="str">
        <f t="shared" si="12"/>
        <v>未买</v>
      </c>
      <c r="R343" s="19">
        <v>341</v>
      </c>
    </row>
    <row r="344" spans="5:18" x14ac:dyDescent="0.15">
      <c r="E344" s="5"/>
      <c r="H344" s="19">
        <v>342</v>
      </c>
      <c r="I344" s="7">
        <v>123070</v>
      </c>
      <c r="J344" s="7" t="s">
        <v>1826</v>
      </c>
      <c r="K344" s="7">
        <v>219.99</v>
      </c>
      <c r="L344" s="7">
        <v>2.04</v>
      </c>
      <c r="M344" s="7">
        <v>222.03</v>
      </c>
      <c r="N344" s="56">
        <v>5.5721239999999996</v>
      </c>
      <c r="O344" s="5" t="str">
        <f t="shared" si="12"/>
        <v>未买</v>
      </c>
      <c r="R344" s="19">
        <v>342</v>
      </c>
    </row>
    <row r="345" spans="5:18" x14ac:dyDescent="0.15">
      <c r="E345" s="5"/>
      <c r="H345" s="19">
        <v>343</v>
      </c>
      <c r="I345" s="7">
        <v>127062</v>
      </c>
      <c r="J345" s="7" t="s">
        <v>1958</v>
      </c>
      <c r="K345" s="7">
        <v>145.33000000000001</v>
      </c>
      <c r="L345" s="7">
        <v>78.12</v>
      </c>
      <c r="M345" s="7">
        <v>223.45000000000002</v>
      </c>
      <c r="N345" s="56">
        <v>3.9630000000000001</v>
      </c>
      <c r="O345" s="5" t="str">
        <f t="shared" si="12"/>
        <v>未买</v>
      </c>
      <c r="R345" s="19">
        <v>343</v>
      </c>
    </row>
    <row r="346" spans="5:18" x14ac:dyDescent="0.15">
      <c r="E346" s="5"/>
      <c r="H346" s="19">
        <v>344</v>
      </c>
      <c r="I346" s="7">
        <v>128136</v>
      </c>
      <c r="J346" s="7" t="s">
        <v>1975</v>
      </c>
      <c r="K346" s="7">
        <v>113.5</v>
      </c>
      <c r="L346" s="7">
        <v>111.64</v>
      </c>
      <c r="M346" s="7">
        <v>225.14</v>
      </c>
      <c r="N346" s="56">
        <v>29.993335999999999</v>
      </c>
      <c r="O346" s="5" t="str">
        <f t="shared" si="12"/>
        <v>未买</v>
      </c>
      <c r="R346" s="19">
        <v>344</v>
      </c>
    </row>
    <row r="347" spans="5:18" x14ac:dyDescent="0.15">
      <c r="E347" s="5"/>
      <c r="H347" s="19">
        <v>345</v>
      </c>
      <c r="I347" s="7">
        <v>127044</v>
      </c>
      <c r="J347" s="7" t="s">
        <v>1977</v>
      </c>
      <c r="K347" s="7">
        <v>106.9</v>
      </c>
      <c r="L347" s="7">
        <v>120.69</v>
      </c>
      <c r="M347" s="7">
        <v>227.59</v>
      </c>
      <c r="N347" s="56">
        <v>11.688886999999999</v>
      </c>
      <c r="O347" s="5" t="str">
        <f t="shared" si="12"/>
        <v>未买</v>
      </c>
      <c r="R347" s="19">
        <v>345</v>
      </c>
    </row>
    <row r="348" spans="5:18" x14ac:dyDescent="0.15">
      <c r="E348" s="5"/>
      <c r="H348" s="19">
        <v>346</v>
      </c>
      <c r="I348" s="7">
        <v>123038</v>
      </c>
      <c r="J348" s="7" t="s">
        <v>74</v>
      </c>
      <c r="K348" s="7">
        <v>125.86</v>
      </c>
      <c r="L348" s="7">
        <v>101.96</v>
      </c>
      <c r="M348" s="7">
        <v>227.82</v>
      </c>
      <c r="N348" s="56">
        <v>1.4726779999999999</v>
      </c>
      <c r="O348" s="5" t="str">
        <f t="shared" si="12"/>
        <v>未买</v>
      </c>
      <c r="R348" s="19">
        <v>346</v>
      </c>
    </row>
    <row r="349" spans="5:18" x14ac:dyDescent="0.15">
      <c r="E349" s="5"/>
      <c r="H349" s="19">
        <v>347</v>
      </c>
      <c r="I349" s="7">
        <v>118007</v>
      </c>
      <c r="J349" s="7" t="s">
        <v>819</v>
      </c>
      <c r="K349" s="7">
        <v>125.86</v>
      </c>
      <c r="L349" s="7">
        <v>101.96</v>
      </c>
      <c r="M349" s="7">
        <v>227.82</v>
      </c>
      <c r="N349" s="56">
        <v>1.4726779999999999</v>
      </c>
      <c r="O349" s="5" t="str">
        <f t="shared" si="12"/>
        <v>未买</v>
      </c>
      <c r="R349" s="19">
        <v>347</v>
      </c>
    </row>
    <row r="350" spans="5:18" x14ac:dyDescent="0.15">
      <c r="E350" s="5"/>
      <c r="H350" s="19">
        <v>348</v>
      </c>
      <c r="I350" s="7">
        <v>123124</v>
      </c>
      <c r="J350" s="7" t="s">
        <v>199</v>
      </c>
      <c r="K350" s="7">
        <v>111</v>
      </c>
      <c r="L350" s="7">
        <v>116.88</v>
      </c>
      <c r="M350" s="7">
        <v>227.88</v>
      </c>
      <c r="N350" s="56">
        <v>5.2286279999999996</v>
      </c>
      <c r="O350" s="5" t="str">
        <f t="shared" si="12"/>
        <v>未买</v>
      </c>
      <c r="R350" s="19">
        <v>348</v>
      </c>
    </row>
    <row r="351" spans="5:18" x14ac:dyDescent="0.15">
      <c r="E351" s="5"/>
      <c r="H351" s="19">
        <v>349</v>
      </c>
      <c r="I351" s="7">
        <v>127059</v>
      </c>
      <c r="J351" s="7" t="s">
        <v>1959</v>
      </c>
      <c r="K351" s="7">
        <v>150.45699999999999</v>
      </c>
      <c r="L351" s="7">
        <v>78.22</v>
      </c>
      <c r="M351" s="7">
        <v>228.67699999999999</v>
      </c>
      <c r="N351" s="56">
        <v>3.8</v>
      </c>
      <c r="O351" s="5" t="str">
        <f t="shared" si="12"/>
        <v>未买</v>
      </c>
      <c r="R351" s="19">
        <v>349</v>
      </c>
    </row>
    <row r="352" spans="5:18" x14ac:dyDescent="0.15">
      <c r="E352" s="5"/>
      <c r="H352" s="19">
        <v>350</v>
      </c>
      <c r="I352" s="7">
        <v>128070</v>
      </c>
      <c r="J352" s="7" t="s">
        <v>166</v>
      </c>
      <c r="K352" s="7">
        <v>127</v>
      </c>
      <c r="L352" s="7">
        <v>101.78</v>
      </c>
      <c r="M352" s="7">
        <v>228.78</v>
      </c>
      <c r="N352" s="56">
        <v>2.295811</v>
      </c>
      <c r="O352" s="5" t="str">
        <f t="shared" si="12"/>
        <v>未买</v>
      </c>
      <c r="R352" s="19">
        <v>350</v>
      </c>
    </row>
    <row r="353" spans="5:18" x14ac:dyDescent="0.15">
      <c r="E353" s="5"/>
      <c r="H353" s="19">
        <v>351</v>
      </c>
      <c r="I353" s="7">
        <v>113534</v>
      </c>
      <c r="J353" s="7" t="s">
        <v>828</v>
      </c>
      <c r="K353" s="7">
        <v>220.53</v>
      </c>
      <c r="L353" s="7">
        <v>8.9</v>
      </c>
      <c r="M353" s="7">
        <v>229.43</v>
      </c>
      <c r="N353" s="56">
        <v>4.0375399999999999</v>
      </c>
      <c r="O353" s="5" t="str">
        <f t="shared" si="12"/>
        <v>未买</v>
      </c>
      <c r="R353" s="19">
        <v>351</v>
      </c>
    </row>
    <row r="354" spans="5:18" x14ac:dyDescent="0.15">
      <c r="E354" s="5"/>
      <c r="H354" s="19">
        <v>352</v>
      </c>
      <c r="I354" s="7">
        <v>123090</v>
      </c>
      <c r="J354" s="7" t="s">
        <v>183</v>
      </c>
      <c r="K354" s="7">
        <v>110.495</v>
      </c>
      <c r="L354" s="7">
        <v>119.98</v>
      </c>
      <c r="M354" s="7">
        <v>230.47500000000002</v>
      </c>
      <c r="N354" s="56">
        <v>4.9996939999999999</v>
      </c>
      <c r="O354" s="5" t="str">
        <f t="shared" si="12"/>
        <v>未买</v>
      </c>
      <c r="R354" s="19">
        <v>352</v>
      </c>
    </row>
    <row r="355" spans="5:18" x14ac:dyDescent="0.15">
      <c r="E355" s="5"/>
      <c r="H355" s="19">
        <v>353</v>
      </c>
      <c r="I355" s="7">
        <v>123076</v>
      </c>
      <c r="J355" s="7" t="s">
        <v>161</v>
      </c>
      <c r="K355" s="7">
        <v>104.551</v>
      </c>
      <c r="L355" s="7">
        <v>126.3</v>
      </c>
      <c r="M355" s="7">
        <v>230.851</v>
      </c>
      <c r="N355" s="56">
        <v>8.4985610000000005</v>
      </c>
      <c r="O355" s="5" t="str">
        <f t="shared" si="12"/>
        <v>未买</v>
      </c>
      <c r="R355" s="19">
        <v>353</v>
      </c>
    </row>
    <row r="356" spans="5:18" x14ac:dyDescent="0.15">
      <c r="E356" s="5"/>
      <c r="H356" s="19">
        <v>354</v>
      </c>
      <c r="I356" s="7">
        <v>113624</v>
      </c>
      <c r="J356" s="7" t="s">
        <v>180</v>
      </c>
      <c r="K356" s="7">
        <v>107.66</v>
      </c>
      <c r="L356" s="7">
        <v>123.5</v>
      </c>
      <c r="M356" s="7">
        <v>231.16</v>
      </c>
      <c r="N356" s="56">
        <v>4.0492900000000001</v>
      </c>
      <c r="O356" s="5" t="str">
        <f t="shared" si="12"/>
        <v>未买</v>
      </c>
      <c r="R356" s="19">
        <v>354</v>
      </c>
    </row>
    <row r="357" spans="5:18" x14ac:dyDescent="0.15">
      <c r="E357" s="5"/>
      <c r="H357" s="19">
        <v>355</v>
      </c>
      <c r="I357" s="7">
        <v>113573</v>
      </c>
      <c r="J357" s="7" t="s">
        <v>145</v>
      </c>
      <c r="K357" s="7">
        <v>112.39</v>
      </c>
      <c r="L357" s="7">
        <v>120.55</v>
      </c>
      <c r="M357" s="7">
        <v>232.94</v>
      </c>
      <c r="N357" s="56">
        <v>2.6983299999999999</v>
      </c>
      <c r="O357" s="5" t="str">
        <f t="shared" si="12"/>
        <v>未买</v>
      </c>
      <c r="R357" s="19">
        <v>355</v>
      </c>
    </row>
    <row r="358" spans="5:18" x14ac:dyDescent="0.15">
      <c r="E358" s="5"/>
      <c r="H358" s="19">
        <v>356</v>
      </c>
      <c r="I358" s="7">
        <v>123139</v>
      </c>
      <c r="J358" s="7" t="s">
        <v>788</v>
      </c>
      <c r="K358" s="7">
        <v>174.5</v>
      </c>
      <c r="L358" s="7">
        <v>58.87</v>
      </c>
      <c r="M358" s="7">
        <v>233.37</v>
      </c>
      <c r="N358" s="56">
        <v>4.3</v>
      </c>
      <c r="O358" s="5" t="str">
        <f t="shared" si="12"/>
        <v>未买</v>
      </c>
      <c r="R358" s="19">
        <v>356</v>
      </c>
    </row>
    <row r="359" spans="5:18" x14ac:dyDescent="0.15">
      <c r="E359" s="5"/>
      <c r="H359" s="19">
        <v>357</v>
      </c>
      <c r="I359" s="7">
        <v>123011</v>
      </c>
      <c r="J359" s="7" t="s">
        <v>172</v>
      </c>
      <c r="K359" s="7">
        <v>113.92</v>
      </c>
      <c r="L359" s="7">
        <v>119.84</v>
      </c>
      <c r="M359" s="7">
        <v>233.76</v>
      </c>
      <c r="N359" s="56">
        <v>2.5060280000000001</v>
      </c>
      <c r="O359" s="5" t="str">
        <f t="shared" si="12"/>
        <v>未买</v>
      </c>
      <c r="R359" s="19">
        <v>357</v>
      </c>
    </row>
    <row r="360" spans="5:18" x14ac:dyDescent="0.15">
      <c r="E360" s="5"/>
      <c r="H360" s="19">
        <v>358</v>
      </c>
      <c r="I360" s="7">
        <v>127051</v>
      </c>
      <c r="J360" s="7" t="s">
        <v>255</v>
      </c>
      <c r="K360" s="7">
        <v>117</v>
      </c>
      <c r="L360" s="7">
        <v>118.12</v>
      </c>
      <c r="M360" s="7">
        <v>235.12</v>
      </c>
      <c r="N360" s="56">
        <v>5.259989</v>
      </c>
      <c r="O360" s="5" t="str">
        <f t="shared" si="12"/>
        <v>未买</v>
      </c>
      <c r="R360" s="19">
        <v>358</v>
      </c>
    </row>
    <row r="361" spans="5:18" x14ac:dyDescent="0.15">
      <c r="E361" s="5"/>
      <c r="H361" s="19">
        <v>359</v>
      </c>
      <c r="I361" s="7">
        <v>113625</v>
      </c>
      <c r="J361" s="7" t="s">
        <v>151</v>
      </c>
      <c r="K361" s="7">
        <v>110.36</v>
      </c>
      <c r="L361" s="7">
        <v>125.04</v>
      </c>
      <c r="M361" s="7">
        <v>235.4</v>
      </c>
      <c r="N361" s="56">
        <v>5.8255600000000003</v>
      </c>
      <c r="O361" s="5" t="str">
        <f t="shared" si="12"/>
        <v>未买</v>
      </c>
      <c r="R361" s="19">
        <v>359</v>
      </c>
    </row>
    <row r="362" spans="5:18" x14ac:dyDescent="0.15">
      <c r="E362" s="5"/>
      <c r="H362" s="19">
        <v>360</v>
      </c>
      <c r="I362" s="7">
        <v>128118</v>
      </c>
      <c r="J362" s="7" t="s">
        <v>154</v>
      </c>
      <c r="K362" s="7">
        <v>109.657</v>
      </c>
      <c r="L362" s="7">
        <v>126.42</v>
      </c>
      <c r="M362" s="7">
        <v>236.077</v>
      </c>
      <c r="N362" s="56">
        <v>2.9983499999999998</v>
      </c>
      <c r="O362" s="5" t="str">
        <f t="shared" si="12"/>
        <v>未买</v>
      </c>
      <c r="R362" s="19">
        <v>360</v>
      </c>
    </row>
    <row r="363" spans="5:18" x14ac:dyDescent="0.15">
      <c r="E363" s="5"/>
      <c r="H363" s="19">
        <v>361</v>
      </c>
      <c r="I363" s="7">
        <v>113632</v>
      </c>
      <c r="J363" s="7" t="s">
        <v>1978</v>
      </c>
      <c r="K363" s="7">
        <v>114.43</v>
      </c>
      <c r="L363" s="7">
        <v>123.32</v>
      </c>
      <c r="M363" s="7">
        <v>237.75</v>
      </c>
      <c r="N363" s="56">
        <v>20.49991</v>
      </c>
      <c r="O363" s="5" t="str">
        <f t="shared" si="12"/>
        <v>未买</v>
      </c>
      <c r="R363" s="19">
        <v>361</v>
      </c>
    </row>
    <row r="364" spans="5:18" x14ac:dyDescent="0.15">
      <c r="E364" s="5"/>
      <c r="H364" s="19">
        <v>362</v>
      </c>
      <c r="I364" s="7">
        <v>128138</v>
      </c>
      <c r="J364" s="7" t="s">
        <v>148</v>
      </c>
      <c r="K364" s="7">
        <v>115.345</v>
      </c>
      <c r="L364" s="7">
        <v>123.54</v>
      </c>
      <c r="M364" s="7">
        <v>238.88499999999999</v>
      </c>
      <c r="N364" s="56">
        <v>4.1991290000000001</v>
      </c>
      <c r="O364" s="5" t="str">
        <f t="shared" si="12"/>
        <v>未买</v>
      </c>
      <c r="R364" s="19">
        <v>362</v>
      </c>
    </row>
    <row r="365" spans="5:18" x14ac:dyDescent="0.15">
      <c r="E365" s="5"/>
      <c r="H365" s="19">
        <v>363</v>
      </c>
      <c r="I365" s="7">
        <v>113605</v>
      </c>
      <c r="J365" s="7" t="s">
        <v>1979</v>
      </c>
      <c r="K365" s="7">
        <v>110.58</v>
      </c>
      <c r="L365" s="7">
        <v>129.66</v>
      </c>
      <c r="M365" s="7">
        <v>240.24</v>
      </c>
      <c r="N365" s="56">
        <v>14.049020000000001</v>
      </c>
      <c r="O365" s="5" t="str">
        <f t="shared" si="12"/>
        <v>未买</v>
      </c>
      <c r="R365" s="19">
        <v>363</v>
      </c>
    </row>
    <row r="366" spans="5:18" x14ac:dyDescent="0.15">
      <c r="E366" s="5"/>
      <c r="H366" s="19">
        <v>364</v>
      </c>
      <c r="I366" s="7">
        <v>123117</v>
      </c>
      <c r="J366" s="7" t="s">
        <v>147</v>
      </c>
      <c r="K366" s="7">
        <v>110.479</v>
      </c>
      <c r="L366" s="7">
        <v>132.97999999999999</v>
      </c>
      <c r="M366" s="7">
        <v>243.459</v>
      </c>
      <c r="N366" s="56">
        <v>9.9991509999999995</v>
      </c>
      <c r="O366" s="5" t="str">
        <f t="shared" si="12"/>
        <v>未买</v>
      </c>
      <c r="R366" s="19">
        <v>364</v>
      </c>
    </row>
    <row r="367" spans="5:18" x14ac:dyDescent="0.15">
      <c r="E367" s="5"/>
      <c r="H367" s="19">
        <v>365</v>
      </c>
      <c r="I367" s="7">
        <v>128124</v>
      </c>
      <c r="J367" s="7" t="s">
        <v>171</v>
      </c>
      <c r="K367" s="7">
        <v>100.3</v>
      </c>
      <c r="L367" s="7">
        <v>146.80000000000001</v>
      </c>
      <c r="M367" s="7">
        <v>247.10000000000002</v>
      </c>
      <c r="N367" s="56">
        <v>7.3764519999999996</v>
      </c>
      <c r="O367" s="5" t="str">
        <f t="shared" si="12"/>
        <v>未买</v>
      </c>
      <c r="R367" s="19">
        <v>365</v>
      </c>
    </row>
    <row r="368" spans="5:18" x14ac:dyDescent="0.15">
      <c r="E368" s="5"/>
      <c r="H368" s="19">
        <v>366</v>
      </c>
      <c r="I368" s="7">
        <v>113537</v>
      </c>
      <c r="J368" s="7" t="s">
        <v>1837</v>
      </c>
      <c r="K368" s="7">
        <v>241.3</v>
      </c>
      <c r="L368" s="7">
        <v>9.0500000000000007</v>
      </c>
      <c r="M368" s="7">
        <v>250.35000000000002</v>
      </c>
      <c r="N368" s="56">
        <v>1.4047400000000001</v>
      </c>
      <c r="O368" s="5" t="str">
        <f t="shared" si="12"/>
        <v>未买</v>
      </c>
      <c r="R368" s="19">
        <v>366</v>
      </c>
    </row>
    <row r="369" spans="5:18" x14ac:dyDescent="0.15">
      <c r="E369" s="5"/>
      <c r="H369" s="19">
        <v>367</v>
      </c>
      <c r="I369" s="7">
        <v>127052</v>
      </c>
      <c r="J369" s="7" t="s">
        <v>1980</v>
      </c>
      <c r="K369" s="7">
        <v>113.26</v>
      </c>
      <c r="L369" s="7">
        <v>141.13</v>
      </c>
      <c r="M369" s="7">
        <v>254.39</v>
      </c>
      <c r="N369" s="56">
        <v>11.1</v>
      </c>
      <c r="O369" s="5" t="str">
        <f t="shared" si="12"/>
        <v>未买</v>
      </c>
      <c r="R369" s="19">
        <v>367</v>
      </c>
    </row>
    <row r="370" spans="5:18" x14ac:dyDescent="0.15">
      <c r="E370" s="5"/>
      <c r="H370" s="19">
        <v>368</v>
      </c>
      <c r="I370" s="7">
        <v>127046</v>
      </c>
      <c r="J370" s="7" t="s">
        <v>1981</v>
      </c>
      <c r="K370" s="7">
        <v>111.82</v>
      </c>
      <c r="L370" s="7">
        <v>143.99</v>
      </c>
      <c r="M370" s="7">
        <v>255.81</v>
      </c>
      <c r="N370" s="56">
        <v>11.278176</v>
      </c>
      <c r="O370" s="5" t="str">
        <f t="shared" si="12"/>
        <v>未买</v>
      </c>
      <c r="R370" s="19">
        <v>368</v>
      </c>
    </row>
    <row r="371" spans="5:18" x14ac:dyDescent="0.15">
      <c r="E371" s="5"/>
      <c r="H371" s="19">
        <v>369</v>
      </c>
      <c r="I371" s="7">
        <v>113589</v>
      </c>
      <c r="J371" s="7" t="s">
        <v>146</v>
      </c>
      <c r="K371" s="7">
        <v>99.52</v>
      </c>
      <c r="L371" s="7">
        <v>156.43</v>
      </c>
      <c r="M371" s="7">
        <v>255.95</v>
      </c>
      <c r="N371" s="56">
        <v>5.9959800000000003</v>
      </c>
      <c r="O371" s="5" t="str">
        <f t="shared" si="12"/>
        <v>未买</v>
      </c>
      <c r="R371" s="19">
        <v>369</v>
      </c>
    </row>
    <row r="372" spans="5:18" x14ac:dyDescent="0.15">
      <c r="E372" s="5"/>
      <c r="H372" s="19">
        <v>370</v>
      </c>
      <c r="I372" s="7">
        <v>123113</v>
      </c>
      <c r="J372" s="7" t="s">
        <v>1982</v>
      </c>
      <c r="K372" s="7">
        <v>106.85</v>
      </c>
      <c r="L372" s="7">
        <v>154.22</v>
      </c>
      <c r="M372" s="7">
        <v>261.07</v>
      </c>
      <c r="N372" s="56">
        <v>10.248582000000001</v>
      </c>
      <c r="O372" s="5" t="str">
        <f t="shared" si="12"/>
        <v>未买</v>
      </c>
      <c r="R372" s="19">
        <v>370</v>
      </c>
    </row>
    <row r="373" spans="5:18" x14ac:dyDescent="0.15">
      <c r="E373" s="5"/>
      <c r="H373" s="19">
        <v>371</v>
      </c>
      <c r="I373" s="7">
        <v>123104</v>
      </c>
      <c r="J373" s="7" t="s">
        <v>179</v>
      </c>
      <c r="K373" s="7">
        <v>114.91200000000001</v>
      </c>
      <c r="L373" s="7">
        <v>147.71</v>
      </c>
      <c r="M373" s="7">
        <v>262.62200000000001</v>
      </c>
      <c r="N373" s="56">
        <v>9.7011269999999996</v>
      </c>
      <c r="O373" s="5" t="str">
        <f t="shared" si="12"/>
        <v>未买</v>
      </c>
      <c r="R373" s="19">
        <v>371</v>
      </c>
    </row>
    <row r="374" spans="5:18" x14ac:dyDescent="0.15">
      <c r="E374" s="5"/>
      <c r="H374" s="19">
        <v>372</v>
      </c>
      <c r="I374" s="7">
        <v>123039</v>
      </c>
      <c r="J374" s="7" t="s">
        <v>168</v>
      </c>
      <c r="K374" s="7">
        <v>128.99199999999999</v>
      </c>
      <c r="L374" s="7">
        <v>144.26</v>
      </c>
      <c r="M374" s="7">
        <v>273.25199999999995</v>
      </c>
      <c r="N374" s="56">
        <v>2.2171210000000001</v>
      </c>
      <c r="O374" s="5" t="str">
        <f t="shared" si="12"/>
        <v>未买</v>
      </c>
      <c r="R374" s="19">
        <v>372</v>
      </c>
    </row>
    <row r="375" spans="5:18" x14ac:dyDescent="0.15">
      <c r="E375" s="5"/>
      <c r="H375" s="19">
        <v>373</v>
      </c>
      <c r="I375" s="7">
        <v>123101</v>
      </c>
      <c r="J375" s="7" t="s">
        <v>153</v>
      </c>
      <c r="K375" s="7">
        <v>107.667</v>
      </c>
      <c r="L375" s="7">
        <v>172.57</v>
      </c>
      <c r="M375" s="7">
        <v>280.23699999999997</v>
      </c>
      <c r="N375" s="56">
        <v>6.6976259999999996</v>
      </c>
      <c r="O375" s="5" t="str">
        <f t="shared" si="12"/>
        <v>未买</v>
      </c>
      <c r="R375" s="19">
        <v>373</v>
      </c>
    </row>
    <row r="376" spans="5:18" x14ac:dyDescent="0.15">
      <c r="E376" s="5"/>
      <c r="H376" s="19">
        <v>374</v>
      </c>
      <c r="I376" s="7">
        <v>118003</v>
      </c>
      <c r="J376" s="7" t="s">
        <v>253</v>
      </c>
      <c r="K376" s="7">
        <v>107.667</v>
      </c>
      <c r="L376" s="7">
        <v>172.57</v>
      </c>
      <c r="M376" s="7">
        <v>280.23699999999997</v>
      </c>
      <c r="N376" s="56">
        <v>6.6976259999999996</v>
      </c>
      <c r="O376" s="5" t="str">
        <f t="shared" si="12"/>
        <v>未买</v>
      </c>
      <c r="R376" s="19">
        <v>374</v>
      </c>
    </row>
    <row r="377" spans="5:18" x14ac:dyDescent="0.15">
      <c r="E377" s="5"/>
      <c r="H377" s="19">
        <v>375</v>
      </c>
      <c r="I377" s="7">
        <v>123141</v>
      </c>
      <c r="J377" s="7" t="s">
        <v>790</v>
      </c>
      <c r="K377" s="7">
        <v>170.696</v>
      </c>
      <c r="L377" s="7">
        <v>110.94</v>
      </c>
      <c r="M377" s="7">
        <v>281.63599999999997</v>
      </c>
      <c r="N377" s="56">
        <v>3.2126000000000001</v>
      </c>
      <c r="O377" s="5" t="str">
        <f t="shared" si="12"/>
        <v>未买</v>
      </c>
      <c r="R377" s="19">
        <v>375</v>
      </c>
    </row>
    <row r="378" spans="5:18" x14ac:dyDescent="0.15">
      <c r="E378" s="5"/>
      <c r="H378" s="19">
        <v>376</v>
      </c>
      <c r="I378" s="7">
        <v>113569</v>
      </c>
      <c r="J378" s="7" t="s">
        <v>140</v>
      </c>
      <c r="K378" s="7">
        <v>104.89</v>
      </c>
      <c r="L378" s="7">
        <v>180.23</v>
      </c>
      <c r="M378" s="7">
        <v>285.12</v>
      </c>
      <c r="N378" s="56">
        <v>5.1560100000000002</v>
      </c>
      <c r="O378" s="5" t="str">
        <f t="shared" si="12"/>
        <v>未买</v>
      </c>
      <c r="R378" s="19">
        <v>376</v>
      </c>
    </row>
    <row r="379" spans="5:18" x14ac:dyDescent="0.15">
      <c r="E379" s="5"/>
      <c r="H379" s="19">
        <v>377</v>
      </c>
      <c r="I379" s="7">
        <v>123034</v>
      </c>
      <c r="J379" s="7" t="s">
        <v>1969</v>
      </c>
      <c r="K379" s="7">
        <v>198.70400000000001</v>
      </c>
      <c r="L379" s="7">
        <v>90.79</v>
      </c>
      <c r="M379" s="7">
        <v>289.49400000000003</v>
      </c>
      <c r="N379" s="56">
        <v>0.77860099999999999</v>
      </c>
      <c r="O379" s="5" t="str">
        <f t="shared" si="12"/>
        <v>未买</v>
      </c>
      <c r="R379" s="19">
        <v>377</v>
      </c>
    </row>
    <row r="380" spans="5:18" x14ac:dyDescent="0.15">
      <c r="E380" s="5"/>
      <c r="H380" s="19">
        <v>378</v>
      </c>
      <c r="I380" s="7">
        <v>128030</v>
      </c>
      <c r="J380" s="7" t="s">
        <v>1955</v>
      </c>
      <c r="K380" s="7">
        <v>218.3</v>
      </c>
      <c r="L380" s="7">
        <v>74.44</v>
      </c>
      <c r="M380" s="7">
        <v>292.74</v>
      </c>
      <c r="N380" s="56">
        <v>0.855209</v>
      </c>
      <c r="O380" s="5" t="str">
        <f t="shared" si="12"/>
        <v>未买</v>
      </c>
      <c r="R380" s="19">
        <v>378</v>
      </c>
    </row>
    <row r="381" spans="5:18" x14ac:dyDescent="0.15">
      <c r="E381" s="5"/>
      <c r="H381" s="19">
        <v>379</v>
      </c>
      <c r="I381" s="7">
        <v>113596</v>
      </c>
      <c r="J381" s="7" t="s">
        <v>1984</v>
      </c>
      <c r="K381" s="7">
        <v>98.31</v>
      </c>
      <c r="L381" s="7">
        <v>195.94</v>
      </c>
      <c r="M381" s="7">
        <v>294.25</v>
      </c>
      <c r="N381" s="56">
        <v>11.98714</v>
      </c>
      <c r="O381" s="5" t="str">
        <f t="shared" si="12"/>
        <v>未买</v>
      </c>
      <c r="R381" s="19">
        <v>379</v>
      </c>
    </row>
    <row r="382" spans="5:18" x14ac:dyDescent="0.15">
      <c r="E382" s="5"/>
      <c r="H382" s="19">
        <v>380</v>
      </c>
      <c r="I382" s="7">
        <v>113627</v>
      </c>
      <c r="J382" s="7" t="s">
        <v>149</v>
      </c>
      <c r="K382" s="7">
        <v>108.47</v>
      </c>
      <c r="L382" s="7">
        <v>186.96</v>
      </c>
      <c r="M382" s="7">
        <v>295.43</v>
      </c>
      <c r="N382" s="56">
        <v>7.9998100000000001</v>
      </c>
      <c r="O382" s="5" t="str">
        <f t="shared" si="12"/>
        <v>未买</v>
      </c>
      <c r="R382" s="19">
        <v>380</v>
      </c>
    </row>
    <row r="383" spans="5:18" x14ac:dyDescent="0.15">
      <c r="E383" s="5"/>
      <c r="H383" s="19">
        <v>381</v>
      </c>
      <c r="I383" s="7">
        <v>123046</v>
      </c>
      <c r="J383" s="7" t="s">
        <v>1898</v>
      </c>
      <c r="K383" s="7">
        <v>267</v>
      </c>
      <c r="L383" s="7">
        <v>30.31</v>
      </c>
      <c r="M383" s="7">
        <v>297.31</v>
      </c>
      <c r="N383" s="56">
        <v>0.58544499999999999</v>
      </c>
      <c r="O383" s="5" t="str">
        <f t="shared" si="12"/>
        <v>未买</v>
      </c>
      <c r="R383" s="19">
        <v>381</v>
      </c>
    </row>
    <row r="384" spans="5:18" x14ac:dyDescent="0.15">
      <c r="E384" s="5"/>
      <c r="H384" s="19">
        <v>382</v>
      </c>
      <c r="I384" s="7">
        <v>113584</v>
      </c>
      <c r="J384" s="7" t="s">
        <v>1983</v>
      </c>
      <c r="K384" s="7">
        <v>104.03</v>
      </c>
      <c r="L384" s="7">
        <v>193.54</v>
      </c>
      <c r="M384" s="7">
        <v>297.57</v>
      </c>
      <c r="N384" s="56">
        <v>6.4493499999999999</v>
      </c>
      <c r="O384" s="5" t="str">
        <f t="shared" si="12"/>
        <v>未买</v>
      </c>
      <c r="R384" s="19">
        <v>382</v>
      </c>
    </row>
    <row r="385" spans="5:18" x14ac:dyDescent="0.15">
      <c r="E385" s="5"/>
      <c r="H385" s="19">
        <v>383</v>
      </c>
      <c r="I385" s="7">
        <v>128062</v>
      </c>
      <c r="J385" s="7" t="s">
        <v>1985</v>
      </c>
      <c r="K385" s="7">
        <v>99.93</v>
      </c>
      <c r="L385" s="7">
        <v>203</v>
      </c>
      <c r="M385" s="7">
        <v>302.93</v>
      </c>
      <c r="N385" s="56">
        <v>9.6197339999999993</v>
      </c>
      <c r="O385" s="5" t="str">
        <f t="shared" si="12"/>
        <v>未买</v>
      </c>
      <c r="R385" s="19">
        <v>383</v>
      </c>
    </row>
    <row r="386" spans="5:18" x14ac:dyDescent="0.15">
      <c r="E386" s="5"/>
      <c r="H386" s="19">
        <v>384</v>
      </c>
      <c r="I386" s="7">
        <v>123065</v>
      </c>
      <c r="J386" s="7" t="s">
        <v>137</v>
      </c>
      <c r="K386" s="7">
        <v>115.741</v>
      </c>
      <c r="L386" s="7">
        <v>193.83</v>
      </c>
      <c r="M386" s="7">
        <v>309.57100000000003</v>
      </c>
      <c r="N386" s="56">
        <v>2.1885789999999998</v>
      </c>
      <c r="O386" s="5" t="str">
        <f t="shared" si="12"/>
        <v>未买</v>
      </c>
      <c r="R386" s="19">
        <v>384</v>
      </c>
    </row>
    <row r="387" spans="5:18" x14ac:dyDescent="0.15">
      <c r="E387" s="5"/>
      <c r="H387" s="19">
        <v>385</v>
      </c>
      <c r="I387" s="7">
        <v>123018</v>
      </c>
      <c r="J387" s="7" t="s">
        <v>77</v>
      </c>
      <c r="K387" s="7">
        <v>225.00299999999999</v>
      </c>
      <c r="L387" s="7">
        <v>97.82</v>
      </c>
      <c r="M387" s="7">
        <v>322.82299999999998</v>
      </c>
      <c r="N387" s="56">
        <v>0.54235200000000006</v>
      </c>
      <c r="O387" s="5" t="str">
        <f t="shared" si="12"/>
        <v>未买</v>
      </c>
      <c r="R387" s="19">
        <v>385</v>
      </c>
    </row>
    <row r="388" spans="5:18" x14ac:dyDescent="0.15">
      <c r="E388" s="5"/>
      <c r="H388" s="19">
        <v>386</v>
      </c>
      <c r="I388" s="7">
        <v>123138</v>
      </c>
      <c r="J388" s="7" t="s">
        <v>789</v>
      </c>
      <c r="K388" s="7">
        <v>180.005</v>
      </c>
      <c r="L388" s="7">
        <v>143.15</v>
      </c>
      <c r="M388" s="7">
        <v>323.15499999999997</v>
      </c>
      <c r="N388" s="56">
        <v>2.4</v>
      </c>
      <c r="O388" s="5" t="str">
        <f t="shared" ref="O388:O412" si="13">IF(ISNA(MATCH(I388,$A$3:$A$1000,0)),"未买","Yes")</f>
        <v>未买</v>
      </c>
      <c r="R388" s="19">
        <v>386</v>
      </c>
    </row>
    <row r="389" spans="5:18" x14ac:dyDescent="0.15">
      <c r="E389" s="5"/>
      <c r="H389" s="19">
        <v>387</v>
      </c>
      <c r="I389" s="7">
        <v>127004</v>
      </c>
      <c r="J389" s="7" t="s">
        <v>138</v>
      </c>
      <c r="K389" s="7">
        <v>164</v>
      </c>
      <c r="L389" s="7">
        <v>160.4</v>
      </c>
      <c r="M389" s="7">
        <v>324.39999999999998</v>
      </c>
      <c r="N389" s="56">
        <v>1.3110879999999998</v>
      </c>
      <c r="O389" s="5" t="str">
        <f t="shared" si="13"/>
        <v>未买</v>
      </c>
      <c r="R389" s="19">
        <v>387</v>
      </c>
    </row>
    <row r="390" spans="5:18" x14ac:dyDescent="0.15">
      <c r="E390" s="5"/>
      <c r="H390" s="19">
        <v>388</v>
      </c>
      <c r="I390" s="7">
        <v>113576</v>
      </c>
      <c r="J390" s="7" t="s">
        <v>139</v>
      </c>
      <c r="K390" s="7">
        <v>116.67</v>
      </c>
      <c r="L390" s="7">
        <v>226.53</v>
      </c>
      <c r="M390" s="7">
        <v>343.2</v>
      </c>
      <c r="N390" s="56">
        <v>2.6581000000000001</v>
      </c>
      <c r="O390" s="5" t="str">
        <f t="shared" si="13"/>
        <v>未买</v>
      </c>
      <c r="R390" s="19">
        <v>388</v>
      </c>
    </row>
    <row r="391" spans="5:18" x14ac:dyDescent="0.15">
      <c r="E391" s="5"/>
      <c r="H391" s="19">
        <v>389</v>
      </c>
      <c r="I391" s="7">
        <v>113575</v>
      </c>
      <c r="J391" s="7" t="s">
        <v>152</v>
      </c>
      <c r="K391" s="7">
        <v>145.1</v>
      </c>
      <c r="L391" s="7">
        <v>200.35</v>
      </c>
      <c r="M391" s="7">
        <v>345.45</v>
      </c>
      <c r="N391" s="56">
        <v>0.98397999999999997</v>
      </c>
      <c r="O391" s="5" t="str">
        <f t="shared" si="13"/>
        <v>未买</v>
      </c>
      <c r="R391" s="19">
        <v>389</v>
      </c>
    </row>
    <row r="392" spans="5:18" x14ac:dyDescent="0.15">
      <c r="E392" s="5"/>
      <c r="H392" s="19">
        <v>390</v>
      </c>
      <c r="I392" s="7">
        <v>113025</v>
      </c>
      <c r="J392" s="7" t="s">
        <v>1829</v>
      </c>
      <c r="K392" s="7">
        <v>351.18</v>
      </c>
      <c r="L392" s="7">
        <v>5.49</v>
      </c>
      <c r="M392" s="7">
        <v>356.67</v>
      </c>
      <c r="N392" s="56">
        <v>10.14791</v>
      </c>
      <c r="O392" s="5" t="str">
        <f t="shared" si="13"/>
        <v>未买</v>
      </c>
      <c r="R392" s="19">
        <v>390</v>
      </c>
    </row>
    <row r="393" spans="5:18" x14ac:dyDescent="0.15">
      <c r="E393" s="5"/>
      <c r="H393" s="19">
        <v>391</v>
      </c>
      <c r="I393" s="7">
        <v>128095</v>
      </c>
      <c r="J393" s="7" t="s">
        <v>1846</v>
      </c>
      <c r="K393" s="7">
        <v>365</v>
      </c>
      <c r="L393" s="7">
        <v>11.34</v>
      </c>
      <c r="M393" s="7">
        <v>376.34</v>
      </c>
      <c r="N393" s="56">
        <v>4.5395649999999996</v>
      </c>
      <c r="O393" s="5" t="str">
        <f t="shared" si="13"/>
        <v>未买</v>
      </c>
      <c r="R393" s="19">
        <v>391</v>
      </c>
    </row>
    <row r="394" spans="5:18" x14ac:dyDescent="0.15">
      <c r="E394" s="5"/>
      <c r="H394" s="19">
        <v>392</v>
      </c>
      <c r="I394" s="7">
        <v>113574</v>
      </c>
      <c r="J394" s="7" t="s">
        <v>1986</v>
      </c>
      <c r="K394" s="7">
        <v>112.29</v>
      </c>
      <c r="L394" s="7">
        <v>274.8</v>
      </c>
      <c r="M394" s="7">
        <v>387.09000000000003</v>
      </c>
      <c r="N394" s="56">
        <v>2.0874199999999998</v>
      </c>
      <c r="O394" s="5" t="str">
        <f t="shared" si="13"/>
        <v>未买</v>
      </c>
      <c r="R394" s="19">
        <v>392</v>
      </c>
    </row>
    <row r="395" spans="5:18" x14ac:dyDescent="0.15">
      <c r="E395" s="5"/>
      <c r="H395" s="19">
        <v>393</v>
      </c>
      <c r="I395" s="7">
        <v>113016</v>
      </c>
      <c r="J395" s="7" t="s">
        <v>1895</v>
      </c>
      <c r="K395" s="7">
        <v>360.03</v>
      </c>
      <c r="L395" s="7">
        <v>29.28</v>
      </c>
      <c r="M395" s="7">
        <v>389.30999999999995</v>
      </c>
      <c r="N395" s="56">
        <v>2.0657800000000002</v>
      </c>
      <c r="O395" s="5" t="str">
        <f t="shared" si="13"/>
        <v>未买</v>
      </c>
      <c r="R395" s="19">
        <v>393</v>
      </c>
    </row>
    <row r="396" spans="5:18" x14ac:dyDescent="0.15">
      <c r="E396" s="5"/>
      <c r="H396" s="19">
        <v>394</v>
      </c>
      <c r="I396" s="7">
        <v>123143</v>
      </c>
      <c r="J396" s="7" t="s">
        <v>820</v>
      </c>
      <c r="K396" s="7">
        <v>224.19900000000001</v>
      </c>
      <c r="L396" s="7">
        <v>168.5</v>
      </c>
      <c r="M396" s="7">
        <v>392.69900000000001</v>
      </c>
      <c r="N396" s="56">
        <v>3.3</v>
      </c>
      <c r="O396" s="5" t="str">
        <f t="shared" si="13"/>
        <v>未买</v>
      </c>
      <c r="R396" s="19">
        <v>394</v>
      </c>
    </row>
    <row r="397" spans="5:18" x14ac:dyDescent="0.15">
      <c r="E397" s="5"/>
      <c r="H397" s="19">
        <v>395</v>
      </c>
      <c r="I397" s="7">
        <v>123140</v>
      </c>
      <c r="J397" s="7" t="s">
        <v>791</v>
      </c>
      <c r="K397" s="7">
        <v>229.55</v>
      </c>
      <c r="L397" s="7">
        <v>166.52</v>
      </c>
      <c r="M397" s="7">
        <v>396.07000000000005</v>
      </c>
      <c r="N397" s="56">
        <v>1.72</v>
      </c>
      <c r="O397" s="5" t="str">
        <f t="shared" si="13"/>
        <v>未买</v>
      </c>
      <c r="R397" s="19">
        <v>395</v>
      </c>
    </row>
    <row r="398" spans="5:18" x14ac:dyDescent="0.15">
      <c r="E398" s="5"/>
      <c r="H398" s="19">
        <v>396</v>
      </c>
      <c r="I398" s="7">
        <v>110044</v>
      </c>
      <c r="J398" s="7" t="s">
        <v>136</v>
      </c>
      <c r="K398" s="7">
        <v>230.18</v>
      </c>
      <c r="L398" s="7">
        <v>168.93</v>
      </c>
      <c r="M398" s="7">
        <v>399.11</v>
      </c>
      <c r="N398" s="56">
        <v>0.70747000000000004</v>
      </c>
      <c r="O398" s="5" t="str">
        <f t="shared" si="13"/>
        <v>未买</v>
      </c>
      <c r="R398" s="19">
        <v>396</v>
      </c>
    </row>
    <row r="399" spans="5:18" x14ac:dyDescent="0.15">
      <c r="E399" s="5"/>
      <c r="H399" s="19">
        <v>397</v>
      </c>
      <c r="I399" s="7">
        <v>123031</v>
      </c>
      <c r="J399" s="7" t="s">
        <v>1939</v>
      </c>
      <c r="K399" s="7">
        <v>362.93599999999998</v>
      </c>
      <c r="L399" s="7">
        <v>50.78</v>
      </c>
      <c r="M399" s="7">
        <v>413.71600000000001</v>
      </c>
      <c r="N399" s="56">
        <v>0.53005000000000002</v>
      </c>
      <c r="O399" s="5" t="str">
        <f t="shared" si="13"/>
        <v>未买</v>
      </c>
      <c r="R399" s="19">
        <v>397</v>
      </c>
    </row>
    <row r="400" spans="5:18" x14ac:dyDescent="0.15">
      <c r="E400" s="5"/>
      <c r="H400" s="19">
        <v>398</v>
      </c>
      <c r="I400" s="7">
        <v>123072</v>
      </c>
      <c r="J400" s="7" t="s">
        <v>1988</v>
      </c>
      <c r="K400" s="7">
        <v>129.63499999999999</v>
      </c>
      <c r="L400" s="7">
        <v>290.47000000000003</v>
      </c>
      <c r="M400" s="7">
        <v>420.10500000000002</v>
      </c>
      <c r="N400" s="56">
        <v>1.419144</v>
      </c>
      <c r="O400" s="5" t="str">
        <f t="shared" si="13"/>
        <v>未买</v>
      </c>
      <c r="R400" s="19">
        <v>398</v>
      </c>
    </row>
    <row r="401" spans="5:18" x14ac:dyDescent="0.15">
      <c r="E401" s="5"/>
      <c r="H401" s="19">
        <v>399</v>
      </c>
      <c r="I401" s="7">
        <v>123027</v>
      </c>
      <c r="J401" s="7" t="s">
        <v>1929</v>
      </c>
      <c r="K401" s="7">
        <v>374.50099999999998</v>
      </c>
      <c r="L401" s="7">
        <v>46.16</v>
      </c>
      <c r="M401" s="7">
        <v>420.66099999999994</v>
      </c>
      <c r="N401" s="56">
        <v>1.06755</v>
      </c>
      <c r="O401" s="5" t="str">
        <f t="shared" si="13"/>
        <v>未买</v>
      </c>
      <c r="R401" s="19">
        <v>399</v>
      </c>
    </row>
    <row r="402" spans="5:18" x14ac:dyDescent="0.15">
      <c r="E402" s="5"/>
      <c r="H402" s="19">
        <v>400</v>
      </c>
      <c r="I402" s="7">
        <v>111003</v>
      </c>
      <c r="J402" s="7" t="s">
        <v>821</v>
      </c>
      <c r="K402" s="7">
        <v>310.70999999999998</v>
      </c>
      <c r="L402" s="7">
        <v>130.72</v>
      </c>
      <c r="M402" s="7">
        <v>441.42999999999995</v>
      </c>
      <c r="N402" s="56">
        <v>2.76</v>
      </c>
      <c r="O402" s="5" t="str">
        <f t="shared" si="13"/>
        <v>未买</v>
      </c>
      <c r="R402" s="19">
        <v>400</v>
      </c>
    </row>
    <row r="403" spans="5:18" x14ac:dyDescent="0.15">
      <c r="E403" s="5"/>
      <c r="H403" s="19">
        <v>401</v>
      </c>
      <c r="I403" s="7">
        <v>127057</v>
      </c>
      <c r="J403" s="7" t="s">
        <v>780</v>
      </c>
      <c r="K403" s="7">
        <v>310.70999999999998</v>
      </c>
      <c r="L403" s="7">
        <v>130.72</v>
      </c>
      <c r="M403" s="7">
        <v>441.42999999999995</v>
      </c>
      <c r="N403" s="56">
        <v>2.76</v>
      </c>
      <c r="O403" s="5" t="str">
        <f t="shared" si="13"/>
        <v>未买</v>
      </c>
      <c r="R403" s="19">
        <v>401</v>
      </c>
    </row>
    <row r="404" spans="5:18" x14ac:dyDescent="0.15">
      <c r="E404" s="5"/>
      <c r="H404" s="19">
        <v>402</v>
      </c>
      <c r="I404" s="7">
        <v>128041</v>
      </c>
      <c r="J404" s="7" t="s">
        <v>135</v>
      </c>
      <c r="K404" s="7">
        <v>284.3</v>
      </c>
      <c r="L404" s="7">
        <v>196.49</v>
      </c>
      <c r="M404" s="7">
        <v>480.79</v>
      </c>
      <c r="N404" s="56">
        <v>0.52935699999999997</v>
      </c>
      <c r="O404" s="5" t="str">
        <f t="shared" si="13"/>
        <v>未买</v>
      </c>
      <c r="R404" s="19">
        <v>402</v>
      </c>
    </row>
    <row r="405" spans="5:18" x14ac:dyDescent="0.15">
      <c r="E405" s="5"/>
      <c r="H405" s="19">
        <v>403</v>
      </c>
      <c r="I405" s="7">
        <v>123136</v>
      </c>
      <c r="J405" s="7" t="s">
        <v>274</v>
      </c>
      <c r="K405" s="7">
        <v>334.29</v>
      </c>
      <c r="L405" s="7">
        <v>229.77</v>
      </c>
      <c r="M405" s="7">
        <v>564.06000000000006</v>
      </c>
      <c r="N405" s="56">
        <v>4.5999999999999996</v>
      </c>
      <c r="O405" s="5" t="str">
        <f t="shared" si="13"/>
        <v>未买</v>
      </c>
      <c r="R405" s="19">
        <v>403</v>
      </c>
    </row>
    <row r="406" spans="5:18" x14ac:dyDescent="0.15">
      <c r="E406" s="5"/>
      <c r="H406" s="19">
        <v>404</v>
      </c>
      <c r="I406" s="7">
        <v>113548</v>
      </c>
      <c r="J406" s="7" t="s">
        <v>1823</v>
      </c>
      <c r="K406" s="7">
        <v>566.1</v>
      </c>
      <c r="L406" s="7">
        <v>0.72</v>
      </c>
      <c r="M406" s="7">
        <v>566.82000000000005</v>
      </c>
      <c r="N406" s="56">
        <v>0.87580999999999998</v>
      </c>
      <c r="O406" s="5" t="str">
        <f t="shared" si="13"/>
        <v>未买</v>
      </c>
      <c r="R406" s="19">
        <v>404</v>
      </c>
    </row>
    <row r="407" spans="5:18" x14ac:dyDescent="0.15">
      <c r="E407" s="5"/>
      <c r="H407" s="19">
        <v>405</v>
      </c>
      <c r="I407" s="7">
        <v>113646</v>
      </c>
      <c r="J407" s="7" t="s">
        <v>1987</v>
      </c>
      <c r="K407" s="7">
        <v>315.75</v>
      </c>
      <c r="L407" s="7">
        <v>289.57</v>
      </c>
      <c r="M407" s="7">
        <v>605.31999999999994</v>
      </c>
      <c r="N407" s="56">
        <v>1.45868</v>
      </c>
      <c r="O407" s="5" t="str">
        <f t="shared" si="13"/>
        <v>未买</v>
      </c>
      <c r="R407" s="19">
        <v>405</v>
      </c>
    </row>
    <row r="408" spans="5:18" x14ac:dyDescent="0.15">
      <c r="E408" s="5"/>
      <c r="H408" s="19">
        <v>406</v>
      </c>
      <c r="I408" s="7">
        <v>123135</v>
      </c>
      <c r="J408" s="7" t="s">
        <v>1989</v>
      </c>
      <c r="K408" s="7">
        <v>307.57799999999997</v>
      </c>
      <c r="L408" s="7">
        <v>318.02</v>
      </c>
      <c r="M408" s="7">
        <v>625.59799999999996</v>
      </c>
      <c r="N408" s="56">
        <v>2.1</v>
      </c>
      <c r="O408" s="5" t="str">
        <f t="shared" si="13"/>
        <v>未买</v>
      </c>
      <c r="R408" s="19">
        <v>406</v>
      </c>
    </row>
    <row r="409" spans="5:18" x14ac:dyDescent="0.15">
      <c r="E409" s="5"/>
      <c r="H409" s="19">
        <v>407</v>
      </c>
      <c r="I409" s="7">
        <v>128111</v>
      </c>
      <c r="J409" s="7" t="s">
        <v>1824</v>
      </c>
      <c r="K409" s="7">
        <v>659</v>
      </c>
      <c r="L409" s="7">
        <v>0.92</v>
      </c>
      <c r="M409" s="7">
        <v>659.92</v>
      </c>
      <c r="N409" s="56">
        <v>1.3679619999999999</v>
      </c>
      <c r="O409" s="5" t="str">
        <f t="shared" si="13"/>
        <v>未买</v>
      </c>
      <c r="R409" s="19">
        <v>407</v>
      </c>
    </row>
    <row r="410" spans="5:18" x14ac:dyDescent="0.15">
      <c r="E410" s="5"/>
      <c r="H410" s="19">
        <v>408</v>
      </c>
      <c r="I410" s="7">
        <v>123134</v>
      </c>
      <c r="J410" s="7" t="s">
        <v>280</v>
      </c>
      <c r="K410" s="7">
        <v>402.9</v>
      </c>
      <c r="L410" s="7">
        <v>341.97</v>
      </c>
      <c r="M410" s="7">
        <v>744.87</v>
      </c>
      <c r="N410" s="56">
        <v>2.79</v>
      </c>
      <c r="O410" s="5" t="str">
        <f t="shared" si="13"/>
        <v>未买</v>
      </c>
      <c r="R410" s="19">
        <v>408</v>
      </c>
    </row>
    <row r="411" spans="5:18" x14ac:dyDescent="0.15">
      <c r="E411" s="5"/>
      <c r="H411" s="19">
        <v>409</v>
      </c>
      <c r="I411" s="7">
        <v>123013</v>
      </c>
      <c r="J411" s="7" t="s">
        <v>1990</v>
      </c>
      <c r="K411" s="7">
        <v>503</v>
      </c>
      <c r="L411" s="7">
        <v>524.61</v>
      </c>
      <c r="M411" s="7">
        <v>1027.6100000000001</v>
      </c>
      <c r="N411" s="56">
        <v>0.37926300000000002</v>
      </c>
      <c r="O411" s="5" t="str">
        <f t="shared" si="13"/>
        <v>未买</v>
      </c>
      <c r="R411" s="19">
        <v>409</v>
      </c>
    </row>
    <row r="412" spans="5:18" x14ac:dyDescent="0.15">
      <c r="E412" s="5"/>
      <c r="H412" s="19">
        <v>410</v>
      </c>
      <c r="I412" s="7">
        <v>123015</v>
      </c>
      <c r="J412" s="7" t="s">
        <v>1991</v>
      </c>
      <c r="K412" s="7">
        <v>262.47000000000003</v>
      </c>
      <c r="L412" s="7">
        <v>874.28</v>
      </c>
      <c r="M412" s="7">
        <v>1136.75</v>
      </c>
      <c r="N412" s="56">
        <v>1.001509</v>
      </c>
      <c r="O412" s="5" t="str">
        <f t="shared" si="13"/>
        <v>未买</v>
      </c>
      <c r="R412" s="19">
        <v>410</v>
      </c>
    </row>
    <row r="413" spans="5:18" x14ac:dyDescent="0.15">
      <c r="E413" s="5"/>
      <c r="H413" s="19">
        <v>411</v>
      </c>
      <c r="R413" s="19">
        <v>411</v>
      </c>
    </row>
    <row r="414" spans="5:18" x14ac:dyDescent="0.15">
      <c r="E414" s="5"/>
      <c r="H414" s="19">
        <v>412</v>
      </c>
      <c r="R414" s="19">
        <v>412</v>
      </c>
    </row>
    <row r="415" spans="5:18" x14ac:dyDescent="0.15">
      <c r="E415" s="5"/>
      <c r="H415" s="19">
        <v>413</v>
      </c>
      <c r="R415" s="19">
        <v>413</v>
      </c>
    </row>
    <row r="416" spans="5:18" x14ac:dyDescent="0.15">
      <c r="E416" s="5"/>
      <c r="H416" s="19">
        <v>414</v>
      </c>
      <c r="R416" s="19">
        <v>414</v>
      </c>
    </row>
    <row r="417" spans="5:18" x14ac:dyDescent="0.15">
      <c r="E417" s="5"/>
      <c r="H417" s="19">
        <v>415</v>
      </c>
      <c r="R417" s="19">
        <v>415</v>
      </c>
    </row>
    <row r="418" spans="5:18" x14ac:dyDescent="0.15">
      <c r="E418" s="5"/>
      <c r="H418" s="19">
        <v>416</v>
      </c>
      <c r="R418" s="19">
        <v>416</v>
      </c>
    </row>
    <row r="419" spans="5:18" x14ac:dyDescent="0.15">
      <c r="E419" s="5"/>
      <c r="H419" s="19">
        <v>417</v>
      </c>
      <c r="R419" s="19">
        <v>417</v>
      </c>
    </row>
    <row r="420" spans="5:18" x14ac:dyDescent="0.15">
      <c r="E420" s="5"/>
      <c r="H420" s="19">
        <v>418</v>
      </c>
      <c r="R420" s="19">
        <v>418</v>
      </c>
    </row>
    <row r="421" spans="5:18" x14ac:dyDescent="0.15">
      <c r="E421" s="5"/>
      <c r="H421" s="19">
        <v>419</v>
      </c>
      <c r="R421" s="19">
        <v>419</v>
      </c>
    </row>
    <row r="422" spans="5:18" x14ac:dyDescent="0.15">
      <c r="E422" s="5"/>
      <c r="H422" s="19">
        <v>420</v>
      </c>
      <c r="R422" s="19">
        <v>420</v>
      </c>
    </row>
    <row r="423" spans="5:18" x14ac:dyDescent="0.15">
      <c r="E423" s="5"/>
      <c r="H423" s="19">
        <v>421</v>
      </c>
      <c r="R423" s="19">
        <v>421</v>
      </c>
    </row>
    <row r="424" spans="5:18" x14ac:dyDescent="0.15">
      <c r="E424" s="5"/>
      <c r="H424" s="19">
        <v>422</v>
      </c>
      <c r="R424" s="19">
        <v>422</v>
      </c>
    </row>
    <row r="425" spans="5:18" x14ac:dyDescent="0.15">
      <c r="E425" s="5"/>
      <c r="H425" s="19">
        <v>423</v>
      </c>
      <c r="R425" s="19">
        <v>423</v>
      </c>
    </row>
    <row r="426" spans="5:18" x14ac:dyDescent="0.15">
      <c r="E426" s="5"/>
      <c r="H426" s="19">
        <v>424</v>
      </c>
      <c r="R426" s="19">
        <v>424</v>
      </c>
    </row>
    <row r="427" spans="5:18" x14ac:dyDescent="0.15">
      <c r="E427" s="5"/>
      <c r="H427" s="19">
        <v>425</v>
      </c>
      <c r="R427" s="19">
        <v>425</v>
      </c>
    </row>
    <row r="428" spans="5:18" x14ac:dyDescent="0.15">
      <c r="E428" s="5"/>
      <c r="H428" s="19">
        <v>426</v>
      </c>
      <c r="R428" s="19">
        <v>426</v>
      </c>
    </row>
    <row r="429" spans="5:18" x14ac:dyDescent="0.15">
      <c r="E429" s="5"/>
      <c r="H429" s="19">
        <v>427</v>
      </c>
      <c r="R429" s="19">
        <v>427</v>
      </c>
    </row>
    <row r="430" spans="5:18" x14ac:dyDescent="0.15">
      <c r="E430" s="5"/>
      <c r="H430" s="19">
        <v>428</v>
      </c>
      <c r="R430" s="19">
        <v>428</v>
      </c>
    </row>
    <row r="431" spans="5:18" x14ac:dyDescent="0.15">
      <c r="E431" s="5"/>
      <c r="H431" s="19">
        <v>429</v>
      </c>
      <c r="R431" s="19">
        <v>429</v>
      </c>
    </row>
    <row r="432" spans="5:18" x14ac:dyDescent="0.15">
      <c r="E432" s="5"/>
      <c r="H432" s="19">
        <v>430</v>
      </c>
      <c r="R432" s="19">
        <v>430</v>
      </c>
    </row>
    <row r="433" spans="5:18" x14ac:dyDescent="0.15">
      <c r="E433" s="5"/>
      <c r="H433" s="19">
        <v>431</v>
      </c>
      <c r="R433" s="19">
        <v>431</v>
      </c>
    </row>
    <row r="434" spans="5:18" x14ac:dyDescent="0.15">
      <c r="E434" s="5"/>
      <c r="H434" s="19">
        <v>432</v>
      </c>
      <c r="R434" s="19">
        <v>432</v>
      </c>
    </row>
    <row r="435" spans="5:18" x14ac:dyDescent="0.15">
      <c r="E435" s="5"/>
      <c r="H435" s="19">
        <v>433</v>
      </c>
      <c r="R435" s="19">
        <v>433</v>
      </c>
    </row>
    <row r="436" spans="5:18" x14ac:dyDescent="0.15">
      <c r="E436" s="5"/>
      <c r="H436" s="19">
        <v>434</v>
      </c>
      <c r="R436" s="19">
        <v>434</v>
      </c>
    </row>
    <row r="437" spans="5:18" x14ac:dyDescent="0.15">
      <c r="E437" s="5"/>
      <c r="H437" s="19">
        <v>435</v>
      </c>
      <c r="R437" s="19">
        <v>435</v>
      </c>
    </row>
    <row r="438" spans="5:18" x14ac:dyDescent="0.15">
      <c r="E438" s="5"/>
      <c r="H438" s="19">
        <v>436</v>
      </c>
      <c r="R438" s="19">
        <v>436</v>
      </c>
    </row>
    <row r="439" spans="5:18" x14ac:dyDescent="0.15">
      <c r="E439" s="5"/>
      <c r="H439" s="19">
        <v>437</v>
      </c>
      <c r="R439" s="19">
        <v>437</v>
      </c>
    </row>
    <row r="440" spans="5:18" x14ac:dyDescent="0.15">
      <c r="E440" s="5"/>
      <c r="H440" s="19">
        <v>438</v>
      </c>
      <c r="R440" s="19">
        <v>438</v>
      </c>
    </row>
    <row r="441" spans="5:18" x14ac:dyDescent="0.15">
      <c r="E441" s="5"/>
      <c r="H441" s="19">
        <v>439</v>
      </c>
      <c r="R441" s="19">
        <v>439</v>
      </c>
    </row>
    <row r="442" spans="5:18" x14ac:dyDescent="0.15">
      <c r="E442" s="5"/>
      <c r="H442" s="19">
        <v>440</v>
      </c>
      <c r="R442" s="19">
        <v>440</v>
      </c>
    </row>
    <row r="443" spans="5:18" x14ac:dyDescent="0.15">
      <c r="E443" s="5"/>
      <c r="H443" s="19">
        <v>441</v>
      </c>
      <c r="R443" s="19">
        <v>441</v>
      </c>
    </row>
    <row r="444" spans="5:18" x14ac:dyDescent="0.15">
      <c r="E444" s="5"/>
      <c r="H444" s="19">
        <v>442</v>
      </c>
      <c r="R444" s="19">
        <v>442</v>
      </c>
    </row>
    <row r="445" spans="5:18" x14ac:dyDescent="0.15">
      <c r="E445" s="5"/>
      <c r="H445" s="19">
        <v>443</v>
      </c>
      <c r="R445" s="19">
        <v>443</v>
      </c>
    </row>
    <row r="446" spans="5:18" x14ac:dyDescent="0.15">
      <c r="E446" s="5"/>
      <c r="H446" s="19">
        <v>444</v>
      </c>
      <c r="R446" s="19">
        <v>444</v>
      </c>
    </row>
    <row r="447" spans="5:18" x14ac:dyDescent="0.15">
      <c r="E447" s="5"/>
      <c r="H447" s="19">
        <v>445</v>
      </c>
      <c r="R447" s="19">
        <v>445</v>
      </c>
    </row>
    <row r="448" spans="5:18" x14ac:dyDescent="0.15">
      <c r="E448" s="5"/>
      <c r="H448" s="19">
        <v>446</v>
      </c>
      <c r="R448" s="19">
        <v>446</v>
      </c>
    </row>
    <row r="449" spans="5:18" x14ac:dyDescent="0.15">
      <c r="E449" s="5"/>
      <c r="H449" s="19">
        <v>447</v>
      </c>
      <c r="R449" s="19">
        <v>447</v>
      </c>
    </row>
    <row r="450" spans="5:18" x14ac:dyDescent="0.15">
      <c r="E450" s="5"/>
      <c r="H450" s="19">
        <v>448</v>
      </c>
      <c r="R450" s="19">
        <v>448</v>
      </c>
    </row>
    <row r="451" spans="5:18" x14ac:dyDescent="0.15">
      <c r="E451" s="5"/>
      <c r="H451" s="19">
        <v>449</v>
      </c>
      <c r="R451" s="19">
        <v>449</v>
      </c>
    </row>
    <row r="452" spans="5:18" x14ac:dyDescent="0.15">
      <c r="E452" s="5"/>
      <c r="H452" s="19">
        <v>450</v>
      </c>
      <c r="R452" s="19">
        <v>450</v>
      </c>
    </row>
    <row r="453" spans="5:18" x14ac:dyDescent="0.15">
      <c r="E453" s="5"/>
      <c r="H453" s="19">
        <v>451</v>
      </c>
      <c r="R453" s="19">
        <v>451</v>
      </c>
    </row>
    <row r="454" spans="5:18" x14ac:dyDescent="0.15">
      <c r="E454" s="5"/>
      <c r="H454" s="19">
        <v>452</v>
      </c>
      <c r="R454" s="19">
        <v>452</v>
      </c>
    </row>
    <row r="455" spans="5:18" x14ac:dyDescent="0.15">
      <c r="E455" s="5"/>
      <c r="H455" s="19">
        <v>453</v>
      </c>
      <c r="R455" s="19">
        <v>453</v>
      </c>
    </row>
    <row r="456" spans="5:18" x14ac:dyDescent="0.15">
      <c r="E456" s="5"/>
      <c r="H456" s="19">
        <v>454</v>
      </c>
      <c r="R456" s="19">
        <v>454</v>
      </c>
    </row>
    <row r="457" spans="5:18" x14ac:dyDescent="0.15">
      <c r="E457" s="5"/>
      <c r="H457" s="19">
        <v>455</v>
      </c>
      <c r="R457" s="19">
        <v>455</v>
      </c>
    </row>
    <row r="458" spans="5:18" x14ac:dyDescent="0.15">
      <c r="E458" s="5"/>
      <c r="H458" s="19">
        <v>456</v>
      </c>
      <c r="R458" s="19">
        <v>456</v>
      </c>
    </row>
    <row r="459" spans="5:18" x14ac:dyDescent="0.15">
      <c r="E459" s="5"/>
      <c r="H459" s="19">
        <v>457</v>
      </c>
      <c r="R459" s="19">
        <v>457</v>
      </c>
    </row>
    <row r="460" spans="5:18" x14ac:dyDescent="0.15">
      <c r="E460" s="5"/>
      <c r="H460" s="19">
        <v>458</v>
      </c>
      <c r="R460" s="19">
        <v>458</v>
      </c>
    </row>
    <row r="461" spans="5:18" x14ac:dyDescent="0.15">
      <c r="E461" s="5"/>
      <c r="H461" s="19">
        <v>459</v>
      </c>
      <c r="R461" s="19">
        <v>459</v>
      </c>
    </row>
    <row r="462" spans="5:18" x14ac:dyDescent="0.15">
      <c r="E462" s="5"/>
      <c r="H462" s="19">
        <v>460</v>
      </c>
      <c r="R462" s="19">
        <v>460</v>
      </c>
    </row>
    <row r="463" spans="5:18" x14ac:dyDescent="0.15">
      <c r="E463" s="5"/>
      <c r="H463" s="19">
        <v>461</v>
      </c>
      <c r="R463" s="19">
        <v>461</v>
      </c>
    </row>
    <row r="464" spans="5:18" x14ac:dyDescent="0.15">
      <c r="E464" s="5"/>
      <c r="H464" s="19">
        <v>462</v>
      </c>
      <c r="R464" s="19">
        <v>462</v>
      </c>
    </row>
    <row r="465" spans="5:18" x14ac:dyDescent="0.15">
      <c r="E465" s="5"/>
      <c r="H465" s="19">
        <v>463</v>
      </c>
      <c r="R465" s="19">
        <v>463</v>
      </c>
    </row>
    <row r="466" spans="5:18" x14ac:dyDescent="0.15">
      <c r="E466" s="5"/>
      <c r="H466" s="19">
        <v>464</v>
      </c>
      <c r="R466" s="19">
        <v>464</v>
      </c>
    </row>
    <row r="467" spans="5:18" x14ac:dyDescent="0.15">
      <c r="E467" s="5"/>
      <c r="H467" s="19">
        <v>465</v>
      </c>
      <c r="R467" s="19">
        <v>465</v>
      </c>
    </row>
    <row r="468" spans="5:18" x14ac:dyDescent="0.15">
      <c r="E468" s="5"/>
      <c r="H468" s="19">
        <v>466</v>
      </c>
      <c r="R468" s="19">
        <v>466</v>
      </c>
    </row>
    <row r="469" spans="5:18" x14ac:dyDescent="0.15">
      <c r="E469" s="5"/>
      <c r="H469" s="19">
        <v>467</v>
      </c>
      <c r="R469" s="19">
        <v>467</v>
      </c>
    </row>
    <row r="470" spans="5:18" x14ac:dyDescent="0.15">
      <c r="E470" s="5"/>
      <c r="H470" s="19">
        <v>468</v>
      </c>
      <c r="R470" s="19">
        <v>468</v>
      </c>
    </row>
    <row r="471" spans="5:18" x14ac:dyDescent="0.15">
      <c r="E471" s="5"/>
      <c r="H471" s="19">
        <v>469</v>
      </c>
      <c r="R471" s="19">
        <v>469</v>
      </c>
    </row>
    <row r="472" spans="5:18" x14ac:dyDescent="0.15">
      <c r="E472" s="5"/>
      <c r="H472" s="19">
        <v>470</v>
      </c>
      <c r="R472" s="19">
        <v>470</v>
      </c>
    </row>
    <row r="473" spans="5:18" x14ac:dyDescent="0.15">
      <c r="E473" s="5"/>
      <c r="H473" s="19">
        <v>471</v>
      </c>
      <c r="R473" s="19">
        <v>471</v>
      </c>
    </row>
    <row r="474" spans="5:18" x14ac:dyDescent="0.15">
      <c r="E474" s="5"/>
      <c r="H474" s="19">
        <v>472</v>
      </c>
      <c r="R474" s="19">
        <v>472</v>
      </c>
    </row>
    <row r="475" spans="5:18" x14ac:dyDescent="0.15">
      <c r="E475" s="5"/>
      <c r="H475" s="19">
        <v>473</v>
      </c>
      <c r="R475" s="19">
        <v>473</v>
      </c>
    </row>
    <row r="476" spans="5:18" x14ac:dyDescent="0.15">
      <c r="E476" s="5"/>
      <c r="H476" s="19">
        <v>474</v>
      </c>
      <c r="R476" s="19">
        <v>474</v>
      </c>
    </row>
    <row r="477" spans="5:18" x14ac:dyDescent="0.15">
      <c r="E477" s="5"/>
      <c r="H477" s="19">
        <v>475</v>
      </c>
      <c r="R477" s="19">
        <v>475</v>
      </c>
    </row>
    <row r="478" spans="5:18" x14ac:dyDescent="0.15">
      <c r="E478" s="5"/>
      <c r="H478" s="19">
        <v>476</v>
      </c>
      <c r="R478" s="19">
        <v>476</v>
      </c>
    </row>
    <row r="479" spans="5:18" x14ac:dyDescent="0.15">
      <c r="E479" s="5"/>
      <c r="H479" s="19">
        <v>477</v>
      </c>
      <c r="R479" s="19">
        <v>477</v>
      </c>
    </row>
    <row r="480" spans="5:18" x14ac:dyDescent="0.15">
      <c r="E480" s="5"/>
      <c r="H480" s="19">
        <v>478</v>
      </c>
      <c r="R480" s="19">
        <v>478</v>
      </c>
    </row>
    <row r="481" spans="5:18" x14ac:dyDescent="0.15">
      <c r="E481" s="5"/>
      <c r="H481" s="19">
        <v>479</v>
      </c>
      <c r="R481" s="19">
        <v>479</v>
      </c>
    </row>
    <row r="482" spans="5:18" x14ac:dyDescent="0.15">
      <c r="E482" s="5"/>
      <c r="H482" s="19">
        <v>480</v>
      </c>
      <c r="R482" s="19">
        <v>480</v>
      </c>
    </row>
    <row r="483" spans="5:18" x14ac:dyDescent="0.15">
      <c r="E483" s="5"/>
      <c r="H483" s="19">
        <v>481</v>
      </c>
      <c r="R483" s="19">
        <v>481</v>
      </c>
    </row>
    <row r="484" spans="5:18" x14ac:dyDescent="0.15">
      <c r="E484" s="5"/>
      <c r="H484" s="19">
        <v>482</v>
      </c>
      <c r="R484" s="19">
        <v>482</v>
      </c>
    </row>
    <row r="485" spans="5:18" x14ac:dyDescent="0.15">
      <c r="E485" s="5"/>
      <c r="H485" s="19">
        <v>483</v>
      </c>
      <c r="R485" s="19">
        <v>483</v>
      </c>
    </row>
    <row r="486" spans="5:18" x14ac:dyDescent="0.15">
      <c r="E486" s="5"/>
      <c r="H486" s="19">
        <v>484</v>
      </c>
      <c r="R486" s="19">
        <v>484</v>
      </c>
    </row>
    <row r="487" spans="5:18" x14ac:dyDescent="0.15">
      <c r="E487" s="5"/>
      <c r="H487" s="19">
        <v>485</v>
      </c>
      <c r="R487" s="19">
        <v>485</v>
      </c>
    </row>
    <row r="488" spans="5:18" x14ac:dyDescent="0.15">
      <c r="E488" s="5"/>
      <c r="H488" s="19">
        <v>486</v>
      </c>
      <c r="R488" s="19">
        <v>486</v>
      </c>
    </row>
    <row r="489" spans="5:18" x14ac:dyDescent="0.15">
      <c r="E489" s="5"/>
      <c r="H489" s="19">
        <v>487</v>
      </c>
      <c r="R489" s="19">
        <v>487</v>
      </c>
    </row>
    <row r="490" spans="5:18" x14ac:dyDescent="0.15">
      <c r="E490" s="5"/>
      <c r="H490" s="19">
        <v>488</v>
      </c>
      <c r="R490" s="19">
        <v>488</v>
      </c>
    </row>
    <row r="491" spans="5:18" x14ac:dyDescent="0.15">
      <c r="E491" s="5"/>
      <c r="H491" s="19">
        <v>489</v>
      </c>
      <c r="R491" s="19">
        <v>489</v>
      </c>
    </row>
    <row r="492" spans="5:18" x14ac:dyDescent="0.15">
      <c r="E492" s="5"/>
      <c r="H492" s="19">
        <v>490</v>
      </c>
      <c r="R492" s="19">
        <v>490</v>
      </c>
    </row>
    <row r="493" spans="5:18" x14ac:dyDescent="0.15">
      <c r="E493" s="5"/>
      <c r="H493" s="19">
        <v>491</v>
      </c>
      <c r="R493" s="19">
        <v>491</v>
      </c>
    </row>
    <row r="494" spans="5:18" x14ac:dyDescent="0.15">
      <c r="E494" s="5"/>
      <c r="H494" s="19">
        <v>492</v>
      </c>
      <c r="R494" s="19">
        <v>492</v>
      </c>
    </row>
    <row r="495" spans="5:18" x14ac:dyDescent="0.15">
      <c r="E495" s="5"/>
      <c r="H495" s="19">
        <v>493</v>
      </c>
      <c r="R495" s="19">
        <v>493</v>
      </c>
    </row>
    <row r="496" spans="5:18" x14ac:dyDescent="0.15">
      <c r="E496" s="5"/>
      <c r="H496" s="19">
        <v>494</v>
      </c>
      <c r="R496" s="19">
        <v>494</v>
      </c>
    </row>
    <row r="497" spans="5:18" x14ac:dyDescent="0.15">
      <c r="E497" s="5"/>
      <c r="H497" s="19">
        <v>495</v>
      </c>
      <c r="R497" s="19">
        <v>495</v>
      </c>
    </row>
    <row r="498" spans="5:18" x14ac:dyDescent="0.15">
      <c r="E498" s="5"/>
      <c r="H498" s="19">
        <v>496</v>
      </c>
      <c r="R498" s="19">
        <v>496</v>
      </c>
    </row>
    <row r="499" spans="5:18" x14ac:dyDescent="0.15">
      <c r="E499" s="5"/>
      <c r="H499" s="19">
        <v>497</v>
      </c>
      <c r="R499" s="19">
        <v>497</v>
      </c>
    </row>
    <row r="500" spans="5:18" x14ac:dyDescent="0.15">
      <c r="E500" s="5"/>
      <c r="H500" s="19">
        <v>498</v>
      </c>
      <c r="R500" s="19">
        <v>498</v>
      </c>
    </row>
    <row r="501" spans="5:18" x14ac:dyDescent="0.15">
      <c r="E501" s="5"/>
      <c r="H501" s="19">
        <v>499</v>
      </c>
      <c r="R501" s="19">
        <v>499</v>
      </c>
    </row>
    <row r="502" spans="5:18" x14ac:dyDescent="0.15">
      <c r="E502" s="5"/>
      <c r="H502" s="19">
        <v>500</v>
      </c>
      <c r="R502" s="19">
        <v>500</v>
      </c>
    </row>
    <row r="503" spans="5:18" x14ac:dyDescent="0.15">
      <c r="E503" s="5"/>
      <c r="H503" s="19">
        <v>501</v>
      </c>
      <c r="R503" s="19">
        <v>501</v>
      </c>
    </row>
    <row r="504" spans="5:18" x14ac:dyDescent="0.15">
      <c r="E504" s="5"/>
      <c r="H504" s="19">
        <v>502</v>
      </c>
      <c r="R504" s="19">
        <v>502</v>
      </c>
    </row>
    <row r="505" spans="5:18" x14ac:dyDescent="0.15">
      <c r="E505" s="5"/>
      <c r="H505" s="19">
        <v>503</v>
      </c>
      <c r="R505" s="19">
        <v>503</v>
      </c>
    </row>
    <row r="506" spans="5:18" x14ac:dyDescent="0.15">
      <c r="E506" s="5"/>
      <c r="H506" s="19">
        <v>504</v>
      </c>
      <c r="R506" s="19">
        <v>504</v>
      </c>
    </row>
    <row r="507" spans="5:18" x14ac:dyDescent="0.15">
      <c r="E507" s="5"/>
      <c r="H507" s="19">
        <v>505</v>
      </c>
      <c r="R507" s="19">
        <v>505</v>
      </c>
    </row>
    <row r="508" spans="5:18" x14ac:dyDescent="0.15">
      <c r="E508" s="5"/>
      <c r="H508" s="19">
        <v>506</v>
      </c>
      <c r="R508" s="19">
        <v>506</v>
      </c>
    </row>
    <row r="509" spans="5:18" x14ac:dyDescent="0.15">
      <c r="E509" s="5"/>
      <c r="H509" s="19">
        <v>507</v>
      </c>
      <c r="R509" s="19">
        <v>507</v>
      </c>
    </row>
    <row r="510" spans="5:18" x14ac:dyDescent="0.15">
      <c r="E510" s="5"/>
      <c r="H510" s="19">
        <v>508</v>
      </c>
      <c r="R510" s="19">
        <v>508</v>
      </c>
    </row>
    <row r="511" spans="5:18" x14ac:dyDescent="0.15">
      <c r="E511" s="5"/>
      <c r="H511" s="19">
        <v>509</v>
      </c>
      <c r="R511" s="19">
        <v>509</v>
      </c>
    </row>
    <row r="512" spans="5:18" x14ac:dyDescent="0.15">
      <c r="E512" s="5"/>
      <c r="H512" s="19">
        <v>510</v>
      </c>
      <c r="R512" s="19">
        <v>510</v>
      </c>
    </row>
    <row r="513" spans="5:18" x14ac:dyDescent="0.15">
      <c r="E513" s="5"/>
      <c r="H513" s="19">
        <v>511</v>
      </c>
      <c r="R513" s="19">
        <v>511</v>
      </c>
    </row>
    <row r="514" spans="5:18" x14ac:dyDescent="0.15">
      <c r="E514" s="5"/>
      <c r="H514" s="19">
        <v>512</v>
      </c>
      <c r="R514" s="19">
        <v>512</v>
      </c>
    </row>
    <row r="515" spans="5:18" x14ac:dyDescent="0.15">
      <c r="E515" s="5"/>
      <c r="H515" s="19">
        <v>513</v>
      </c>
      <c r="R515" s="19">
        <v>513</v>
      </c>
    </row>
    <row r="516" spans="5:18" x14ac:dyDescent="0.15">
      <c r="E516" s="5"/>
      <c r="H516" s="19">
        <v>514</v>
      </c>
      <c r="R516" s="19">
        <v>514</v>
      </c>
    </row>
    <row r="517" spans="5:18" x14ac:dyDescent="0.15">
      <c r="E517" s="5"/>
      <c r="H517" s="19">
        <v>515</v>
      </c>
      <c r="R517" s="19">
        <v>515</v>
      </c>
    </row>
    <row r="518" spans="5:18" x14ac:dyDescent="0.15">
      <c r="E518" s="5"/>
      <c r="H518" s="19">
        <v>516</v>
      </c>
      <c r="R518" s="19">
        <v>516</v>
      </c>
    </row>
    <row r="519" spans="5:18" x14ac:dyDescent="0.15">
      <c r="E519" s="5"/>
      <c r="H519" s="19">
        <v>517</v>
      </c>
      <c r="R519" s="19">
        <v>517</v>
      </c>
    </row>
    <row r="520" spans="5:18" x14ac:dyDescent="0.15">
      <c r="E520" s="5"/>
      <c r="H520" s="19">
        <v>518</v>
      </c>
      <c r="R520" s="19">
        <v>518</v>
      </c>
    </row>
    <row r="521" spans="5:18" x14ac:dyDescent="0.15">
      <c r="E521" s="5"/>
      <c r="H521" s="19">
        <v>519</v>
      </c>
      <c r="R521" s="19">
        <v>519</v>
      </c>
    </row>
    <row r="522" spans="5:18" x14ac:dyDescent="0.15">
      <c r="E522" s="5"/>
      <c r="H522" s="19">
        <v>520</v>
      </c>
      <c r="R522" s="19">
        <v>520</v>
      </c>
    </row>
    <row r="523" spans="5:18" x14ac:dyDescent="0.15">
      <c r="E523" s="5"/>
      <c r="H523" s="19">
        <v>521</v>
      </c>
      <c r="R523" s="19">
        <v>521</v>
      </c>
    </row>
    <row r="524" spans="5:18" x14ac:dyDescent="0.15">
      <c r="E524" s="5"/>
      <c r="H524" s="19">
        <v>522</v>
      </c>
      <c r="R524" s="19">
        <v>522</v>
      </c>
    </row>
    <row r="525" spans="5:18" x14ac:dyDescent="0.15">
      <c r="E525" s="5"/>
      <c r="H525" s="19">
        <v>523</v>
      </c>
      <c r="R525" s="19">
        <v>523</v>
      </c>
    </row>
    <row r="526" spans="5:18" x14ac:dyDescent="0.15">
      <c r="E526" s="5"/>
      <c r="H526" s="19">
        <v>524</v>
      </c>
      <c r="R526" s="19">
        <v>524</v>
      </c>
    </row>
    <row r="527" spans="5:18" x14ac:dyDescent="0.15">
      <c r="E527" s="5"/>
      <c r="H527" s="19">
        <v>525</v>
      </c>
      <c r="R527" s="19">
        <v>525</v>
      </c>
    </row>
    <row r="528" spans="5:18" x14ac:dyDescent="0.15">
      <c r="E528" s="5"/>
      <c r="H528" s="19">
        <v>526</v>
      </c>
      <c r="R528" s="19">
        <v>526</v>
      </c>
    </row>
    <row r="529" spans="5:18" x14ac:dyDescent="0.15">
      <c r="E529" s="5"/>
      <c r="H529" s="19">
        <v>527</v>
      </c>
      <c r="R529" s="19">
        <v>527</v>
      </c>
    </row>
    <row r="530" spans="5:18" x14ac:dyDescent="0.15">
      <c r="E530" s="5"/>
      <c r="H530" s="19">
        <v>528</v>
      </c>
      <c r="R530" s="19">
        <v>528</v>
      </c>
    </row>
    <row r="531" spans="5:18" x14ac:dyDescent="0.15">
      <c r="E531" s="5"/>
      <c r="H531" s="19">
        <v>529</v>
      </c>
      <c r="R531" s="19">
        <v>529</v>
      </c>
    </row>
    <row r="532" spans="5:18" x14ac:dyDescent="0.15">
      <c r="E532" s="5"/>
      <c r="H532" s="19">
        <v>530</v>
      </c>
      <c r="R532" s="19">
        <v>530</v>
      </c>
    </row>
    <row r="533" spans="5:18" x14ac:dyDescent="0.15">
      <c r="E533" s="5"/>
      <c r="H533" s="19">
        <v>531</v>
      </c>
      <c r="R533" s="19">
        <v>531</v>
      </c>
    </row>
    <row r="534" spans="5:18" x14ac:dyDescent="0.15">
      <c r="E534" s="5"/>
      <c r="H534" s="19">
        <v>532</v>
      </c>
      <c r="R534" s="19">
        <v>532</v>
      </c>
    </row>
    <row r="535" spans="5:18" x14ac:dyDescent="0.15">
      <c r="E535" s="5"/>
      <c r="H535" s="19">
        <v>533</v>
      </c>
      <c r="R535" s="19">
        <v>533</v>
      </c>
    </row>
    <row r="536" spans="5:18" x14ac:dyDescent="0.15">
      <c r="E536" s="5"/>
      <c r="H536" s="19">
        <v>534</v>
      </c>
      <c r="R536" s="19">
        <v>534</v>
      </c>
    </row>
    <row r="537" spans="5:18" x14ac:dyDescent="0.15">
      <c r="E537" s="5"/>
      <c r="H537" s="19">
        <v>535</v>
      </c>
      <c r="R537" s="19">
        <v>535</v>
      </c>
    </row>
    <row r="538" spans="5:18" x14ac:dyDescent="0.15">
      <c r="E538" s="5"/>
      <c r="H538" s="19">
        <v>536</v>
      </c>
      <c r="R538" s="19">
        <v>536</v>
      </c>
    </row>
    <row r="539" spans="5:18" x14ac:dyDescent="0.15">
      <c r="E539" s="5"/>
      <c r="H539" s="19">
        <v>537</v>
      </c>
      <c r="R539" s="19">
        <v>537</v>
      </c>
    </row>
    <row r="540" spans="5:18" x14ac:dyDescent="0.15">
      <c r="E540" s="5"/>
      <c r="H540" s="19">
        <v>538</v>
      </c>
      <c r="R540" s="19">
        <v>538</v>
      </c>
    </row>
    <row r="541" spans="5:18" x14ac:dyDescent="0.15">
      <c r="E541" s="5"/>
      <c r="H541" s="19">
        <v>539</v>
      </c>
      <c r="R541" s="19">
        <v>539</v>
      </c>
    </row>
    <row r="542" spans="5:18" x14ac:dyDescent="0.15">
      <c r="E542" s="5"/>
      <c r="H542" s="19">
        <v>540</v>
      </c>
      <c r="R542" s="19">
        <v>540</v>
      </c>
    </row>
    <row r="543" spans="5:18" x14ac:dyDescent="0.15">
      <c r="E543" s="5"/>
      <c r="H543" s="19">
        <v>541</v>
      </c>
      <c r="R543" s="19">
        <v>541</v>
      </c>
    </row>
    <row r="544" spans="5:18" x14ac:dyDescent="0.15">
      <c r="E544" s="5"/>
      <c r="H544" s="19">
        <v>542</v>
      </c>
      <c r="R544" s="19">
        <v>542</v>
      </c>
    </row>
    <row r="545" spans="5:18" x14ac:dyDescent="0.15">
      <c r="E545" s="5"/>
      <c r="H545" s="19">
        <v>543</v>
      </c>
      <c r="R545" s="19">
        <v>543</v>
      </c>
    </row>
    <row r="546" spans="5:18" x14ac:dyDescent="0.15">
      <c r="E546" s="5"/>
      <c r="H546" s="19">
        <v>544</v>
      </c>
      <c r="R546" s="19">
        <v>544</v>
      </c>
    </row>
    <row r="547" spans="5:18" x14ac:dyDescent="0.15">
      <c r="E547" s="5"/>
      <c r="H547" s="19">
        <v>545</v>
      </c>
      <c r="R547" s="19">
        <v>545</v>
      </c>
    </row>
    <row r="548" spans="5:18" x14ac:dyDescent="0.15">
      <c r="E548" s="5"/>
      <c r="H548" s="19">
        <v>546</v>
      </c>
      <c r="R548" s="19">
        <v>546</v>
      </c>
    </row>
    <row r="549" spans="5:18" x14ac:dyDescent="0.15">
      <c r="E549" s="5"/>
      <c r="H549" s="19">
        <v>547</v>
      </c>
      <c r="R549" s="19">
        <v>547</v>
      </c>
    </row>
    <row r="550" spans="5:18" x14ac:dyDescent="0.15">
      <c r="E550" s="5"/>
      <c r="H550" s="19">
        <v>548</v>
      </c>
      <c r="R550" s="19">
        <v>548</v>
      </c>
    </row>
    <row r="551" spans="5:18" x14ac:dyDescent="0.15">
      <c r="E551" s="5"/>
      <c r="H551" s="19">
        <v>549</v>
      </c>
      <c r="R551" s="19">
        <v>549</v>
      </c>
    </row>
    <row r="552" spans="5:18" x14ac:dyDescent="0.15">
      <c r="E552" s="5"/>
      <c r="H552" s="19">
        <v>550</v>
      </c>
      <c r="R552" s="19">
        <v>550</v>
      </c>
    </row>
    <row r="553" spans="5:18" x14ac:dyDescent="0.15">
      <c r="E553" s="5"/>
      <c r="H553" s="19">
        <v>551</v>
      </c>
      <c r="R553" s="19">
        <v>551</v>
      </c>
    </row>
    <row r="554" spans="5:18" x14ac:dyDescent="0.15">
      <c r="E554" s="5"/>
      <c r="H554" s="19">
        <v>552</v>
      </c>
      <c r="R554" s="19">
        <v>552</v>
      </c>
    </row>
    <row r="555" spans="5:18" x14ac:dyDescent="0.15">
      <c r="E555" s="5"/>
      <c r="H555" s="19">
        <v>553</v>
      </c>
      <c r="R555" s="19">
        <v>553</v>
      </c>
    </row>
    <row r="556" spans="5:18" x14ac:dyDescent="0.15">
      <c r="E556" s="5"/>
      <c r="H556" s="19">
        <v>554</v>
      </c>
      <c r="R556" s="19">
        <v>554</v>
      </c>
    </row>
    <row r="557" spans="5:18" x14ac:dyDescent="0.15">
      <c r="E557" s="5"/>
      <c r="H557" s="19">
        <v>555</v>
      </c>
      <c r="R557" s="19">
        <v>555</v>
      </c>
    </row>
    <row r="558" spans="5:18" x14ac:dyDescent="0.15">
      <c r="E558" s="5"/>
      <c r="H558" s="19">
        <v>556</v>
      </c>
      <c r="R558" s="19">
        <v>556</v>
      </c>
    </row>
    <row r="559" spans="5:18" x14ac:dyDescent="0.15">
      <c r="E559" s="5"/>
      <c r="H559" s="19">
        <v>557</v>
      </c>
      <c r="R559" s="19">
        <v>557</v>
      </c>
    </row>
    <row r="560" spans="5:18" x14ac:dyDescent="0.15">
      <c r="E560" s="5"/>
      <c r="H560" s="19">
        <v>558</v>
      </c>
      <c r="R560" s="19">
        <v>558</v>
      </c>
    </row>
    <row r="561" spans="5:18" x14ac:dyDescent="0.15">
      <c r="E561" s="5"/>
      <c r="H561" s="19">
        <v>559</v>
      </c>
      <c r="R561" s="19">
        <v>559</v>
      </c>
    </row>
    <row r="562" spans="5:18" x14ac:dyDescent="0.15">
      <c r="E562" s="5"/>
      <c r="H562" s="19">
        <v>560</v>
      </c>
      <c r="R562" s="19">
        <v>560</v>
      </c>
    </row>
    <row r="563" spans="5:18" x14ac:dyDescent="0.15">
      <c r="E563" s="5"/>
      <c r="H563" s="19">
        <v>561</v>
      </c>
      <c r="R563" s="19">
        <v>561</v>
      </c>
    </row>
    <row r="564" spans="5:18" x14ac:dyDescent="0.15">
      <c r="E564" s="5"/>
      <c r="H564" s="19">
        <v>562</v>
      </c>
      <c r="R564" s="19">
        <v>562</v>
      </c>
    </row>
    <row r="565" spans="5:18" x14ac:dyDescent="0.15">
      <c r="E565" s="5"/>
      <c r="H565" s="19">
        <v>563</v>
      </c>
      <c r="R565" s="19">
        <v>563</v>
      </c>
    </row>
    <row r="566" spans="5:18" x14ac:dyDescent="0.15">
      <c r="E566" s="5"/>
      <c r="H566" s="19">
        <v>564</v>
      </c>
      <c r="R566" s="19">
        <v>564</v>
      </c>
    </row>
    <row r="567" spans="5:18" x14ac:dyDescent="0.15">
      <c r="E567" s="5"/>
      <c r="H567" s="19">
        <v>565</v>
      </c>
      <c r="R567" s="19">
        <v>565</v>
      </c>
    </row>
    <row r="568" spans="5:18" x14ac:dyDescent="0.15">
      <c r="E568" s="5"/>
      <c r="H568" s="19">
        <v>566</v>
      </c>
      <c r="R568" s="19">
        <v>566</v>
      </c>
    </row>
    <row r="569" spans="5:18" x14ac:dyDescent="0.15">
      <c r="E569" s="5"/>
      <c r="H569" s="19">
        <v>567</v>
      </c>
      <c r="R569" s="19">
        <v>567</v>
      </c>
    </row>
    <row r="570" spans="5:18" x14ac:dyDescent="0.15">
      <c r="E570" s="5"/>
      <c r="H570" s="19">
        <v>568</v>
      </c>
      <c r="R570" s="19">
        <v>568</v>
      </c>
    </row>
    <row r="571" spans="5:18" x14ac:dyDescent="0.15">
      <c r="E571" s="5"/>
      <c r="H571" s="19">
        <v>569</v>
      </c>
      <c r="R571" s="19">
        <v>569</v>
      </c>
    </row>
    <row r="572" spans="5:18" x14ac:dyDescent="0.15">
      <c r="E572" s="5"/>
      <c r="H572" s="19">
        <v>570</v>
      </c>
      <c r="R572" s="19">
        <v>570</v>
      </c>
    </row>
    <row r="573" spans="5:18" x14ac:dyDescent="0.15">
      <c r="E573" s="5"/>
      <c r="H573" s="19">
        <v>571</v>
      </c>
      <c r="R573" s="19">
        <v>571</v>
      </c>
    </row>
    <row r="574" spans="5:18" x14ac:dyDescent="0.15">
      <c r="E574" s="5"/>
      <c r="H574" s="19">
        <v>572</v>
      </c>
      <c r="R574" s="19">
        <v>572</v>
      </c>
    </row>
    <row r="575" spans="5:18" x14ac:dyDescent="0.15">
      <c r="E575" s="5"/>
      <c r="H575" s="19">
        <v>573</v>
      </c>
      <c r="R575" s="19">
        <v>573</v>
      </c>
    </row>
    <row r="576" spans="5:18" x14ac:dyDescent="0.15">
      <c r="E576" s="5"/>
      <c r="H576" s="19">
        <v>574</v>
      </c>
      <c r="R576" s="19">
        <v>574</v>
      </c>
    </row>
    <row r="577" spans="5:18" x14ac:dyDescent="0.15">
      <c r="E577" s="5"/>
      <c r="H577" s="19">
        <v>575</v>
      </c>
      <c r="R577" s="19">
        <v>575</v>
      </c>
    </row>
    <row r="578" spans="5:18" x14ac:dyDescent="0.15">
      <c r="E578" s="5"/>
      <c r="H578" s="19">
        <v>576</v>
      </c>
      <c r="R578" s="19">
        <v>576</v>
      </c>
    </row>
    <row r="579" spans="5:18" x14ac:dyDescent="0.15">
      <c r="E579" s="5"/>
      <c r="H579" s="19">
        <v>577</v>
      </c>
      <c r="R579" s="19">
        <v>577</v>
      </c>
    </row>
    <row r="580" spans="5:18" x14ac:dyDescent="0.15">
      <c r="E580" s="5"/>
      <c r="H580" s="19">
        <v>578</v>
      </c>
      <c r="R580" s="19">
        <v>578</v>
      </c>
    </row>
    <row r="581" spans="5:18" x14ac:dyDescent="0.15">
      <c r="E581" s="5"/>
      <c r="H581" s="19">
        <v>579</v>
      </c>
      <c r="R581" s="19">
        <v>579</v>
      </c>
    </row>
    <row r="582" spans="5:18" x14ac:dyDescent="0.15">
      <c r="E582" s="5"/>
      <c r="H582" s="19">
        <v>580</v>
      </c>
      <c r="R582" s="19">
        <v>580</v>
      </c>
    </row>
    <row r="583" spans="5:18" x14ac:dyDescent="0.15">
      <c r="E583" s="5"/>
      <c r="H583" s="19">
        <v>581</v>
      </c>
      <c r="R583" s="19">
        <v>581</v>
      </c>
    </row>
    <row r="584" spans="5:18" x14ac:dyDescent="0.15">
      <c r="E584" s="5"/>
      <c r="H584" s="19">
        <v>582</v>
      </c>
      <c r="R584" s="19">
        <v>582</v>
      </c>
    </row>
    <row r="585" spans="5:18" x14ac:dyDescent="0.15">
      <c r="E585" s="5"/>
      <c r="H585" s="19">
        <v>583</v>
      </c>
      <c r="R585" s="19">
        <v>583</v>
      </c>
    </row>
    <row r="586" spans="5:18" x14ac:dyDescent="0.15">
      <c r="E586" s="5"/>
      <c r="H586" s="19">
        <v>584</v>
      </c>
      <c r="R586" s="19">
        <v>584</v>
      </c>
    </row>
    <row r="587" spans="5:18" x14ac:dyDescent="0.15">
      <c r="E587" s="5"/>
      <c r="H587" s="19">
        <v>585</v>
      </c>
      <c r="R587" s="19">
        <v>585</v>
      </c>
    </row>
    <row r="588" spans="5:18" x14ac:dyDescent="0.15">
      <c r="E588" s="5"/>
      <c r="H588" s="19">
        <v>586</v>
      </c>
      <c r="R588" s="19">
        <v>586</v>
      </c>
    </row>
    <row r="589" spans="5:18" x14ac:dyDescent="0.15">
      <c r="E589" s="5"/>
      <c r="H589" s="19">
        <v>587</v>
      </c>
      <c r="R589" s="19">
        <v>587</v>
      </c>
    </row>
    <row r="590" spans="5:18" x14ac:dyDescent="0.15">
      <c r="E590" s="5"/>
      <c r="H590" s="19">
        <v>588</v>
      </c>
      <c r="R590" s="19">
        <v>588</v>
      </c>
    </row>
    <row r="591" spans="5:18" x14ac:dyDescent="0.15">
      <c r="E591" s="5"/>
      <c r="H591" s="19">
        <v>589</v>
      </c>
      <c r="R591" s="19">
        <v>589</v>
      </c>
    </row>
    <row r="592" spans="5:18" x14ac:dyDescent="0.15">
      <c r="E592" s="5"/>
      <c r="H592" s="19">
        <v>590</v>
      </c>
      <c r="R592" s="19">
        <v>590</v>
      </c>
    </row>
    <row r="593" spans="5:18" x14ac:dyDescent="0.15">
      <c r="E593" s="5"/>
      <c r="H593" s="19">
        <v>591</v>
      </c>
      <c r="R593" s="19">
        <v>591</v>
      </c>
    </row>
    <row r="594" spans="5:18" x14ac:dyDescent="0.15">
      <c r="E594" s="5"/>
      <c r="H594" s="19">
        <v>592</v>
      </c>
      <c r="R594" s="19">
        <v>592</v>
      </c>
    </row>
    <row r="595" spans="5:18" x14ac:dyDescent="0.15">
      <c r="E595" s="5"/>
      <c r="H595" s="19">
        <v>593</v>
      </c>
      <c r="R595" s="19">
        <v>593</v>
      </c>
    </row>
    <row r="596" spans="5:18" x14ac:dyDescent="0.15">
      <c r="E596" s="5"/>
      <c r="H596" s="19">
        <v>594</v>
      </c>
      <c r="R596" s="19">
        <v>594</v>
      </c>
    </row>
    <row r="597" spans="5:18" x14ac:dyDescent="0.15">
      <c r="E597" s="5"/>
      <c r="H597" s="19">
        <v>595</v>
      </c>
      <c r="R597" s="19">
        <v>595</v>
      </c>
    </row>
    <row r="598" spans="5:18" x14ac:dyDescent="0.15">
      <c r="E598" s="5"/>
      <c r="H598" s="19">
        <v>596</v>
      </c>
      <c r="R598" s="19">
        <v>596</v>
      </c>
    </row>
    <row r="599" spans="5:18" x14ac:dyDescent="0.15">
      <c r="E599" s="5"/>
      <c r="H599" s="19">
        <v>597</v>
      </c>
      <c r="R599" s="19">
        <v>597</v>
      </c>
    </row>
    <row r="600" spans="5:18" x14ac:dyDescent="0.15">
      <c r="E600" s="5"/>
      <c r="H600" s="19">
        <v>598</v>
      </c>
      <c r="R600" s="19">
        <v>598</v>
      </c>
    </row>
    <row r="601" spans="5:18" x14ac:dyDescent="0.15">
      <c r="E601" s="5"/>
      <c r="H601" s="19">
        <v>599</v>
      </c>
      <c r="R601" s="19">
        <v>599</v>
      </c>
    </row>
    <row r="602" spans="5:18" x14ac:dyDescent="0.15">
      <c r="E602" s="5"/>
      <c r="H602" s="19">
        <v>600</v>
      </c>
      <c r="R602" s="19">
        <v>600</v>
      </c>
    </row>
    <row r="603" spans="5:18" x14ac:dyDescent="0.15">
      <c r="E603" s="5"/>
      <c r="H603" s="19">
        <v>601</v>
      </c>
      <c r="R603" s="19">
        <v>601</v>
      </c>
    </row>
    <row r="604" spans="5:18" x14ac:dyDescent="0.15">
      <c r="E604" s="5"/>
      <c r="H604" s="19">
        <v>602</v>
      </c>
      <c r="R604" s="19">
        <v>602</v>
      </c>
    </row>
    <row r="605" spans="5:18" x14ac:dyDescent="0.15">
      <c r="E605" s="5"/>
      <c r="H605" s="19">
        <v>603</v>
      </c>
      <c r="R605" s="19">
        <v>603</v>
      </c>
    </row>
    <row r="606" spans="5:18" x14ac:dyDescent="0.15">
      <c r="E606" s="5"/>
      <c r="H606" s="19">
        <v>604</v>
      </c>
      <c r="R606" s="19">
        <v>604</v>
      </c>
    </row>
    <row r="607" spans="5:18" x14ac:dyDescent="0.15">
      <c r="E607" s="5"/>
      <c r="H607" s="19">
        <v>605</v>
      </c>
      <c r="R607" s="19">
        <v>605</v>
      </c>
    </row>
    <row r="608" spans="5:18" x14ac:dyDescent="0.15">
      <c r="E608" s="5"/>
      <c r="H608" s="19">
        <v>606</v>
      </c>
      <c r="R608" s="19">
        <v>606</v>
      </c>
    </row>
    <row r="609" spans="5:18" x14ac:dyDescent="0.15">
      <c r="E609" s="5"/>
      <c r="H609" s="19">
        <v>607</v>
      </c>
      <c r="R609" s="19">
        <v>607</v>
      </c>
    </row>
    <row r="610" spans="5:18" x14ac:dyDescent="0.15">
      <c r="E610" s="5"/>
      <c r="H610" s="19">
        <v>608</v>
      </c>
      <c r="R610" s="19">
        <v>608</v>
      </c>
    </row>
    <row r="611" spans="5:18" x14ac:dyDescent="0.15">
      <c r="E611" s="5"/>
      <c r="H611" s="19">
        <v>609</v>
      </c>
      <c r="R611" s="19">
        <v>609</v>
      </c>
    </row>
    <row r="612" spans="5:18" x14ac:dyDescent="0.15">
      <c r="E612" s="5"/>
      <c r="H612" s="19">
        <v>610</v>
      </c>
      <c r="R612" s="19">
        <v>610</v>
      </c>
    </row>
    <row r="613" spans="5:18" x14ac:dyDescent="0.15">
      <c r="E613" s="5"/>
      <c r="H613" s="19">
        <v>611</v>
      </c>
      <c r="R613" s="19">
        <v>611</v>
      </c>
    </row>
    <row r="614" spans="5:18" x14ac:dyDescent="0.15">
      <c r="E614" s="5"/>
      <c r="H614" s="19">
        <v>612</v>
      </c>
      <c r="R614" s="19">
        <v>612</v>
      </c>
    </row>
    <row r="615" spans="5:18" x14ac:dyDescent="0.15">
      <c r="E615" s="5"/>
      <c r="H615" s="19">
        <v>613</v>
      </c>
      <c r="R615" s="19">
        <v>613</v>
      </c>
    </row>
    <row r="616" spans="5:18" x14ac:dyDescent="0.15">
      <c r="E616" s="5"/>
      <c r="H616" s="19">
        <v>614</v>
      </c>
      <c r="R616" s="19">
        <v>614</v>
      </c>
    </row>
    <row r="617" spans="5:18" x14ac:dyDescent="0.15">
      <c r="E617" s="5"/>
      <c r="H617" s="19">
        <v>615</v>
      </c>
      <c r="R617" s="19">
        <v>615</v>
      </c>
    </row>
    <row r="618" spans="5:18" x14ac:dyDescent="0.15">
      <c r="E618" s="5"/>
      <c r="H618" s="19">
        <v>616</v>
      </c>
      <c r="R618" s="19">
        <v>616</v>
      </c>
    </row>
    <row r="619" spans="5:18" x14ac:dyDescent="0.15">
      <c r="E619" s="5"/>
      <c r="H619" s="19">
        <v>617</v>
      </c>
      <c r="R619" s="19">
        <v>617</v>
      </c>
    </row>
    <row r="620" spans="5:18" x14ac:dyDescent="0.15">
      <c r="E620" s="5"/>
      <c r="H620" s="19">
        <v>618</v>
      </c>
      <c r="R620" s="19">
        <v>618</v>
      </c>
    </row>
    <row r="621" spans="5:18" x14ac:dyDescent="0.15">
      <c r="E621" s="5"/>
      <c r="H621" s="19">
        <v>619</v>
      </c>
      <c r="R621" s="19">
        <v>619</v>
      </c>
    </row>
    <row r="622" spans="5:18" x14ac:dyDescent="0.15">
      <c r="E622" s="5"/>
      <c r="H622" s="19">
        <v>620</v>
      </c>
      <c r="R622" s="19">
        <v>620</v>
      </c>
    </row>
    <row r="623" spans="5:18" x14ac:dyDescent="0.15">
      <c r="E623" s="5"/>
      <c r="H623" s="19">
        <v>621</v>
      </c>
      <c r="R623" s="19">
        <v>621</v>
      </c>
    </row>
    <row r="624" spans="5:18" x14ac:dyDescent="0.15">
      <c r="E624" s="5"/>
      <c r="H624" s="19">
        <v>622</v>
      </c>
      <c r="R624" s="19">
        <v>622</v>
      </c>
    </row>
    <row r="625" spans="5:18" x14ac:dyDescent="0.15">
      <c r="E625" s="5"/>
      <c r="H625" s="19">
        <v>623</v>
      </c>
      <c r="R625" s="19">
        <v>623</v>
      </c>
    </row>
    <row r="626" spans="5:18" x14ac:dyDescent="0.15">
      <c r="E626" s="5"/>
      <c r="H626" s="19">
        <v>624</v>
      </c>
      <c r="R626" s="19">
        <v>624</v>
      </c>
    </row>
    <row r="627" spans="5:18" x14ac:dyDescent="0.15">
      <c r="E627" s="5"/>
      <c r="H627" s="19">
        <v>625</v>
      </c>
      <c r="R627" s="19">
        <v>625</v>
      </c>
    </row>
    <row r="628" spans="5:18" x14ac:dyDescent="0.15">
      <c r="E628" s="5"/>
      <c r="H628" s="19">
        <v>626</v>
      </c>
      <c r="R628" s="19">
        <v>626</v>
      </c>
    </row>
    <row r="629" spans="5:18" x14ac:dyDescent="0.15">
      <c r="E629" s="5"/>
      <c r="H629" s="19">
        <v>627</v>
      </c>
      <c r="R629" s="19">
        <v>627</v>
      </c>
    </row>
    <row r="630" spans="5:18" x14ac:dyDescent="0.15">
      <c r="E630" s="5"/>
      <c r="H630" s="19">
        <v>628</v>
      </c>
      <c r="R630" s="19">
        <v>628</v>
      </c>
    </row>
    <row r="631" spans="5:18" x14ac:dyDescent="0.15">
      <c r="E631" s="5"/>
      <c r="H631" s="19">
        <v>629</v>
      </c>
      <c r="R631" s="19">
        <v>629</v>
      </c>
    </row>
    <row r="632" spans="5:18" x14ac:dyDescent="0.15">
      <c r="E632" s="5"/>
      <c r="H632" s="19">
        <v>630</v>
      </c>
      <c r="R632" s="19">
        <v>630</v>
      </c>
    </row>
    <row r="633" spans="5:18" x14ac:dyDescent="0.15">
      <c r="E633" s="5"/>
      <c r="H633" s="19">
        <v>631</v>
      </c>
      <c r="R633" s="19">
        <v>631</v>
      </c>
    </row>
    <row r="634" spans="5:18" x14ac:dyDescent="0.15">
      <c r="E634" s="5"/>
      <c r="H634" s="19">
        <v>632</v>
      </c>
      <c r="R634" s="19">
        <v>632</v>
      </c>
    </row>
    <row r="635" spans="5:18" x14ac:dyDescent="0.15">
      <c r="E635" s="5"/>
      <c r="H635" s="19">
        <v>633</v>
      </c>
      <c r="R635" s="19">
        <v>633</v>
      </c>
    </row>
    <row r="636" spans="5:18" x14ac:dyDescent="0.15">
      <c r="E636" s="5"/>
      <c r="H636" s="19">
        <v>634</v>
      </c>
      <c r="R636" s="19">
        <v>634</v>
      </c>
    </row>
    <row r="637" spans="5:18" x14ac:dyDescent="0.15">
      <c r="E637" s="5"/>
      <c r="H637" s="19">
        <v>635</v>
      </c>
      <c r="R637" s="19">
        <v>635</v>
      </c>
    </row>
    <row r="638" spans="5:18" x14ac:dyDescent="0.15">
      <c r="E638" s="5"/>
      <c r="H638" s="19">
        <v>636</v>
      </c>
      <c r="R638" s="19">
        <v>636</v>
      </c>
    </row>
    <row r="639" spans="5:18" x14ac:dyDescent="0.15">
      <c r="E639" s="5"/>
      <c r="H639" s="19">
        <v>637</v>
      </c>
      <c r="R639" s="19">
        <v>637</v>
      </c>
    </row>
    <row r="640" spans="5:18" x14ac:dyDescent="0.15">
      <c r="E640" s="5"/>
      <c r="H640" s="19">
        <v>638</v>
      </c>
      <c r="R640" s="19">
        <v>638</v>
      </c>
    </row>
    <row r="641" spans="5:18" x14ac:dyDescent="0.15">
      <c r="E641" s="5"/>
      <c r="H641" s="19">
        <v>639</v>
      </c>
      <c r="R641" s="19">
        <v>639</v>
      </c>
    </row>
    <row r="642" spans="5:18" x14ac:dyDescent="0.15">
      <c r="E642" s="5"/>
      <c r="H642" s="19">
        <v>640</v>
      </c>
      <c r="R642" s="19">
        <v>640</v>
      </c>
    </row>
    <row r="643" spans="5:18" x14ac:dyDescent="0.15">
      <c r="E643" s="5"/>
      <c r="H643" s="19">
        <v>641</v>
      </c>
      <c r="R643" s="19">
        <v>641</v>
      </c>
    </row>
    <row r="644" spans="5:18" x14ac:dyDescent="0.15">
      <c r="E644" s="5"/>
      <c r="H644" s="19">
        <v>642</v>
      </c>
      <c r="R644" s="19">
        <v>642</v>
      </c>
    </row>
    <row r="645" spans="5:18" x14ac:dyDescent="0.15">
      <c r="E645" s="5"/>
      <c r="H645" s="19">
        <v>643</v>
      </c>
      <c r="R645" s="19">
        <v>643</v>
      </c>
    </row>
    <row r="646" spans="5:18" x14ac:dyDescent="0.15">
      <c r="E646" s="5"/>
      <c r="H646" s="19">
        <v>644</v>
      </c>
      <c r="R646" s="19">
        <v>644</v>
      </c>
    </row>
    <row r="647" spans="5:18" x14ac:dyDescent="0.15">
      <c r="E647" s="5"/>
      <c r="H647" s="19">
        <v>645</v>
      </c>
      <c r="R647" s="19">
        <v>645</v>
      </c>
    </row>
    <row r="648" spans="5:18" x14ac:dyDescent="0.15">
      <c r="E648" s="5"/>
      <c r="H648" s="19">
        <v>646</v>
      </c>
      <c r="R648" s="19">
        <v>646</v>
      </c>
    </row>
    <row r="649" spans="5:18" x14ac:dyDescent="0.15">
      <c r="E649" s="5"/>
      <c r="H649" s="19">
        <v>647</v>
      </c>
      <c r="R649" s="19">
        <v>647</v>
      </c>
    </row>
    <row r="650" spans="5:18" x14ac:dyDescent="0.15">
      <c r="E650" s="5"/>
      <c r="H650" s="19">
        <v>648</v>
      </c>
      <c r="R650" s="19">
        <v>648</v>
      </c>
    </row>
    <row r="651" spans="5:18" x14ac:dyDescent="0.15">
      <c r="E651" s="5"/>
      <c r="H651" s="19">
        <v>649</v>
      </c>
      <c r="R651" s="19">
        <v>649</v>
      </c>
    </row>
    <row r="652" spans="5:18" x14ac:dyDescent="0.15">
      <c r="E652" s="5"/>
      <c r="H652" s="19">
        <v>650</v>
      </c>
      <c r="R652" s="19">
        <v>650</v>
      </c>
    </row>
    <row r="653" spans="5:18" x14ac:dyDescent="0.15">
      <c r="E653" s="5"/>
      <c r="H653" s="19">
        <v>651</v>
      </c>
      <c r="R653" s="19">
        <v>651</v>
      </c>
    </row>
    <row r="654" spans="5:18" x14ac:dyDescent="0.15">
      <c r="E654" s="5"/>
      <c r="H654" s="19">
        <v>652</v>
      </c>
      <c r="R654" s="19">
        <v>652</v>
      </c>
    </row>
    <row r="655" spans="5:18" x14ac:dyDescent="0.15">
      <c r="E655" s="5"/>
      <c r="H655" s="19">
        <v>653</v>
      </c>
      <c r="R655" s="19">
        <v>653</v>
      </c>
    </row>
    <row r="656" spans="5:18" x14ac:dyDescent="0.15">
      <c r="E656" s="5"/>
      <c r="H656" s="19">
        <v>654</v>
      </c>
      <c r="R656" s="19">
        <v>654</v>
      </c>
    </row>
    <row r="657" spans="5:18" x14ac:dyDescent="0.15">
      <c r="E657" s="5"/>
      <c r="H657" s="19">
        <v>655</v>
      </c>
      <c r="R657" s="19">
        <v>655</v>
      </c>
    </row>
    <row r="658" spans="5:18" x14ac:dyDescent="0.15">
      <c r="E658" s="5"/>
      <c r="H658" s="19">
        <v>656</v>
      </c>
      <c r="R658" s="19">
        <v>656</v>
      </c>
    </row>
    <row r="659" spans="5:18" x14ac:dyDescent="0.15">
      <c r="E659" s="5"/>
      <c r="H659" s="19">
        <v>657</v>
      </c>
      <c r="R659" s="19">
        <v>657</v>
      </c>
    </row>
    <row r="660" spans="5:18" x14ac:dyDescent="0.15">
      <c r="E660" s="5"/>
      <c r="H660" s="19">
        <v>658</v>
      </c>
      <c r="R660" s="19">
        <v>658</v>
      </c>
    </row>
    <row r="661" spans="5:18" x14ac:dyDescent="0.15">
      <c r="E661" s="5"/>
      <c r="H661" s="19">
        <v>659</v>
      </c>
      <c r="R661" s="19">
        <v>659</v>
      </c>
    </row>
    <row r="662" spans="5:18" x14ac:dyDescent="0.15">
      <c r="E662" s="5"/>
      <c r="H662" s="19">
        <v>660</v>
      </c>
      <c r="R662" s="19">
        <v>660</v>
      </c>
    </row>
    <row r="663" spans="5:18" x14ac:dyDescent="0.15">
      <c r="E663" s="5"/>
      <c r="H663" s="19">
        <v>661</v>
      </c>
      <c r="R663" s="19">
        <v>661</v>
      </c>
    </row>
    <row r="664" spans="5:18" x14ac:dyDescent="0.15">
      <c r="E664" s="5"/>
      <c r="H664" s="19">
        <v>662</v>
      </c>
      <c r="R664" s="19">
        <v>662</v>
      </c>
    </row>
    <row r="665" spans="5:18" x14ac:dyDescent="0.15">
      <c r="E665" s="5"/>
      <c r="H665" s="19">
        <v>663</v>
      </c>
      <c r="R665" s="19">
        <v>663</v>
      </c>
    </row>
    <row r="666" spans="5:18" x14ac:dyDescent="0.15">
      <c r="E666" s="5"/>
      <c r="H666" s="19">
        <v>664</v>
      </c>
      <c r="R666" s="19">
        <v>664</v>
      </c>
    </row>
    <row r="667" spans="5:18" x14ac:dyDescent="0.15">
      <c r="E667" s="5"/>
      <c r="H667" s="19">
        <v>665</v>
      </c>
      <c r="R667" s="19">
        <v>665</v>
      </c>
    </row>
    <row r="668" spans="5:18" x14ac:dyDescent="0.15">
      <c r="E668" s="5"/>
      <c r="H668" s="19">
        <v>666</v>
      </c>
      <c r="R668" s="19">
        <v>666</v>
      </c>
    </row>
    <row r="669" spans="5:18" x14ac:dyDescent="0.15">
      <c r="E669" s="5"/>
      <c r="H669" s="19">
        <v>667</v>
      </c>
      <c r="R669" s="19">
        <v>667</v>
      </c>
    </row>
    <row r="670" spans="5:18" x14ac:dyDescent="0.15">
      <c r="E670" s="5"/>
      <c r="H670" s="19">
        <v>668</v>
      </c>
      <c r="R670" s="19">
        <v>668</v>
      </c>
    </row>
    <row r="671" spans="5:18" x14ac:dyDescent="0.15">
      <c r="E671" s="5"/>
      <c r="H671" s="19">
        <v>669</v>
      </c>
      <c r="R671" s="19">
        <v>669</v>
      </c>
    </row>
    <row r="672" spans="5:18" x14ac:dyDescent="0.15">
      <c r="E672" s="5"/>
      <c r="H672" s="19">
        <v>670</v>
      </c>
      <c r="R672" s="19">
        <v>670</v>
      </c>
    </row>
    <row r="673" spans="5:18" x14ac:dyDescent="0.15">
      <c r="E673" s="5"/>
      <c r="H673" s="19">
        <v>671</v>
      </c>
      <c r="R673" s="19">
        <v>671</v>
      </c>
    </row>
    <row r="674" spans="5:18" x14ac:dyDescent="0.15">
      <c r="E674" s="5"/>
      <c r="H674" s="19">
        <v>672</v>
      </c>
      <c r="R674" s="19">
        <v>672</v>
      </c>
    </row>
    <row r="675" spans="5:18" x14ac:dyDescent="0.15">
      <c r="E675" s="5"/>
      <c r="H675" s="19">
        <v>673</v>
      </c>
      <c r="R675" s="19">
        <v>673</v>
      </c>
    </row>
    <row r="676" spans="5:18" x14ac:dyDescent="0.15">
      <c r="E676" s="5"/>
      <c r="H676" s="19">
        <v>674</v>
      </c>
      <c r="R676" s="19">
        <v>674</v>
      </c>
    </row>
    <row r="677" spans="5:18" x14ac:dyDescent="0.15">
      <c r="E677" s="5"/>
      <c r="H677" s="19">
        <v>675</v>
      </c>
      <c r="R677" s="19">
        <v>675</v>
      </c>
    </row>
    <row r="678" spans="5:18" x14ac:dyDescent="0.15">
      <c r="E678" s="5"/>
      <c r="H678" s="19">
        <v>676</v>
      </c>
      <c r="R678" s="19">
        <v>676</v>
      </c>
    </row>
    <row r="679" spans="5:18" x14ac:dyDescent="0.15">
      <c r="E679" s="5"/>
      <c r="H679" s="19">
        <v>677</v>
      </c>
      <c r="R679" s="19">
        <v>677</v>
      </c>
    </row>
    <row r="680" spans="5:18" x14ac:dyDescent="0.15">
      <c r="E680" s="5"/>
      <c r="H680" s="19">
        <v>678</v>
      </c>
      <c r="R680" s="19">
        <v>678</v>
      </c>
    </row>
    <row r="681" spans="5:18" x14ac:dyDescent="0.15">
      <c r="E681" s="5"/>
      <c r="H681" s="19">
        <v>679</v>
      </c>
      <c r="R681" s="19">
        <v>679</v>
      </c>
    </row>
    <row r="682" spans="5:18" x14ac:dyDescent="0.15">
      <c r="E682" s="5"/>
      <c r="H682" s="19">
        <v>680</v>
      </c>
      <c r="R682" s="19">
        <v>680</v>
      </c>
    </row>
    <row r="683" spans="5:18" x14ac:dyDescent="0.15">
      <c r="E683" s="5"/>
      <c r="H683" s="19">
        <v>681</v>
      </c>
      <c r="R683" s="19">
        <v>681</v>
      </c>
    </row>
    <row r="684" spans="5:18" x14ac:dyDescent="0.15">
      <c r="E684" s="5"/>
      <c r="H684" s="19">
        <v>682</v>
      </c>
      <c r="R684" s="19">
        <v>682</v>
      </c>
    </row>
    <row r="685" spans="5:18" x14ac:dyDescent="0.15">
      <c r="E685" s="5"/>
      <c r="H685" s="19">
        <v>683</v>
      </c>
      <c r="R685" s="19">
        <v>683</v>
      </c>
    </row>
    <row r="686" spans="5:18" x14ac:dyDescent="0.15">
      <c r="E686" s="5"/>
      <c r="H686" s="19">
        <v>684</v>
      </c>
      <c r="R686" s="19">
        <v>684</v>
      </c>
    </row>
    <row r="687" spans="5:18" x14ac:dyDescent="0.15">
      <c r="E687" s="5"/>
      <c r="H687" s="19">
        <v>685</v>
      </c>
      <c r="R687" s="19">
        <v>685</v>
      </c>
    </row>
    <row r="688" spans="5:18" x14ac:dyDescent="0.15">
      <c r="E688" s="5"/>
      <c r="H688" s="19">
        <v>686</v>
      </c>
      <c r="R688" s="19">
        <v>686</v>
      </c>
    </row>
    <row r="689" spans="5:18" x14ac:dyDescent="0.15">
      <c r="E689" s="5"/>
      <c r="H689" s="19">
        <v>687</v>
      </c>
      <c r="R689" s="19">
        <v>687</v>
      </c>
    </row>
    <row r="690" spans="5:18" x14ac:dyDescent="0.15">
      <c r="E690" s="5"/>
      <c r="H690" s="19">
        <v>688</v>
      </c>
      <c r="R690" s="19">
        <v>688</v>
      </c>
    </row>
    <row r="691" spans="5:18" x14ac:dyDescent="0.15">
      <c r="E691" s="5"/>
      <c r="H691" s="19">
        <v>689</v>
      </c>
      <c r="R691" s="19">
        <v>689</v>
      </c>
    </row>
    <row r="692" spans="5:18" x14ac:dyDescent="0.15">
      <c r="E692" s="5"/>
      <c r="H692" s="19">
        <v>690</v>
      </c>
      <c r="R692" s="19">
        <v>690</v>
      </c>
    </row>
    <row r="693" spans="5:18" x14ac:dyDescent="0.15">
      <c r="E693" s="5"/>
      <c r="H693" s="19">
        <v>691</v>
      </c>
      <c r="R693" s="19">
        <v>691</v>
      </c>
    </row>
    <row r="694" spans="5:18" x14ac:dyDescent="0.15">
      <c r="E694" s="5"/>
      <c r="H694" s="19">
        <v>692</v>
      </c>
      <c r="R694" s="19">
        <v>692</v>
      </c>
    </row>
    <row r="695" spans="5:18" x14ac:dyDescent="0.15">
      <c r="E695" s="5"/>
      <c r="H695" s="19">
        <v>693</v>
      </c>
      <c r="R695" s="19">
        <v>693</v>
      </c>
    </row>
    <row r="696" spans="5:18" x14ac:dyDescent="0.15">
      <c r="E696" s="5"/>
      <c r="H696" s="19">
        <v>694</v>
      </c>
      <c r="R696" s="19">
        <v>694</v>
      </c>
    </row>
    <row r="697" spans="5:18" x14ac:dyDescent="0.15">
      <c r="E697" s="5"/>
      <c r="H697" s="19">
        <v>695</v>
      </c>
      <c r="R697" s="19">
        <v>695</v>
      </c>
    </row>
    <row r="698" spans="5:18" x14ac:dyDescent="0.15">
      <c r="E698" s="5"/>
      <c r="H698" s="19">
        <v>696</v>
      </c>
      <c r="R698" s="19">
        <v>696</v>
      </c>
    </row>
    <row r="699" spans="5:18" x14ac:dyDescent="0.15">
      <c r="E699" s="5"/>
      <c r="H699" s="19">
        <v>697</v>
      </c>
      <c r="R699" s="19">
        <v>697</v>
      </c>
    </row>
    <row r="700" spans="5:18" x14ac:dyDescent="0.15">
      <c r="E700" s="5"/>
      <c r="H700" s="19">
        <v>698</v>
      </c>
      <c r="R700" s="19">
        <v>698</v>
      </c>
    </row>
    <row r="701" spans="5:18" x14ac:dyDescent="0.15">
      <c r="E701" s="5"/>
      <c r="H701" s="19">
        <v>699</v>
      </c>
      <c r="R701" s="19">
        <v>699</v>
      </c>
    </row>
    <row r="702" spans="5:18" x14ac:dyDescent="0.15">
      <c r="E702" s="5"/>
      <c r="H702" s="19">
        <v>700</v>
      </c>
      <c r="R702" s="19">
        <v>700</v>
      </c>
    </row>
    <row r="703" spans="5:18" x14ac:dyDescent="0.15">
      <c r="E703" s="5"/>
      <c r="H703" s="19">
        <v>701</v>
      </c>
      <c r="R703" s="19">
        <v>701</v>
      </c>
    </row>
    <row r="704" spans="5:18" x14ac:dyDescent="0.15">
      <c r="E704" s="5"/>
      <c r="H704" s="19">
        <v>702</v>
      </c>
      <c r="R704" s="19">
        <v>702</v>
      </c>
    </row>
    <row r="705" spans="5:18" x14ac:dyDescent="0.15">
      <c r="E705" s="5"/>
      <c r="H705" s="19">
        <v>703</v>
      </c>
      <c r="R705" s="19">
        <v>703</v>
      </c>
    </row>
    <row r="706" spans="5:18" x14ac:dyDescent="0.15">
      <c r="E706" s="5"/>
      <c r="H706" s="19">
        <v>704</v>
      </c>
      <c r="R706" s="19">
        <v>704</v>
      </c>
    </row>
    <row r="707" spans="5:18" x14ac:dyDescent="0.15">
      <c r="E707" s="5"/>
      <c r="H707" s="19">
        <v>705</v>
      </c>
      <c r="R707" s="19">
        <v>705</v>
      </c>
    </row>
    <row r="708" spans="5:18" x14ac:dyDescent="0.15">
      <c r="E708" s="5"/>
      <c r="H708" s="19">
        <v>706</v>
      </c>
      <c r="R708" s="19">
        <v>706</v>
      </c>
    </row>
    <row r="709" spans="5:18" x14ac:dyDescent="0.15">
      <c r="E709" s="5"/>
      <c r="H709" s="19">
        <v>707</v>
      </c>
      <c r="R709" s="19">
        <v>707</v>
      </c>
    </row>
    <row r="710" spans="5:18" x14ac:dyDescent="0.15">
      <c r="E710" s="5"/>
      <c r="H710" s="19">
        <v>708</v>
      </c>
      <c r="R710" s="19">
        <v>708</v>
      </c>
    </row>
    <row r="711" spans="5:18" x14ac:dyDescent="0.15">
      <c r="E711" s="5"/>
      <c r="H711" s="19">
        <v>709</v>
      </c>
      <c r="R711" s="19">
        <v>709</v>
      </c>
    </row>
    <row r="712" spans="5:18" x14ac:dyDescent="0.15">
      <c r="E712" s="5"/>
      <c r="H712" s="19">
        <v>710</v>
      </c>
      <c r="R712" s="19">
        <v>710</v>
      </c>
    </row>
    <row r="713" spans="5:18" x14ac:dyDescent="0.15">
      <c r="E713" s="5"/>
      <c r="H713" s="19">
        <v>711</v>
      </c>
      <c r="R713" s="19">
        <v>711</v>
      </c>
    </row>
    <row r="714" spans="5:18" x14ac:dyDescent="0.15">
      <c r="E714" s="5"/>
      <c r="H714" s="19">
        <v>712</v>
      </c>
      <c r="R714" s="19">
        <v>712</v>
      </c>
    </row>
    <row r="715" spans="5:18" x14ac:dyDescent="0.15">
      <c r="E715" s="5"/>
      <c r="H715" s="19">
        <v>713</v>
      </c>
      <c r="R715" s="19">
        <v>713</v>
      </c>
    </row>
    <row r="716" spans="5:18" x14ac:dyDescent="0.15">
      <c r="E716" s="5"/>
      <c r="H716" s="19">
        <v>714</v>
      </c>
      <c r="R716" s="19">
        <v>714</v>
      </c>
    </row>
    <row r="717" spans="5:18" x14ac:dyDescent="0.15">
      <c r="E717" s="5"/>
      <c r="H717" s="19">
        <v>715</v>
      </c>
      <c r="R717" s="19">
        <v>715</v>
      </c>
    </row>
    <row r="718" spans="5:18" x14ac:dyDescent="0.15">
      <c r="E718" s="5"/>
      <c r="H718" s="19">
        <v>716</v>
      </c>
      <c r="R718" s="19">
        <v>716</v>
      </c>
    </row>
    <row r="719" spans="5:18" x14ac:dyDescent="0.15">
      <c r="E719" s="5"/>
      <c r="H719" s="19">
        <v>717</v>
      </c>
      <c r="R719" s="19">
        <v>717</v>
      </c>
    </row>
    <row r="720" spans="5:18" x14ac:dyDescent="0.15">
      <c r="E720" s="5"/>
      <c r="H720" s="19">
        <v>718</v>
      </c>
      <c r="R720" s="19">
        <v>718</v>
      </c>
    </row>
    <row r="721" spans="5:18" x14ac:dyDescent="0.15">
      <c r="E721" s="5"/>
      <c r="H721" s="19">
        <v>719</v>
      </c>
      <c r="R721" s="19">
        <v>719</v>
      </c>
    </row>
    <row r="722" spans="5:18" x14ac:dyDescent="0.15">
      <c r="E722" s="5"/>
      <c r="H722" s="19">
        <v>720</v>
      </c>
      <c r="R722" s="19">
        <v>720</v>
      </c>
    </row>
    <row r="723" spans="5:18" x14ac:dyDescent="0.15">
      <c r="E723" s="5"/>
      <c r="H723" s="19">
        <v>721</v>
      </c>
      <c r="R723" s="19">
        <v>721</v>
      </c>
    </row>
    <row r="724" spans="5:18" x14ac:dyDescent="0.15">
      <c r="E724" s="5"/>
      <c r="H724" s="19">
        <v>722</v>
      </c>
      <c r="R724" s="19">
        <v>722</v>
      </c>
    </row>
    <row r="725" spans="5:18" x14ac:dyDescent="0.15">
      <c r="E725" s="5"/>
      <c r="H725" s="19">
        <v>723</v>
      </c>
      <c r="R725" s="19">
        <v>723</v>
      </c>
    </row>
    <row r="726" spans="5:18" x14ac:dyDescent="0.15">
      <c r="E726" s="5"/>
      <c r="H726" s="19">
        <v>724</v>
      </c>
      <c r="R726" s="19">
        <v>724</v>
      </c>
    </row>
    <row r="727" spans="5:18" x14ac:dyDescent="0.15">
      <c r="E727" s="5"/>
      <c r="H727" s="19">
        <v>725</v>
      </c>
      <c r="R727" s="19">
        <v>725</v>
      </c>
    </row>
    <row r="728" spans="5:18" x14ac:dyDescent="0.15">
      <c r="E728" s="5"/>
      <c r="H728" s="19">
        <v>726</v>
      </c>
      <c r="R728" s="19">
        <v>726</v>
      </c>
    </row>
    <row r="729" spans="5:18" x14ac:dyDescent="0.15">
      <c r="E729" s="5"/>
      <c r="H729" s="19">
        <v>727</v>
      </c>
      <c r="R729" s="19">
        <v>727</v>
      </c>
    </row>
    <row r="730" spans="5:18" x14ac:dyDescent="0.15">
      <c r="E730" s="5"/>
      <c r="H730" s="19">
        <v>728</v>
      </c>
      <c r="R730" s="19">
        <v>728</v>
      </c>
    </row>
    <row r="731" spans="5:18" x14ac:dyDescent="0.15">
      <c r="E731" s="5"/>
      <c r="H731" s="19">
        <v>729</v>
      </c>
      <c r="R731" s="19">
        <v>729</v>
      </c>
    </row>
    <row r="732" spans="5:18" x14ac:dyDescent="0.15">
      <c r="E732" s="5"/>
      <c r="H732" s="19">
        <v>730</v>
      </c>
      <c r="R732" s="19">
        <v>730</v>
      </c>
    </row>
    <row r="733" spans="5:18" x14ac:dyDescent="0.15">
      <c r="E733" s="5"/>
      <c r="H733" s="19">
        <v>731</v>
      </c>
      <c r="R733" s="19">
        <v>731</v>
      </c>
    </row>
    <row r="734" spans="5:18" x14ac:dyDescent="0.15">
      <c r="E734" s="5"/>
      <c r="H734" s="19">
        <v>732</v>
      </c>
      <c r="R734" s="19">
        <v>732</v>
      </c>
    </row>
    <row r="735" spans="5:18" x14ac:dyDescent="0.15">
      <c r="E735" s="5"/>
      <c r="H735" s="19">
        <v>733</v>
      </c>
      <c r="R735" s="19">
        <v>733</v>
      </c>
    </row>
    <row r="736" spans="5:18" x14ac:dyDescent="0.15">
      <c r="E736" s="5"/>
      <c r="H736" s="19">
        <v>734</v>
      </c>
      <c r="R736" s="19">
        <v>734</v>
      </c>
    </row>
    <row r="737" spans="5:18" x14ac:dyDescent="0.15">
      <c r="E737" s="5"/>
      <c r="H737" s="19">
        <v>735</v>
      </c>
      <c r="R737" s="19">
        <v>735</v>
      </c>
    </row>
    <row r="738" spans="5:18" x14ac:dyDescent="0.15">
      <c r="E738" s="5"/>
      <c r="H738" s="19">
        <v>736</v>
      </c>
      <c r="R738" s="19">
        <v>736</v>
      </c>
    </row>
    <row r="739" spans="5:18" x14ac:dyDescent="0.15">
      <c r="E739" s="5"/>
      <c r="H739" s="19">
        <v>737</v>
      </c>
      <c r="R739" s="19">
        <v>737</v>
      </c>
    </row>
    <row r="740" spans="5:18" x14ac:dyDescent="0.15">
      <c r="E740" s="5"/>
      <c r="H740" s="19">
        <v>738</v>
      </c>
      <c r="R740" s="19">
        <v>738</v>
      </c>
    </row>
    <row r="741" spans="5:18" x14ac:dyDescent="0.15">
      <c r="E741" s="5"/>
      <c r="H741" s="19">
        <v>739</v>
      </c>
      <c r="R741" s="19">
        <v>739</v>
      </c>
    </row>
    <row r="742" spans="5:18" x14ac:dyDescent="0.15">
      <c r="E742" s="5"/>
      <c r="H742" s="19">
        <v>740</v>
      </c>
      <c r="R742" s="19">
        <v>740</v>
      </c>
    </row>
    <row r="743" spans="5:18" x14ac:dyDescent="0.15">
      <c r="E743" s="5"/>
      <c r="H743" s="19">
        <v>741</v>
      </c>
      <c r="R743" s="19">
        <v>741</v>
      </c>
    </row>
    <row r="744" spans="5:18" x14ac:dyDescent="0.15">
      <c r="E744" s="5"/>
      <c r="H744" s="19">
        <v>742</v>
      </c>
      <c r="R744" s="19">
        <v>742</v>
      </c>
    </row>
    <row r="745" spans="5:18" x14ac:dyDescent="0.15">
      <c r="E745" s="5"/>
      <c r="H745" s="19">
        <v>743</v>
      </c>
      <c r="R745" s="19">
        <v>743</v>
      </c>
    </row>
    <row r="746" spans="5:18" x14ac:dyDescent="0.15">
      <c r="E746" s="5"/>
      <c r="H746" s="19">
        <v>744</v>
      </c>
      <c r="R746" s="19">
        <v>744</v>
      </c>
    </row>
    <row r="747" spans="5:18" x14ac:dyDescent="0.15">
      <c r="E747" s="5"/>
      <c r="H747" s="19">
        <v>745</v>
      </c>
      <c r="R747" s="19">
        <v>745</v>
      </c>
    </row>
    <row r="748" spans="5:18" x14ac:dyDescent="0.15">
      <c r="E748" s="5"/>
      <c r="H748" s="19">
        <v>746</v>
      </c>
      <c r="R748" s="19">
        <v>746</v>
      </c>
    </row>
    <row r="749" spans="5:18" x14ac:dyDescent="0.15">
      <c r="E749" s="5"/>
      <c r="H749" s="19">
        <v>747</v>
      </c>
      <c r="R749" s="19">
        <v>747</v>
      </c>
    </row>
    <row r="750" spans="5:18" x14ac:dyDescent="0.15">
      <c r="E750" s="5"/>
      <c r="H750" s="19">
        <v>748</v>
      </c>
      <c r="R750" s="19">
        <v>748</v>
      </c>
    </row>
  </sheetData>
  <autoFilter ref="A2:V750"/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refresh_price_and_premium_rate_convertible_bond">
                <anchor moveWithCells="1" sizeWithCells="1">
                  <from>
                    <xdr:col>14</xdr:col>
                    <xdr:colOff>590550</xdr:colOff>
                    <xdr:row>2</xdr:row>
                    <xdr:rowOff>76200</xdr:rowOff>
                  </from>
                  <to>
                    <xdr:col>15</xdr:col>
                    <xdr:colOff>495300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704"/>
  <sheetViews>
    <sheetView workbookViewId="0">
      <pane ySplit="1" topLeftCell="A2" activePane="bottomLeft" state="frozen"/>
      <selection pane="bottomLeft" activeCell="K17" sqref="K17"/>
    </sheetView>
  </sheetViews>
  <sheetFormatPr defaultRowHeight="14.25" x14ac:dyDescent="0.15"/>
  <cols>
    <col min="2" max="2" width="10.375" customWidth="1"/>
    <col min="3" max="3" width="17.25" bestFit="1" customWidth="1"/>
    <col min="4" max="4" width="13.75" bestFit="1" customWidth="1"/>
    <col min="5" max="5" width="11.375" customWidth="1"/>
    <col min="6" max="6" width="13.25" customWidth="1"/>
    <col min="7" max="7" width="4.5" style="11" bestFit="1" customWidth="1"/>
    <col min="8" max="8" width="13.75" bestFit="1" customWidth="1"/>
    <col min="9" max="9" width="18.375" bestFit="1" customWidth="1"/>
    <col min="10" max="10" width="10.625" customWidth="1"/>
    <col min="11" max="11" width="10.375" customWidth="1"/>
    <col min="12" max="12" width="8" style="20" customWidth="1"/>
    <col min="13" max="13" width="8.875" customWidth="1"/>
    <col min="14" max="14" width="9" customWidth="1"/>
    <col min="15" max="15" width="8" customWidth="1"/>
    <col min="16" max="16" width="11.625" style="21" customWidth="1"/>
  </cols>
  <sheetData>
    <row r="1" spans="1:16" s="22" customFormat="1" ht="53.25" customHeight="1" x14ac:dyDescent="0.15">
      <c r="A1" s="29" t="s">
        <v>283</v>
      </c>
      <c r="B1" s="23" t="s">
        <v>39</v>
      </c>
      <c r="C1" s="23" t="s">
        <v>38</v>
      </c>
      <c r="D1" s="23" t="s">
        <v>1691</v>
      </c>
      <c r="E1" s="27"/>
      <c r="F1" s="29" t="s">
        <v>779</v>
      </c>
      <c r="G1" s="24"/>
      <c r="H1" s="23" t="s">
        <v>39</v>
      </c>
      <c r="I1" s="23" t="s">
        <v>38</v>
      </c>
      <c r="J1" s="23" t="s">
        <v>37</v>
      </c>
      <c r="K1" s="23" t="s">
        <v>36</v>
      </c>
      <c r="L1" s="25" t="s">
        <v>35</v>
      </c>
      <c r="M1" s="23" t="s">
        <v>34</v>
      </c>
      <c r="N1" s="23" t="s">
        <v>1685</v>
      </c>
      <c r="O1" s="23" t="s">
        <v>1686</v>
      </c>
      <c r="P1" s="26" t="s">
        <v>1687</v>
      </c>
    </row>
    <row r="2" spans="1:16" x14ac:dyDescent="0.15">
      <c r="A2">
        <v>1</v>
      </c>
      <c r="B2">
        <v>159981</v>
      </c>
      <c r="C2" t="s">
        <v>33</v>
      </c>
      <c r="D2">
        <f>MATCH(IF(B2&lt;499999,"SZ"&amp;B2,"SH"&amp;B2),$H$2:$H$3000,0)</f>
        <v>262</v>
      </c>
      <c r="G2" s="11">
        <v>1</v>
      </c>
      <c r="H2" s="10" t="s">
        <v>284</v>
      </c>
      <c r="I2" t="s">
        <v>844</v>
      </c>
      <c r="J2" t="s">
        <v>833</v>
      </c>
      <c r="K2">
        <v>21.59</v>
      </c>
      <c r="L2" s="20">
        <v>-7.91</v>
      </c>
      <c r="M2">
        <v>192.32</v>
      </c>
      <c r="N2">
        <v>92.75</v>
      </c>
      <c r="O2">
        <v>99.57</v>
      </c>
      <c r="P2" s="21">
        <v>79.329300000000003</v>
      </c>
    </row>
    <row r="3" spans="1:16" x14ac:dyDescent="0.15">
      <c r="A3">
        <v>2</v>
      </c>
      <c r="B3">
        <v>160416</v>
      </c>
      <c r="C3" t="s">
        <v>32</v>
      </c>
      <c r="D3">
        <f t="shared" ref="D3:D11" si="0">MATCH(IF(B3&lt;499999,"SZ"&amp;B3,"SH"&amp;B3),$H$2:$H$3000,0)</f>
        <v>447</v>
      </c>
      <c r="F3" s="9"/>
      <c r="G3" s="11">
        <v>2</v>
      </c>
      <c r="H3" s="10" t="s">
        <v>301</v>
      </c>
      <c r="I3" t="s">
        <v>848</v>
      </c>
      <c r="J3" t="s">
        <v>833</v>
      </c>
      <c r="K3">
        <v>24.26</v>
      </c>
      <c r="L3" s="20">
        <v>-1.89</v>
      </c>
      <c r="M3">
        <v>191.18</v>
      </c>
      <c r="N3">
        <v>95.45</v>
      </c>
      <c r="O3">
        <v>95.73</v>
      </c>
      <c r="P3" s="21">
        <v>540.37040000000002</v>
      </c>
    </row>
    <row r="4" spans="1:16" x14ac:dyDescent="0.15">
      <c r="A4">
        <v>3</v>
      </c>
      <c r="B4">
        <v>164906</v>
      </c>
      <c r="C4" t="s">
        <v>31</v>
      </c>
      <c r="D4">
        <f t="shared" si="0"/>
        <v>598</v>
      </c>
      <c r="F4" s="9"/>
      <c r="G4" s="11">
        <v>3</v>
      </c>
      <c r="H4" s="10" t="s">
        <v>296</v>
      </c>
      <c r="I4" t="s">
        <v>857</v>
      </c>
      <c r="J4" t="s">
        <v>833</v>
      </c>
      <c r="K4">
        <v>20.75</v>
      </c>
      <c r="L4" s="20">
        <v>-5.52</v>
      </c>
      <c r="M4">
        <v>189.9</v>
      </c>
      <c r="N4">
        <v>91.04</v>
      </c>
      <c r="O4">
        <v>98.86</v>
      </c>
      <c r="P4" s="21">
        <v>267.51900000000001</v>
      </c>
    </row>
    <row r="5" spans="1:16" x14ac:dyDescent="0.15">
      <c r="A5">
        <v>4</v>
      </c>
      <c r="B5">
        <v>159985</v>
      </c>
      <c r="C5" t="s">
        <v>30</v>
      </c>
      <c r="D5">
        <f t="shared" si="0"/>
        <v>622</v>
      </c>
      <c r="F5" s="9"/>
      <c r="G5" s="11">
        <v>4</v>
      </c>
      <c r="H5" s="10" t="s">
        <v>289</v>
      </c>
      <c r="I5" t="s">
        <v>864</v>
      </c>
      <c r="J5" t="s">
        <v>833</v>
      </c>
      <c r="K5">
        <v>18.420000000000002</v>
      </c>
      <c r="L5" s="20">
        <v>-5.1100000000000003</v>
      </c>
      <c r="M5">
        <v>185.07</v>
      </c>
      <c r="N5">
        <v>86.63</v>
      </c>
      <c r="O5">
        <v>98.44</v>
      </c>
      <c r="P5" s="21">
        <v>658.346</v>
      </c>
    </row>
    <row r="6" spans="1:16" x14ac:dyDescent="0.15">
      <c r="A6">
        <v>5</v>
      </c>
      <c r="B6">
        <v>501046</v>
      </c>
      <c r="C6" t="s">
        <v>40</v>
      </c>
      <c r="D6">
        <f t="shared" si="0"/>
        <v>686</v>
      </c>
      <c r="F6" s="9"/>
      <c r="G6" s="11">
        <v>5</v>
      </c>
      <c r="H6" s="10" t="s">
        <v>291</v>
      </c>
      <c r="I6" t="s">
        <v>849</v>
      </c>
      <c r="J6" t="s">
        <v>833</v>
      </c>
      <c r="K6">
        <v>18.32</v>
      </c>
      <c r="L6" s="20">
        <v>-5.39</v>
      </c>
      <c r="M6">
        <v>185.06</v>
      </c>
      <c r="N6">
        <v>86.34</v>
      </c>
      <c r="O6">
        <v>98.72</v>
      </c>
      <c r="P6" s="21">
        <v>277.36849999999998</v>
      </c>
    </row>
    <row r="7" spans="1:16" x14ac:dyDescent="0.15">
      <c r="A7">
        <v>6</v>
      </c>
      <c r="B7">
        <v>159980</v>
      </c>
      <c r="C7" t="s">
        <v>29</v>
      </c>
      <c r="D7">
        <f t="shared" si="0"/>
        <v>458</v>
      </c>
      <c r="G7" s="11">
        <v>6</v>
      </c>
      <c r="H7" s="10" t="s">
        <v>305</v>
      </c>
      <c r="I7" t="s">
        <v>851</v>
      </c>
      <c r="J7" t="s">
        <v>833</v>
      </c>
      <c r="K7">
        <v>17.260000000000002</v>
      </c>
      <c r="L7" s="20">
        <v>-9.92</v>
      </c>
      <c r="M7">
        <v>184.78</v>
      </c>
      <c r="N7">
        <v>84.92</v>
      </c>
      <c r="O7">
        <v>99.86</v>
      </c>
      <c r="P7" s="21">
        <v>327.90710000000001</v>
      </c>
    </row>
    <row r="8" spans="1:16" x14ac:dyDescent="0.15">
      <c r="A8">
        <v>7</v>
      </c>
      <c r="B8">
        <v>160216</v>
      </c>
      <c r="C8" t="s">
        <v>28</v>
      </c>
      <c r="D8">
        <f t="shared" si="0"/>
        <v>517</v>
      </c>
      <c r="G8" s="11">
        <v>7</v>
      </c>
      <c r="H8" s="10" t="s">
        <v>294</v>
      </c>
      <c r="I8" t="s">
        <v>861</v>
      </c>
      <c r="J8" t="s">
        <v>833</v>
      </c>
      <c r="K8">
        <v>17.52</v>
      </c>
      <c r="L8" s="20">
        <v>-4.95</v>
      </c>
      <c r="M8">
        <v>183.36</v>
      </c>
      <c r="N8">
        <v>85.21</v>
      </c>
      <c r="O8">
        <v>98.15</v>
      </c>
      <c r="P8" s="21">
        <v>208.12576859999999</v>
      </c>
    </row>
    <row r="9" spans="1:16" x14ac:dyDescent="0.15">
      <c r="A9">
        <v>8</v>
      </c>
      <c r="B9">
        <v>513680</v>
      </c>
      <c r="C9" t="s">
        <v>257</v>
      </c>
      <c r="D9">
        <f t="shared" si="0"/>
        <v>495</v>
      </c>
      <c r="G9" s="11">
        <v>8</v>
      </c>
      <c r="H9" s="10" t="s">
        <v>1343</v>
      </c>
      <c r="I9" t="s">
        <v>1344</v>
      </c>
      <c r="J9" t="s">
        <v>1688</v>
      </c>
      <c r="K9">
        <v>26.82</v>
      </c>
      <c r="L9" s="20">
        <v>-0.37</v>
      </c>
      <c r="M9">
        <v>182.65</v>
      </c>
      <c r="N9">
        <v>97.87</v>
      </c>
      <c r="O9">
        <v>84.78</v>
      </c>
      <c r="P9" s="21">
        <v>3373.9317000000001</v>
      </c>
    </row>
    <row r="10" spans="1:16" x14ac:dyDescent="0.15">
      <c r="A10">
        <v>9</v>
      </c>
      <c r="B10">
        <v>160717</v>
      </c>
      <c r="C10" t="s">
        <v>25</v>
      </c>
      <c r="D10">
        <f t="shared" si="0"/>
        <v>612</v>
      </c>
      <c r="G10" s="11">
        <v>9</v>
      </c>
      <c r="H10" s="10" t="s">
        <v>295</v>
      </c>
      <c r="I10" t="s">
        <v>865</v>
      </c>
      <c r="J10" t="s">
        <v>833</v>
      </c>
      <c r="K10">
        <v>18.329999999999998</v>
      </c>
      <c r="L10" s="20">
        <v>-1.92</v>
      </c>
      <c r="M10">
        <v>182.36</v>
      </c>
      <c r="N10">
        <v>86.49</v>
      </c>
      <c r="O10">
        <v>95.87</v>
      </c>
      <c r="P10" s="21">
        <v>544.20429999999999</v>
      </c>
    </row>
    <row r="11" spans="1:16" x14ac:dyDescent="0.15">
      <c r="A11">
        <v>10</v>
      </c>
      <c r="B11">
        <v>162411</v>
      </c>
      <c r="C11" t="s">
        <v>27</v>
      </c>
      <c r="D11">
        <f t="shared" si="0"/>
        <v>397</v>
      </c>
      <c r="G11" s="11">
        <v>10</v>
      </c>
      <c r="H11" s="10" t="s">
        <v>485</v>
      </c>
      <c r="I11" t="s">
        <v>944</v>
      </c>
      <c r="J11" t="s">
        <v>870</v>
      </c>
      <c r="K11">
        <v>22.16</v>
      </c>
      <c r="L11" s="20">
        <v>-0.43</v>
      </c>
      <c r="M11">
        <v>181.07999999999998</v>
      </c>
      <c r="N11">
        <v>93.03</v>
      </c>
      <c r="O11">
        <v>88.05</v>
      </c>
      <c r="P11" s="21">
        <v>219.40260000000001</v>
      </c>
    </row>
    <row r="12" spans="1:16" x14ac:dyDescent="0.15">
      <c r="G12" s="11">
        <v>11</v>
      </c>
      <c r="H12" s="10" t="s">
        <v>1641</v>
      </c>
      <c r="I12" t="s">
        <v>1642</v>
      </c>
      <c r="J12" t="s">
        <v>1688</v>
      </c>
      <c r="K12">
        <v>31.49</v>
      </c>
      <c r="L12" s="20">
        <v>-0.26</v>
      </c>
      <c r="M12">
        <v>178.38</v>
      </c>
      <c r="N12">
        <v>99.72</v>
      </c>
      <c r="O12">
        <v>78.66</v>
      </c>
      <c r="P12" s="21">
        <v>5187.3280000000004</v>
      </c>
    </row>
    <row r="13" spans="1:16" x14ac:dyDescent="0.15">
      <c r="G13" s="11">
        <v>12</v>
      </c>
      <c r="H13" s="10" t="s">
        <v>478</v>
      </c>
      <c r="I13" t="s">
        <v>1118</v>
      </c>
      <c r="J13" t="s">
        <v>870</v>
      </c>
      <c r="K13">
        <v>26.52</v>
      </c>
      <c r="L13" s="20">
        <v>-0.27</v>
      </c>
      <c r="M13">
        <v>177.67000000000002</v>
      </c>
      <c r="N13">
        <v>97.58</v>
      </c>
      <c r="O13">
        <v>80.09</v>
      </c>
      <c r="P13" s="21">
        <v>5898.2250000000004</v>
      </c>
    </row>
    <row r="14" spans="1:16" x14ac:dyDescent="0.15">
      <c r="G14" s="11">
        <v>13</v>
      </c>
      <c r="H14" s="10" t="s">
        <v>364</v>
      </c>
      <c r="I14" t="s">
        <v>1269</v>
      </c>
      <c r="J14" t="s">
        <v>1251</v>
      </c>
      <c r="K14">
        <v>24.34</v>
      </c>
      <c r="L14" s="20">
        <v>-0.28999999999999998</v>
      </c>
      <c r="M14">
        <v>177.24</v>
      </c>
      <c r="N14">
        <v>95.87</v>
      </c>
      <c r="O14">
        <v>81.37</v>
      </c>
      <c r="P14" s="21">
        <v>444.36</v>
      </c>
    </row>
    <row r="15" spans="1:16" x14ac:dyDescent="0.15">
      <c r="G15" s="11">
        <v>14</v>
      </c>
      <c r="H15" s="10" t="s">
        <v>314</v>
      </c>
      <c r="I15" t="s">
        <v>853</v>
      </c>
      <c r="J15" t="s">
        <v>833</v>
      </c>
      <c r="K15">
        <v>14.79</v>
      </c>
      <c r="L15" s="20">
        <v>-2.61</v>
      </c>
      <c r="M15">
        <v>177.09</v>
      </c>
      <c r="N15">
        <v>80.650000000000006</v>
      </c>
      <c r="O15">
        <v>96.44</v>
      </c>
      <c r="P15" s="21">
        <v>149.9212</v>
      </c>
    </row>
    <row r="16" spans="1:16" x14ac:dyDescent="0.15">
      <c r="G16" s="11">
        <v>15</v>
      </c>
      <c r="H16" s="10" t="s">
        <v>293</v>
      </c>
      <c r="I16" t="s">
        <v>863</v>
      </c>
      <c r="J16" t="s">
        <v>833</v>
      </c>
      <c r="K16">
        <v>13.86</v>
      </c>
      <c r="L16" s="20">
        <v>-9.8800000000000008</v>
      </c>
      <c r="M16">
        <v>176.53</v>
      </c>
      <c r="N16">
        <v>76.81</v>
      </c>
      <c r="O16">
        <v>99.72</v>
      </c>
      <c r="P16" s="21">
        <v>256.65679999999998</v>
      </c>
    </row>
    <row r="17" spans="7:16" x14ac:dyDescent="0.15">
      <c r="G17" s="11">
        <v>16</v>
      </c>
      <c r="H17" s="10" t="s">
        <v>343</v>
      </c>
      <c r="I17" t="s">
        <v>866</v>
      </c>
      <c r="J17" t="s">
        <v>833</v>
      </c>
      <c r="K17">
        <v>14.31</v>
      </c>
      <c r="L17" s="20">
        <v>-4.51</v>
      </c>
      <c r="M17">
        <v>176.39</v>
      </c>
      <c r="N17">
        <v>78.38</v>
      </c>
      <c r="O17">
        <v>98.01</v>
      </c>
      <c r="P17" s="21">
        <v>507.02656519999999</v>
      </c>
    </row>
    <row r="18" spans="7:16" x14ac:dyDescent="0.15">
      <c r="G18" s="11">
        <v>17</v>
      </c>
      <c r="H18" s="10" t="s">
        <v>1407</v>
      </c>
      <c r="I18" t="s">
        <v>1408</v>
      </c>
      <c r="J18" t="s">
        <v>1688</v>
      </c>
      <c r="K18">
        <v>19.77</v>
      </c>
      <c r="L18" s="20">
        <v>-0.39</v>
      </c>
      <c r="M18">
        <v>175.82</v>
      </c>
      <c r="N18">
        <v>89.05</v>
      </c>
      <c r="O18">
        <v>86.77</v>
      </c>
      <c r="P18" s="21">
        <v>56.31906</v>
      </c>
    </row>
    <row r="19" spans="7:16" x14ac:dyDescent="0.15">
      <c r="G19" s="11">
        <v>18</v>
      </c>
      <c r="H19" s="10" t="s">
        <v>290</v>
      </c>
      <c r="I19" t="s">
        <v>845</v>
      </c>
      <c r="J19" t="s">
        <v>833</v>
      </c>
      <c r="K19">
        <v>14.09</v>
      </c>
      <c r="L19" s="20">
        <v>-3.39</v>
      </c>
      <c r="M19">
        <v>174.54000000000002</v>
      </c>
      <c r="N19">
        <v>77.67</v>
      </c>
      <c r="O19">
        <v>96.87</v>
      </c>
      <c r="P19" s="21">
        <v>28.762499999999999</v>
      </c>
    </row>
    <row r="20" spans="7:16" x14ac:dyDescent="0.15">
      <c r="G20" s="11">
        <v>19</v>
      </c>
      <c r="H20" s="10" t="s">
        <v>317</v>
      </c>
      <c r="I20" t="s">
        <v>850</v>
      </c>
      <c r="J20" t="s">
        <v>833</v>
      </c>
      <c r="K20">
        <v>13.05</v>
      </c>
      <c r="L20" s="20">
        <v>-5.66</v>
      </c>
      <c r="M20">
        <v>173.95999999999998</v>
      </c>
      <c r="N20">
        <v>74.959999999999994</v>
      </c>
      <c r="O20">
        <v>99</v>
      </c>
      <c r="P20" s="21">
        <v>107.77325</v>
      </c>
    </row>
    <row r="21" spans="7:16" x14ac:dyDescent="0.15">
      <c r="G21" s="11">
        <v>20</v>
      </c>
      <c r="H21" s="10" t="s">
        <v>1399</v>
      </c>
      <c r="I21" t="s">
        <v>1400</v>
      </c>
      <c r="J21" t="s">
        <v>1688</v>
      </c>
      <c r="K21">
        <v>25.84</v>
      </c>
      <c r="L21" s="20">
        <v>-0.24</v>
      </c>
      <c r="M21">
        <v>173.82999999999998</v>
      </c>
      <c r="N21">
        <v>96.87</v>
      </c>
      <c r="O21">
        <v>76.959999999999994</v>
      </c>
      <c r="P21" s="21">
        <v>662.18430000000001</v>
      </c>
    </row>
    <row r="22" spans="7:16" x14ac:dyDescent="0.15">
      <c r="G22" s="11">
        <v>21</v>
      </c>
      <c r="H22" s="10" t="s">
        <v>303</v>
      </c>
      <c r="I22" t="s">
        <v>835</v>
      </c>
      <c r="J22" t="s">
        <v>833</v>
      </c>
      <c r="K22">
        <v>13.71</v>
      </c>
      <c r="L22" s="20">
        <v>-3.5</v>
      </c>
      <c r="M22">
        <v>173.54000000000002</v>
      </c>
      <c r="N22">
        <v>76.53</v>
      </c>
      <c r="O22">
        <v>97.01</v>
      </c>
      <c r="P22" s="21">
        <v>132.56569999999999</v>
      </c>
    </row>
    <row r="23" spans="7:16" x14ac:dyDescent="0.15">
      <c r="G23" s="11">
        <v>22</v>
      </c>
      <c r="H23" s="10" t="s">
        <v>370</v>
      </c>
      <c r="I23" t="s">
        <v>917</v>
      </c>
      <c r="J23" t="s">
        <v>870</v>
      </c>
      <c r="K23">
        <v>20.65</v>
      </c>
      <c r="L23" s="20">
        <v>-0.31</v>
      </c>
      <c r="M23">
        <v>172.97</v>
      </c>
      <c r="N23">
        <v>90.75</v>
      </c>
      <c r="O23">
        <v>82.22</v>
      </c>
      <c r="P23" s="21">
        <v>716.53462999999999</v>
      </c>
    </row>
    <row r="24" spans="7:16" x14ac:dyDescent="0.15">
      <c r="G24" s="11">
        <v>23</v>
      </c>
      <c r="H24" s="10" t="s">
        <v>355</v>
      </c>
      <c r="I24" t="s">
        <v>855</v>
      </c>
      <c r="J24" t="s">
        <v>833</v>
      </c>
      <c r="K24">
        <v>12.98</v>
      </c>
      <c r="L24" s="20">
        <v>-5.0599999999999996</v>
      </c>
      <c r="M24">
        <v>172.69</v>
      </c>
      <c r="N24">
        <v>74.400000000000006</v>
      </c>
      <c r="O24">
        <v>98.29</v>
      </c>
      <c r="P24" s="21">
        <v>126.4897</v>
      </c>
    </row>
    <row r="25" spans="7:16" x14ac:dyDescent="0.15">
      <c r="G25" s="11">
        <v>24</v>
      </c>
      <c r="H25" s="10" t="s">
        <v>1484</v>
      </c>
      <c r="I25" t="s">
        <v>1485</v>
      </c>
      <c r="J25" t="s">
        <v>1688</v>
      </c>
      <c r="K25">
        <v>19.3</v>
      </c>
      <c r="L25" s="20">
        <v>-0.34</v>
      </c>
      <c r="M25">
        <v>172.39999999999998</v>
      </c>
      <c r="N25">
        <v>88.05</v>
      </c>
      <c r="O25">
        <v>84.35</v>
      </c>
      <c r="P25" s="21">
        <v>2016.7067999999999</v>
      </c>
    </row>
    <row r="26" spans="7:16" x14ac:dyDescent="0.15">
      <c r="G26" s="11">
        <v>25</v>
      </c>
      <c r="H26" s="10" t="s">
        <v>1476</v>
      </c>
      <c r="I26" t="s">
        <v>1477</v>
      </c>
      <c r="J26" t="s">
        <v>1688</v>
      </c>
      <c r="K26">
        <v>18.89</v>
      </c>
      <c r="L26" s="20">
        <v>-0.37</v>
      </c>
      <c r="M26">
        <v>172.39999999999998</v>
      </c>
      <c r="N26">
        <v>86.91</v>
      </c>
      <c r="O26">
        <v>85.49</v>
      </c>
      <c r="P26" s="21">
        <v>33.950899999999997</v>
      </c>
    </row>
    <row r="27" spans="7:16" x14ac:dyDescent="0.15">
      <c r="G27" s="11">
        <v>26</v>
      </c>
      <c r="H27" s="10" t="s">
        <v>1333</v>
      </c>
      <c r="I27" t="s">
        <v>1334</v>
      </c>
      <c r="J27" t="s">
        <v>1688</v>
      </c>
      <c r="K27">
        <v>27.07</v>
      </c>
      <c r="L27" s="20">
        <v>-0.18</v>
      </c>
      <c r="M27">
        <v>171.69</v>
      </c>
      <c r="N27">
        <v>98.29</v>
      </c>
      <c r="O27">
        <v>73.400000000000006</v>
      </c>
      <c r="P27" s="21">
        <v>1273.5278933</v>
      </c>
    </row>
    <row r="28" spans="7:16" x14ac:dyDescent="0.15">
      <c r="G28" s="11">
        <v>27</v>
      </c>
      <c r="H28" s="10" t="s">
        <v>491</v>
      </c>
      <c r="I28" t="s">
        <v>1148</v>
      </c>
      <c r="J28" t="s">
        <v>870</v>
      </c>
      <c r="K28">
        <v>26.14</v>
      </c>
      <c r="L28" s="20">
        <v>-0.19</v>
      </c>
      <c r="M28">
        <v>171.41</v>
      </c>
      <c r="N28">
        <v>97.44</v>
      </c>
      <c r="O28">
        <v>73.97</v>
      </c>
      <c r="P28" s="21">
        <v>13807.025799999999</v>
      </c>
    </row>
    <row r="29" spans="7:16" x14ac:dyDescent="0.15">
      <c r="G29" s="11">
        <v>28</v>
      </c>
      <c r="H29" s="10" t="s">
        <v>402</v>
      </c>
      <c r="I29" t="s">
        <v>945</v>
      </c>
      <c r="J29" t="s">
        <v>870</v>
      </c>
      <c r="K29">
        <v>18.82</v>
      </c>
      <c r="L29" s="20">
        <v>-0.32</v>
      </c>
      <c r="M29">
        <v>170.26999999999998</v>
      </c>
      <c r="N29">
        <v>86.77</v>
      </c>
      <c r="O29">
        <v>83.5</v>
      </c>
      <c r="P29" s="21">
        <v>37.330800000000004</v>
      </c>
    </row>
    <row r="30" spans="7:16" x14ac:dyDescent="0.15">
      <c r="G30" s="11">
        <v>29</v>
      </c>
      <c r="H30" s="10" t="s">
        <v>421</v>
      </c>
      <c r="I30" t="s">
        <v>1243</v>
      </c>
      <c r="J30" t="s">
        <v>1242</v>
      </c>
      <c r="K30">
        <v>16.34</v>
      </c>
      <c r="L30" s="20">
        <v>-0.38</v>
      </c>
      <c r="M30">
        <v>169.56</v>
      </c>
      <c r="N30">
        <v>83.64</v>
      </c>
      <c r="O30">
        <v>85.92</v>
      </c>
      <c r="P30" s="21">
        <v>161.67599999999999</v>
      </c>
    </row>
    <row r="31" spans="7:16" x14ac:dyDescent="0.15">
      <c r="G31" s="11">
        <v>30</v>
      </c>
      <c r="H31" s="10" t="s">
        <v>328</v>
      </c>
      <c r="I31" t="s">
        <v>846</v>
      </c>
      <c r="J31" t="s">
        <v>833</v>
      </c>
      <c r="K31">
        <v>11.58</v>
      </c>
      <c r="L31" s="20">
        <v>-4.49</v>
      </c>
      <c r="M31">
        <v>169.42000000000002</v>
      </c>
      <c r="N31">
        <v>71.55</v>
      </c>
      <c r="O31">
        <v>97.87</v>
      </c>
      <c r="P31" s="21">
        <v>49.075171500000003</v>
      </c>
    </row>
    <row r="32" spans="7:16" x14ac:dyDescent="0.15">
      <c r="G32" s="11">
        <v>31</v>
      </c>
      <c r="H32" s="10" t="s">
        <v>1440</v>
      </c>
      <c r="I32" t="s">
        <v>1441</v>
      </c>
      <c r="J32" t="s">
        <v>1688</v>
      </c>
      <c r="K32">
        <v>20.54</v>
      </c>
      <c r="L32" s="20">
        <v>-0.26</v>
      </c>
      <c r="M32">
        <v>169.42000000000002</v>
      </c>
      <c r="N32">
        <v>90.47</v>
      </c>
      <c r="O32">
        <v>78.95</v>
      </c>
      <c r="P32" s="21">
        <v>729.85457139999994</v>
      </c>
    </row>
    <row r="33" spans="7:16" x14ac:dyDescent="0.15">
      <c r="G33" s="11">
        <v>32</v>
      </c>
      <c r="H33" s="10" t="s">
        <v>521</v>
      </c>
      <c r="I33" t="s">
        <v>930</v>
      </c>
      <c r="J33" t="s">
        <v>870</v>
      </c>
      <c r="K33">
        <v>22.35</v>
      </c>
      <c r="L33" s="20">
        <v>-0.22</v>
      </c>
      <c r="M33">
        <v>169.41</v>
      </c>
      <c r="N33">
        <v>93.31</v>
      </c>
      <c r="O33">
        <v>76.099999999999994</v>
      </c>
      <c r="P33" s="21">
        <v>356.34570000000002</v>
      </c>
    </row>
    <row r="34" spans="7:16" x14ac:dyDescent="0.15">
      <c r="G34" s="11">
        <v>33</v>
      </c>
      <c r="H34" s="10" t="s">
        <v>309</v>
      </c>
      <c r="I34" t="s">
        <v>854</v>
      </c>
      <c r="J34" t="s">
        <v>833</v>
      </c>
      <c r="K34">
        <v>11.34</v>
      </c>
      <c r="L34" s="20">
        <v>-5.19</v>
      </c>
      <c r="M34">
        <v>169.13</v>
      </c>
      <c r="N34">
        <v>70.55</v>
      </c>
      <c r="O34">
        <v>98.58</v>
      </c>
      <c r="P34" s="21">
        <v>62.985409999999995</v>
      </c>
    </row>
    <row r="35" spans="7:16" x14ac:dyDescent="0.15">
      <c r="G35" s="11">
        <v>34</v>
      </c>
      <c r="H35" s="10" t="s">
        <v>434</v>
      </c>
      <c r="I35" t="s">
        <v>859</v>
      </c>
      <c r="J35" t="s">
        <v>833</v>
      </c>
      <c r="K35">
        <v>11.77</v>
      </c>
      <c r="L35" s="20">
        <v>-2.25</v>
      </c>
      <c r="M35">
        <v>168.42000000000002</v>
      </c>
      <c r="N35">
        <v>72.260000000000005</v>
      </c>
      <c r="O35">
        <v>96.16</v>
      </c>
      <c r="P35" s="21">
        <v>221.58940000000001</v>
      </c>
    </row>
    <row r="36" spans="7:16" x14ac:dyDescent="0.15">
      <c r="G36" s="11">
        <v>35</v>
      </c>
      <c r="H36" s="10" t="s">
        <v>707</v>
      </c>
      <c r="I36" t="s">
        <v>925</v>
      </c>
      <c r="J36" t="s">
        <v>870</v>
      </c>
      <c r="K36">
        <v>21.01</v>
      </c>
      <c r="L36" s="20">
        <v>-0.22</v>
      </c>
      <c r="M36">
        <v>167.99</v>
      </c>
      <c r="N36">
        <v>91.75</v>
      </c>
      <c r="O36">
        <v>76.239999999999995</v>
      </c>
      <c r="P36" s="21">
        <v>400.74214999999998</v>
      </c>
    </row>
    <row r="37" spans="7:16" x14ac:dyDescent="0.15">
      <c r="G37" s="11">
        <v>36</v>
      </c>
      <c r="H37" s="10" t="s">
        <v>1444</v>
      </c>
      <c r="I37" t="s">
        <v>1445</v>
      </c>
      <c r="J37" t="s">
        <v>1688</v>
      </c>
      <c r="K37">
        <v>19.8</v>
      </c>
      <c r="L37" s="20">
        <v>-0.25</v>
      </c>
      <c r="M37">
        <v>167.57</v>
      </c>
      <c r="N37">
        <v>89.19</v>
      </c>
      <c r="O37">
        <v>78.38</v>
      </c>
      <c r="P37" s="21">
        <v>177.9761</v>
      </c>
    </row>
    <row r="38" spans="7:16" x14ac:dyDescent="0.15">
      <c r="G38" s="11">
        <v>37</v>
      </c>
      <c r="H38" s="10" t="s">
        <v>308</v>
      </c>
      <c r="I38" t="s">
        <v>1081</v>
      </c>
      <c r="J38" t="s">
        <v>870</v>
      </c>
      <c r="K38">
        <v>25.84</v>
      </c>
      <c r="L38" s="20">
        <v>-0.16</v>
      </c>
      <c r="M38">
        <v>167.56</v>
      </c>
      <c r="N38">
        <v>97.01</v>
      </c>
      <c r="O38">
        <v>70.55</v>
      </c>
      <c r="P38" s="21">
        <v>3507.6511999999998</v>
      </c>
    </row>
    <row r="39" spans="7:16" x14ac:dyDescent="0.15">
      <c r="G39" s="11">
        <v>38</v>
      </c>
      <c r="H39" s="10" t="s">
        <v>753</v>
      </c>
      <c r="I39" t="s">
        <v>875</v>
      </c>
      <c r="J39" t="s">
        <v>870</v>
      </c>
      <c r="K39">
        <v>12.82</v>
      </c>
      <c r="L39" s="20">
        <v>-0.67</v>
      </c>
      <c r="M39">
        <v>166.85000000000002</v>
      </c>
      <c r="N39">
        <v>73.680000000000007</v>
      </c>
      <c r="O39">
        <v>93.17</v>
      </c>
      <c r="P39" s="21">
        <v>28.855740000000001</v>
      </c>
    </row>
    <row r="40" spans="7:16" x14ac:dyDescent="0.15">
      <c r="G40" s="11">
        <v>39</v>
      </c>
      <c r="H40" s="10" t="s">
        <v>469</v>
      </c>
      <c r="I40" t="s">
        <v>999</v>
      </c>
      <c r="J40" t="s">
        <v>870</v>
      </c>
      <c r="K40">
        <v>22.16</v>
      </c>
      <c r="L40" s="20">
        <v>-0.18</v>
      </c>
      <c r="M40">
        <v>166.85000000000002</v>
      </c>
      <c r="N40">
        <v>93.17</v>
      </c>
      <c r="O40">
        <v>73.680000000000007</v>
      </c>
      <c r="P40" s="21">
        <v>2051.5459000000001</v>
      </c>
    </row>
    <row r="41" spans="7:16" x14ac:dyDescent="0.15">
      <c r="G41" s="11">
        <v>40</v>
      </c>
      <c r="H41" s="10" t="s">
        <v>1401</v>
      </c>
      <c r="I41" t="s">
        <v>1402</v>
      </c>
      <c r="J41" t="s">
        <v>1688</v>
      </c>
      <c r="K41">
        <v>14.27</v>
      </c>
      <c r="L41" s="20">
        <v>-0.42</v>
      </c>
      <c r="M41">
        <v>165.86</v>
      </c>
      <c r="N41">
        <v>78.239999999999995</v>
      </c>
      <c r="O41">
        <v>87.62</v>
      </c>
      <c r="P41" s="21">
        <v>1222.1108199999999</v>
      </c>
    </row>
    <row r="42" spans="7:16" x14ac:dyDescent="0.15">
      <c r="G42" s="11">
        <v>41</v>
      </c>
      <c r="H42" s="10" t="s">
        <v>522</v>
      </c>
      <c r="I42" t="s">
        <v>1018</v>
      </c>
      <c r="J42" t="s">
        <v>870</v>
      </c>
      <c r="K42">
        <v>20.66</v>
      </c>
      <c r="L42" s="20">
        <v>-0.2</v>
      </c>
      <c r="M42">
        <v>165.44</v>
      </c>
      <c r="N42">
        <v>90.9</v>
      </c>
      <c r="O42">
        <v>74.540000000000006</v>
      </c>
      <c r="P42" s="21">
        <v>1506.1084000000001</v>
      </c>
    </row>
    <row r="43" spans="7:16" x14ac:dyDescent="0.15">
      <c r="G43" s="11">
        <v>42</v>
      </c>
      <c r="H43" s="10" t="s">
        <v>393</v>
      </c>
      <c r="I43" t="s">
        <v>271</v>
      </c>
      <c r="J43" t="s">
        <v>1242</v>
      </c>
      <c r="K43">
        <v>11.16</v>
      </c>
      <c r="L43" s="20">
        <v>-0.93</v>
      </c>
      <c r="M43">
        <v>164.86</v>
      </c>
      <c r="N43">
        <v>69.84</v>
      </c>
      <c r="O43">
        <v>95.02</v>
      </c>
      <c r="P43" s="21">
        <v>608.34785750000003</v>
      </c>
    </row>
    <row r="44" spans="7:16" x14ac:dyDescent="0.15">
      <c r="G44" s="11">
        <v>43</v>
      </c>
      <c r="H44" s="10" t="s">
        <v>486</v>
      </c>
      <c r="I44" t="s">
        <v>1083</v>
      </c>
      <c r="J44" t="s">
        <v>870</v>
      </c>
      <c r="K44">
        <v>20.34</v>
      </c>
      <c r="L44" s="20">
        <v>-0.21</v>
      </c>
      <c r="M44">
        <v>164.86</v>
      </c>
      <c r="N44">
        <v>89.9</v>
      </c>
      <c r="O44">
        <v>74.959999999999994</v>
      </c>
      <c r="P44" s="21">
        <v>6098.7870999999996</v>
      </c>
    </row>
    <row r="45" spans="7:16" x14ac:dyDescent="0.15">
      <c r="G45" s="11">
        <v>44</v>
      </c>
      <c r="H45" s="10" t="s">
        <v>1643</v>
      </c>
      <c r="I45" t="s">
        <v>1644</v>
      </c>
      <c r="J45" t="s">
        <v>1688</v>
      </c>
      <c r="K45">
        <v>16.64</v>
      </c>
      <c r="L45" s="20">
        <v>-0.26</v>
      </c>
      <c r="M45">
        <v>163.30000000000001</v>
      </c>
      <c r="N45">
        <v>84.07</v>
      </c>
      <c r="O45">
        <v>79.23</v>
      </c>
      <c r="P45" s="21">
        <v>582.34289999999999</v>
      </c>
    </row>
    <row r="46" spans="7:16" x14ac:dyDescent="0.15">
      <c r="G46" s="11">
        <v>45</v>
      </c>
      <c r="H46" s="10" t="s">
        <v>1671</v>
      </c>
      <c r="I46" t="s">
        <v>1672</v>
      </c>
      <c r="J46" t="s">
        <v>1688</v>
      </c>
      <c r="K46">
        <v>15.68</v>
      </c>
      <c r="L46" s="20">
        <v>-0.27</v>
      </c>
      <c r="M46">
        <v>163.01</v>
      </c>
      <c r="N46">
        <v>83.07</v>
      </c>
      <c r="O46">
        <v>79.94</v>
      </c>
      <c r="P46" s="21">
        <v>901.90790000000004</v>
      </c>
    </row>
    <row r="47" spans="7:16" x14ac:dyDescent="0.15">
      <c r="G47" s="11">
        <v>46</v>
      </c>
      <c r="H47" s="10" t="s">
        <v>322</v>
      </c>
      <c r="I47" t="s">
        <v>915</v>
      </c>
      <c r="J47" t="s">
        <v>870</v>
      </c>
      <c r="K47">
        <v>19.399999999999999</v>
      </c>
      <c r="L47" s="20">
        <v>-0.19</v>
      </c>
      <c r="M47">
        <v>163.01</v>
      </c>
      <c r="N47">
        <v>88.76</v>
      </c>
      <c r="O47">
        <v>74.25</v>
      </c>
      <c r="P47" s="21">
        <v>76.528800000000004</v>
      </c>
    </row>
    <row r="48" spans="7:16" x14ac:dyDescent="0.15">
      <c r="G48" s="11">
        <v>47</v>
      </c>
      <c r="H48" s="10" t="s">
        <v>524</v>
      </c>
      <c r="I48" t="s">
        <v>1257</v>
      </c>
      <c r="J48" t="s">
        <v>1251</v>
      </c>
      <c r="K48">
        <v>11.21</v>
      </c>
      <c r="L48" s="20">
        <v>-0.64</v>
      </c>
      <c r="M48">
        <v>162.72999999999999</v>
      </c>
      <c r="N48">
        <v>70.13</v>
      </c>
      <c r="O48">
        <v>92.6</v>
      </c>
      <c r="P48" s="21">
        <v>99.895899999999997</v>
      </c>
    </row>
    <row r="49" spans="7:16" x14ac:dyDescent="0.15">
      <c r="G49" s="11">
        <v>48</v>
      </c>
      <c r="H49" s="10" t="s">
        <v>375</v>
      </c>
      <c r="I49" t="s">
        <v>1038</v>
      </c>
      <c r="J49" t="s">
        <v>870</v>
      </c>
      <c r="K49">
        <v>20.8</v>
      </c>
      <c r="L49" s="20">
        <v>-0.16</v>
      </c>
      <c r="M49">
        <v>162.30000000000001</v>
      </c>
      <c r="N49">
        <v>91.32</v>
      </c>
      <c r="O49">
        <v>70.98</v>
      </c>
      <c r="P49" s="21">
        <v>2910.1056208</v>
      </c>
    </row>
    <row r="50" spans="7:16" x14ac:dyDescent="0.15">
      <c r="G50" s="11">
        <v>49</v>
      </c>
      <c r="H50" s="10" t="s">
        <v>516</v>
      </c>
      <c r="I50" t="s">
        <v>968</v>
      </c>
      <c r="J50" t="s">
        <v>870</v>
      </c>
      <c r="K50">
        <v>11.46</v>
      </c>
      <c r="L50" s="20">
        <v>-0.56000000000000005</v>
      </c>
      <c r="M50">
        <v>162.16000000000003</v>
      </c>
      <c r="N50">
        <v>70.98</v>
      </c>
      <c r="O50">
        <v>91.18</v>
      </c>
      <c r="P50" s="21">
        <v>550.39794000000006</v>
      </c>
    </row>
    <row r="51" spans="7:16" x14ac:dyDescent="0.15">
      <c r="G51" s="11">
        <v>50</v>
      </c>
      <c r="H51" s="10" t="s">
        <v>1325</v>
      </c>
      <c r="I51" t="s">
        <v>1326</v>
      </c>
      <c r="J51" t="s">
        <v>1688</v>
      </c>
      <c r="K51">
        <v>14.33</v>
      </c>
      <c r="L51" s="20">
        <v>-0.31</v>
      </c>
      <c r="M51">
        <v>161.44999999999999</v>
      </c>
      <c r="N51">
        <v>78.66</v>
      </c>
      <c r="O51">
        <v>82.79</v>
      </c>
      <c r="P51" s="21">
        <v>290.85469999999998</v>
      </c>
    </row>
    <row r="52" spans="7:16" x14ac:dyDescent="0.15">
      <c r="G52" s="11">
        <v>51</v>
      </c>
      <c r="H52" s="10" t="s">
        <v>1532</v>
      </c>
      <c r="I52" t="s">
        <v>1533</v>
      </c>
      <c r="J52" t="s">
        <v>1688</v>
      </c>
      <c r="K52">
        <v>15.83</v>
      </c>
      <c r="L52" s="20">
        <v>-0.24</v>
      </c>
      <c r="M52">
        <v>161.03</v>
      </c>
      <c r="N52">
        <v>83.36</v>
      </c>
      <c r="O52">
        <v>77.67</v>
      </c>
      <c r="P52" s="21">
        <v>126.33286000000001</v>
      </c>
    </row>
    <row r="53" spans="7:16" x14ac:dyDescent="0.15">
      <c r="G53" s="11">
        <v>52</v>
      </c>
      <c r="H53" s="10" t="s">
        <v>503</v>
      </c>
      <c r="I53" t="s">
        <v>909</v>
      </c>
      <c r="J53" t="s">
        <v>870</v>
      </c>
      <c r="K53">
        <v>11.68</v>
      </c>
      <c r="L53" s="20">
        <v>-0.44</v>
      </c>
      <c r="M53">
        <v>160.32</v>
      </c>
      <c r="N53">
        <v>71.98</v>
      </c>
      <c r="O53">
        <v>88.34</v>
      </c>
      <c r="P53" s="21">
        <v>443.54320000000001</v>
      </c>
    </row>
    <row r="54" spans="7:16" x14ac:dyDescent="0.15">
      <c r="G54" s="11">
        <v>53</v>
      </c>
      <c r="H54" s="10" t="s">
        <v>1366</v>
      </c>
      <c r="I54" t="s">
        <v>1367</v>
      </c>
      <c r="J54" t="s">
        <v>1688</v>
      </c>
      <c r="K54">
        <v>15.2</v>
      </c>
      <c r="L54" s="20">
        <v>-0.26</v>
      </c>
      <c r="M54">
        <v>160.31</v>
      </c>
      <c r="N54">
        <v>81.790000000000006</v>
      </c>
      <c r="O54">
        <v>78.52</v>
      </c>
      <c r="P54" s="21">
        <v>557.91167000000007</v>
      </c>
    </row>
    <row r="55" spans="7:16" x14ac:dyDescent="0.15">
      <c r="G55" s="11">
        <v>54</v>
      </c>
      <c r="H55" s="10" t="s">
        <v>419</v>
      </c>
      <c r="I55" t="s">
        <v>962</v>
      </c>
      <c r="J55" t="s">
        <v>870</v>
      </c>
      <c r="K55">
        <v>17.95</v>
      </c>
      <c r="L55" s="20">
        <v>-0.2</v>
      </c>
      <c r="M55">
        <v>160.17000000000002</v>
      </c>
      <c r="N55">
        <v>85.49</v>
      </c>
      <c r="O55">
        <v>74.680000000000007</v>
      </c>
      <c r="P55" s="21">
        <v>1014.9131</v>
      </c>
    </row>
    <row r="56" spans="7:16" x14ac:dyDescent="0.15">
      <c r="G56" s="11">
        <v>55</v>
      </c>
      <c r="H56" s="10" t="s">
        <v>498</v>
      </c>
      <c r="I56" t="s">
        <v>934</v>
      </c>
      <c r="J56" t="s">
        <v>870</v>
      </c>
      <c r="K56">
        <v>13.24</v>
      </c>
      <c r="L56" s="20">
        <v>-0.33</v>
      </c>
      <c r="M56">
        <v>160.02999999999997</v>
      </c>
      <c r="N56">
        <v>75.959999999999994</v>
      </c>
      <c r="O56">
        <v>84.07</v>
      </c>
      <c r="P56" s="21">
        <v>351.99400000000003</v>
      </c>
    </row>
    <row r="57" spans="7:16" x14ac:dyDescent="0.15">
      <c r="G57" s="11">
        <v>56</v>
      </c>
      <c r="H57" s="10" t="s">
        <v>766</v>
      </c>
      <c r="I57" t="s">
        <v>1197</v>
      </c>
      <c r="J57" t="s">
        <v>1198</v>
      </c>
      <c r="K57">
        <v>11.54</v>
      </c>
      <c r="L57" s="20">
        <v>-0.41</v>
      </c>
      <c r="M57">
        <v>158.88999999999999</v>
      </c>
      <c r="N57">
        <v>71.41</v>
      </c>
      <c r="O57">
        <v>87.48</v>
      </c>
      <c r="P57" s="21">
        <v>16207.342447499999</v>
      </c>
    </row>
    <row r="58" spans="7:16" x14ac:dyDescent="0.15">
      <c r="G58" s="11">
        <v>57</v>
      </c>
      <c r="H58" s="10" t="s">
        <v>836</v>
      </c>
      <c r="I58" t="s">
        <v>837</v>
      </c>
      <c r="J58" t="s">
        <v>833</v>
      </c>
      <c r="K58">
        <v>9.14</v>
      </c>
      <c r="L58" s="20">
        <v>-10.15</v>
      </c>
      <c r="M58">
        <v>157.61000000000001</v>
      </c>
      <c r="N58">
        <v>57.61</v>
      </c>
      <c r="O58">
        <v>100</v>
      </c>
      <c r="P58" s="21">
        <v>189.75360000000001</v>
      </c>
    </row>
    <row r="59" spans="7:16" x14ac:dyDescent="0.15">
      <c r="G59" s="11">
        <v>58</v>
      </c>
      <c r="H59" s="10" t="s">
        <v>656</v>
      </c>
      <c r="I59" t="s">
        <v>1255</v>
      </c>
      <c r="J59" t="s">
        <v>1251</v>
      </c>
      <c r="K59">
        <v>11.67</v>
      </c>
      <c r="L59" s="20">
        <v>-0.38</v>
      </c>
      <c r="M59">
        <v>157.61000000000001</v>
      </c>
      <c r="N59">
        <v>71.83</v>
      </c>
      <c r="O59">
        <v>85.78</v>
      </c>
      <c r="P59" s="21">
        <v>50.353288200000001</v>
      </c>
    </row>
    <row r="60" spans="7:16" x14ac:dyDescent="0.15">
      <c r="G60" s="11">
        <v>59</v>
      </c>
      <c r="H60" s="10" t="s">
        <v>371</v>
      </c>
      <c r="I60" t="s">
        <v>879</v>
      </c>
      <c r="J60" t="s">
        <v>870</v>
      </c>
      <c r="K60">
        <v>12.06</v>
      </c>
      <c r="L60" s="20">
        <v>-0.37</v>
      </c>
      <c r="M60">
        <v>157.47</v>
      </c>
      <c r="N60">
        <v>72.55</v>
      </c>
      <c r="O60">
        <v>84.92</v>
      </c>
      <c r="P60" s="21">
        <v>233.68790000000001</v>
      </c>
    </row>
    <row r="61" spans="7:16" x14ac:dyDescent="0.15">
      <c r="G61" s="11">
        <v>60</v>
      </c>
      <c r="H61" s="10" t="s">
        <v>461</v>
      </c>
      <c r="I61" t="s">
        <v>1171</v>
      </c>
      <c r="J61" t="s">
        <v>870</v>
      </c>
      <c r="K61">
        <v>25.69</v>
      </c>
      <c r="L61" s="20">
        <v>-0.11</v>
      </c>
      <c r="M61">
        <v>157.19</v>
      </c>
      <c r="N61">
        <v>96.73</v>
      </c>
      <c r="O61">
        <v>60.46</v>
      </c>
      <c r="P61" s="21">
        <v>30358.533500000001</v>
      </c>
    </row>
    <row r="62" spans="7:16" x14ac:dyDescent="0.15">
      <c r="G62" s="11">
        <v>61</v>
      </c>
      <c r="H62" s="10" t="s">
        <v>512</v>
      </c>
      <c r="I62" t="s">
        <v>1250</v>
      </c>
      <c r="J62" t="s">
        <v>1242</v>
      </c>
      <c r="K62">
        <v>11.08</v>
      </c>
      <c r="L62" s="20">
        <v>-0.4</v>
      </c>
      <c r="M62">
        <v>156.76</v>
      </c>
      <c r="N62">
        <v>69.42</v>
      </c>
      <c r="O62">
        <v>87.34</v>
      </c>
      <c r="P62" s="21">
        <v>2873.9276078000003</v>
      </c>
    </row>
    <row r="63" spans="7:16" x14ac:dyDescent="0.15">
      <c r="G63" s="11">
        <v>62</v>
      </c>
      <c r="H63" s="10" t="s">
        <v>385</v>
      </c>
      <c r="I63" t="s">
        <v>852</v>
      </c>
      <c r="J63" t="s">
        <v>833</v>
      </c>
      <c r="K63">
        <v>9.51</v>
      </c>
      <c r="L63" s="20">
        <v>-3.51</v>
      </c>
      <c r="M63">
        <v>156.76</v>
      </c>
      <c r="N63">
        <v>59.6</v>
      </c>
      <c r="O63">
        <v>97.16</v>
      </c>
      <c r="P63" s="21">
        <v>172.41994</v>
      </c>
    </row>
    <row r="64" spans="7:16" x14ac:dyDescent="0.15">
      <c r="G64" s="11">
        <v>63</v>
      </c>
      <c r="H64" s="10" t="s">
        <v>465</v>
      </c>
      <c r="I64" t="s">
        <v>958</v>
      </c>
      <c r="J64" t="s">
        <v>870</v>
      </c>
      <c r="K64">
        <v>22.54</v>
      </c>
      <c r="L64" s="20">
        <v>-0.12</v>
      </c>
      <c r="M64">
        <v>155.89999999999998</v>
      </c>
      <c r="N64">
        <v>93.74</v>
      </c>
      <c r="O64">
        <v>62.16</v>
      </c>
      <c r="P64" s="21">
        <v>769.51869999999997</v>
      </c>
    </row>
    <row r="65" spans="7:16" x14ac:dyDescent="0.15">
      <c r="G65" s="11">
        <v>64</v>
      </c>
      <c r="H65" s="10" t="s">
        <v>538</v>
      </c>
      <c r="I65" t="s">
        <v>1095</v>
      </c>
      <c r="J65" t="s">
        <v>870</v>
      </c>
      <c r="K65">
        <v>18.149999999999999</v>
      </c>
      <c r="L65" s="20">
        <v>-0.15</v>
      </c>
      <c r="M65">
        <v>155.48000000000002</v>
      </c>
      <c r="N65">
        <v>86.06</v>
      </c>
      <c r="O65">
        <v>69.42</v>
      </c>
      <c r="P65" s="21">
        <v>4705.4204623000005</v>
      </c>
    </row>
    <row r="66" spans="7:16" x14ac:dyDescent="0.15">
      <c r="G66" s="11">
        <v>65</v>
      </c>
      <c r="H66" s="10" t="s">
        <v>620</v>
      </c>
      <c r="I66" t="s">
        <v>1304</v>
      </c>
      <c r="J66" t="s">
        <v>1288</v>
      </c>
      <c r="K66">
        <v>10.119999999999999</v>
      </c>
      <c r="L66" s="20">
        <v>-0.56000000000000005</v>
      </c>
      <c r="M66">
        <v>155.32999999999998</v>
      </c>
      <c r="N66">
        <v>64.010000000000005</v>
      </c>
      <c r="O66">
        <v>91.32</v>
      </c>
      <c r="P66" s="21">
        <v>3785.8229858999998</v>
      </c>
    </row>
    <row r="67" spans="7:16" x14ac:dyDescent="0.15">
      <c r="G67" s="11">
        <v>66</v>
      </c>
      <c r="H67" s="10" t="s">
        <v>436</v>
      </c>
      <c r="I67" t="s">
        <v>883</v>
      </c>
      <c r="J67" t="s">
        <v>870</v>
      </c>
      <c r="K67">
        <v>9.94</v>
      </c>
      <c r="L67" s="20">
        <v>-0.61</v>
      </c>
      <c r="M67">
        <v>154.47999999999999</v>
      </c>
      <c r="N67">
        <v>62.16</v>
      </c>
      <c r="O67">
        <v>92.32</v>
      </c>
      <c r="P67" s="21">
        <v>25.9912189</v>
      </c>
    </row>
    <row r="68" spans="7:16" x14ac:dyDescent="0.15">
      <c r="G68" s="11">
        <v>67</v>
      </c>
      <c r="H68" s="10" t="s">
        <v>418</v>
      </c>
      <c r="I68" t="s">
        <v>1121</v>
      </c>
      <c r="J68" t="s">
        <v>870</v>
      </c>
      <c r="K68">
        <v>25.28</v>
      </c>
      <c r="L68" s="20">
        <v>-0.09</v>
      </c>
      <c r="M68">
        <v>154.19</v>
      </c>
      <c r="N68">
        <v>96.3</v>
      </c>
      <c r="O68">
        <v>57.89</v>
      </c>
      <c r="P68" s="21">
        <v>4803.6803</v>
      </c>
    </row>
    <row r="69" spans="7:16" x14ac:dyDescent="0.15">
      <c r="G69" s="11">
        <v>68</v>
      </c>
      <c r="H69" s="10" t="s">
        <v>1596</v>
      </c>
      <c r="I69" t="s">
        <v>1597</v>
      </c>
      <c r="J69" t="s">
        <v>1688</v>
      </c>
      <c r="K69">
        <v>10.18</v>
      </c>
      <c r="L69" s="20">
        <v>-0.47</v>
      </c>
      <c r="M69">
        <v>153.92000000000002</v>
      </c>
      <c r="N69">
        <v>64.3</v>
      </c>
      <c r="O69">
        <v>89.62</v>
      </c>
      <c r="P69" s="21">
        <v>27769.210889999998</v>
      </c>
    </row>
    <row r="70" spans="7:16" x14ac:dyDescent="0.15">
      <c r="G70" s="11">
        <v>69</v>
      </c>
      <c r="H70" s="10" t="s">
        <v>590</v>
      </c>
      <c r="I70" t="s">
        <v>1123</v>
      </c>
      <c r="J70" t="s">
        <v>870</v>
      </c>
      <c r="K70">
        <v>14.49</v>
      </c>
      <c r="L70" s="20">
        <v>-0.19</v>
      </c>
      <c r="M70">
        <v>153.77000000000001</v>
      </c>
      <c r="N70">
        <v>79.37</v>
      </c>
      <c r="O70">
        <v>74.400000000000006</v>
      </c>
      <c r="P70" s="21">
        <v>10699.073200000001</v>
      </c>
    </row>
    <row r="71" spans="7:16" x14ac:dyDescent="0.15">
      <c r="G71" s="11">
        <v>70</v>
      </c>
      <c r="H71" s="10" t="s">
        <v>597</v>
      </c>
      <c r="I71" t="s">
        <v>1261</v>
      </c>
      <c r="J71" t="s">
        <v>1251</v>
      </c>
      <c r="K71">
        <v>9.6</v>
      </c>
      <c r="L71" s="20">
        <v>-0.73</v>
      </c>
      <c r="M71">
        <v>153.76999999999998</v>
      </c>
      <c r="N71">
        <v>60.03</v>
      </c>
      <c r="O71">
        <v>93.74</v>
      </c>
      <c r="P71" s="21">
        <v>74.9164964</v>
      </c>
    </row>
    <row r="72" spans="7:16" x14ac:dyDescent="0.15">
      <c r="G72" s="11">
        <v>71</v>
      </c>
      <c r="H72" s="10" t="s">
        <v>670</v>
      </c>
      <c r="I72" t="s">
        <v>993</v>
      </c>
      <c r="J72" t="s">
        <v>870</v>
      </c>
      <c r="K72">
        <v>13.93</v>
      </c>
      <c r="L72" s="20">
        <v>-0.22</v>
      </c>
      <c r="M72">
        <v>153.49</v>
      </c>
      <c r="N72">
        <v>76.959999999999994</v>
      </c>
      <c r="O72">
        <v>76.53</v>
      </c>
      <c r="P72" s="21">
        <v>1391.6233</v>
      </c>
    </row>
    <row r="73" spans="7:16" x14ac:dyDescent="0.15">
      <c r="G73" s="11">
        <v>72</v>
      </c>
      <c r="H73" s="10" t="s">
        <v>1639</v>
      </c>
      <c r="I73" t="s">
        <v>1640</v>
      </c>
      <c r="J73" t="s">
        <v>1688</v>
      </c>
      <c r="K73">
        <v>21.05</v>
      </c>
      <c r="L73" s="20">
        <v>-0.12</v>
      </c>
      <c r="M73">
        <v>153.34</v>
      </c>
      <c r="N73">
        <v>92.03</v>
      </c>
      <c r="O73">
        <v>61.31</v>
      </c>
      <c r="P73" s="21">
        <v>481.2833</v>
      </c>
    </row>
    <row r="74" spans="7:16" x14ac:dyDescent="0.15">
      <c r="G74" s="11">
        <v>73</v>
      </c>
      <c r="H74" s="10" t="s">
        <v>442</v>
      </c>
      <c r="I74" t="s">
        <v>1163</v>
      </c>
      <c r="J74" t="s">
        <v>870</v>
      </c>
      <c r="K74">
        <v>22.93</v>
      </c>
      <c r="L74" s="20">
        <v>-0.09</v>
      </c>
      <c r="M74">
        <v>152.49</v>
      </c>
      <c r="N74">
        <v>94.45</v>
      </c>
      <c r="O74">
        <v>58.04</v>
      </c>
      <c r="P74" s="21">
        <v>57421.5458</v>
      </c>
    </row>
    <row r="75" spans="7:16" x14ac:dyDescent="0.15">
      <c r="G75" s="11">
        <v>74</v>
      </c>
      <c r="H75" s="10" t="s">
        <v>1376</v>
      </c>
      <c r="I75" t="s">
        <v>1377</v>
      </c>
      <c r="J75" t="s">
        <v>1688</v>
      </c>
      <c r="K75">
        <v>14.43</v>
      </c>
      <c r="L75" s="20">
        <v>-0.18</v>
      </c>
      <c r="M75">
        <v>152.21</v>
      </c>
      <c r="N75">
        <v>78.95</v>
      </c>
      <c r="O75">
        <v>73.260000000000005</v>
      </c>
      <c r="P75" s="21">
        <v>555.09564</v>
      </c>
    </row>
    <row r="76" spans="7:16" x14ac:dyDescent="0.15">
      <c r="G76" s="11">
        <v>75</v>
      </c>
      <c r="H76" s="10" t="s">
        <v>356</v>
      </c>
      <c r="I76" t="s">
        <v>1064</v>
      </c>
      <c r="J76" t="s">
        <v>870</v>
      </c>
      <c r="K76">
        <v>10.68</v>
      </c>
      <c r="L76" s="20">
        <v>-0.32</v>
      </c>
      <c r="M76">
        <v>151.76999999999998</v>
      </c>
      <c r="N76">
        <v>67.989999999999995</v>
      </c>
      <c r="O76">
        <v>83.78</v>
      </c>
      <c r="P76" s="21">
        <v>3422.8764999999999</v>
      </c>
    </row>
    <row r="77" spans="7:16" x14ac:dyDescent="0.15">
      <c r="G77" s="11">
        <v>76</v>
      </c>
      <c r="H77" s="10" t="s">
        <v>1453</v>
      </c>
      <c r="I77" t="s">
        <v>1454</v>
      </c>
      <c r="J77" t="s">
        <v>1688</v>
      </c>
      <c r="K77">
        <v>17.190000000000001</v>
      </c>
      <c r="L77" s="20">
        <v>-0.14000000000000001</v>
      </c>
      <c r="M77">
        <v>151.63999999999999</v>
      </c>
      <c r="N77">
        <v>84.78</v>
      </c>
      <c r="O77">
        <v>66.86</v>
      </c>
      <c r="P77" s="21">
        <v>797.42914000000007</v>
      </c>
    </row>
    <row r="78" spans="7:16" x14ac:dyDescent="0.15">
      <c r="G78" s="11">
        <v>77</v>
      </c>
      <c r="H78" s="10" t="s">
        <v>1339</v>
      </c>
      <c r="I78" t="s">
        <v>1340</v>
      </c>
      <c r="J78" t="s">
        <v>1688</v>
      </c>
      <c r="K78">
        <v>14.6</v>
      </c>
      <c r="L78" s="20">
        <v>-0.15</v>
      </c>
      <c r="M78">
        <v>150.63999999999999</v>
      </c>
      <c r="N78">
        <v>80.37</v>
      </c>
      <c r="O78">
        <v>70.27</v>
      </c>
      <c r="P78" s="21">
        <v>3421.1172000000001</v>
      </c>
    </row>
    <row r="79" spans="7:16" x14ac:dyDescent="0.15">
      <c r="G79" s="11">
        <v>78</v>
      </c>
      <c r="H79" s="10" t="s">
        <v>553</v>
      </c>
      <c r="I79" t="s">
        <v>970</v>
      </c>
      <c r="J79" t="s">
        <v>870</v>
      </c>
      <c r="K79">
        <v>19.21</v>
      </c>
      <c r="L79" s="20">
        <v>-0.12</v>
      </c>
      <c r="M79">
        <v>150.22</v>
      </c>
      <c r="N79">
        <v>87.77</v>
      </c>
      <c r="O79">
        <v>62.45</v>
      </c>
      <c r="P79" s="21">
        <v>1173.1320000000001</v>
      </c>
    </row>
    <row r="80" spans="7:16" x14ac:dyDescent="0.15">
      <c r="G80" s="11">
        <v>79</v>
      </c>
      <c r="H80" s="10" t="s">
        <v>1421</v>
      </c>
      <c r="I80" t="s">
        <v>1422</v>
      </c>
      <c r="J80" t="s">
        <v>1688</v>
      </c>
      <c r="K80">
        <v>11.08</v>
      </c>
      <c r="L80" s="20">
        <v>-0.27</v>
      </c>
      <c r="M80">
        <v>150.21</v>
      </c>
      <c r="N80">
        <v>69.56</v>
      </c>
      <c r="O80">
        <v>80.650000000000006</v>
      </c>
      <c r="P80" s="21">
        <v>30.149349999999998</v>
      </c>
    </row>
    <row r="81" spans="7:16" x14ac:dyDescent="0.15">
      <c r="G81" s="11">
        <v>80</v>
      </c>
      <c r="H81" s="10" t="s">
        <v>681</v>
      </c>
      <c r="I81" t="s">
        <v>1084</v>
      </c>
      <c r="J81" t="s">
        <v>870</v>
      </c>
      <c r="K81">
        <v>16.07</v>
      </c>
      <c r="L81" s="20">
        <v>-0.14000000000000001</v>
      </c>
      <c r="M81">
        <v>150.20999999999998</v>
      </c>
      <c r="N81">
        <v>83.5</v>
      </c>
      <c r="O81">
        <v>66.709999999999994</v>
      </c>
      <c r="P81" s="21">
        <v>2547.2030011000002</v>
      </c>
    </row>
    <row r="82" spans="7:16" x14ac:dyDescent="0.15">
      <c r="G82" s="11">
        <v>81</v>
      </c>
      <c r="H82" s="10" t="s">
        <v>530</v>
      </c>
      <c r="I82" t="s">
        <v>1149</v>
      </c>
      <c r="J82" t="s">
        <v>870</v>
      </c>
      <c r="K82">
        <v>10.68</v>
      </c>
      <c r="L82" s="20">
        <v>-0.3</v>
      </c>
      <c r="M82">
        <v>149.5</v>
      </c>
      <c r="N82">
        <v>67.849999999999994</v>
      </c>
      <c r="O82">
        <v>81.650000000000006</v>
      </c>
      <c r="P82" s="21">
        <v>11205.9717</v>
      </c>
    </row>
    <row r="83" spans="7:16" x14ac:dyDescent="0.15">
      <c r="G83" s="11">
        <v>82</v>
      </c>
      <c r="H83" s="10" t="s">
        <v>527</v>
      </c>
      <c r="I83" t="s">
        <v>1058</v>
      </c>
      <c r="J83" t="s">
        <v>870</v>
      </c>
      <c r="K83">
        <v>14.23</v>
      </c>
      <c r="L83" s="20">
        <v>-0.16</v>
      </c>
      <c r="M83">
        <v>149.36000000000001</v>
      </c>
      <c r="N83">
        <v>78.09</v>
      </c>
      <c r="O83">
        <v>71.27</v>
      </c>
      <c r="P83" s="21">
        <v>2311.4672999999998</v>
      </c>
    </row>
    <row r="84" spans="7:16" x14ac:dyDescent="0.15">
      <c r="G84" s="11">
        <v>83</v>
      </c>
      <c r="H84" s="10" t="s">
        <v>360</v>
      </c>
      <c r="I84" t="s">
        <v>1127</v>
      </c>
      <c r="J84" t="s">
        <v>870</v>
      </c>
      <c r="K84">
        <v>10.33</v>
      </c>
      <c r="L84" s="20">
        <v>-0.33</v>
      </c>
      <c r="M84">
        <v>149.22000000000003</v>
      </c>
      <c r="N84">
        <v>65.290000000000006</v>
      </c>
      <c r="O84">
        <v>83.93</v>
      </c>
      <c r="P84" s="21">
        <v>10919.8706</v>
      </c>
    </row>
    <row r="85" spans="7:16" x14ac:dyDescent="0.15">
      <c r="G85" s="11">
        <v>84</v>
      </c>
      <c r="H85" s="10" t="s">
        <v>1657</v>
      </c>
      <c r="I85" t="s">
        <v>1658</v>
      </c>
      <c r="J85" t="s">
        <v>1688</v>
      </c>
      <c r="K85">
        <v>15.45</v>
      </c>
      <c r="L85" s="20">
        <v>-0.14000000000000001</v>
      </c>
      <c r="M85">
        <v>148.94</v>
      </c>
      <c r="N85">
        <v>82.65</v>
      </c>
      <c r="O85">
        <v>66.290000000000006</v>
      </c>
      <c r="P85" s="21">
        <v>387.15429999999998</v>
      </c>
    </row>
    <row r="86" spans="7:16" x14ac:dyDescent="0.15">
      <c r="G86" s="11">
        <v>85</v>
      </c>
      <c r="H86" s="10" t="s">
        <v>390</v>
      </c>
      <c r="I86" t="s">
        <v>891</v>
      </c>
      <c r="J86" t="s">
        <v>870</v>
      </c>
      <c r="K86">
        <v>9.61</v>
      </c>
      <c r="L86" s="20">
        <v>-0.44</v>
      </c>
      <c r="M86">
        <v>148.93</v>
      </c>
      <c r="N86">
        <v>60.17</v>
      </c>
      <c r="O86">
        <v>88.76</v>
      </c>
      <c r="P86" s="21">
        <v>134.37143999999998</v>
      </c>
    </row>
    <row r="87" spans="7:16" x14ac:dyDescent="0.15">
      <c r="G87" s="11">
        <v>86</v>
      </c>
      <c r="H87" s="10" t="s">
        <v>304</v>
      </c>
      <c r="I87" t="s">
        <v>1273</v>
      </c>
      <c r="J87" t="s">
        <v>1251</v>
      </c>
      <c r="K87">
        <v>8.7200000000000006</v>
      </c>
      <c r="L87" s="20">
        <v>-0.65</v>
      </c>
      <c r="M87">
        <v>148.80000000000001</v>
      </c>
      <c r="N87">
        <v>56.05</v>
      </c>
      <c r="O87">
        <v>92.75</v>
      </c>
      <c r="P87" s="21">
        <v>811.00909999999999</v>
      </c>
    </row>
    <row r="88" spans="7:16" x14ac:dyDescent="0.15">
      <c r="G88" s="11">
        <v>87</v>
      </c>
      <c r="H88" s="10" t="s">
        <v>1568</v>
      </c>
      <c r="I88" t="s">
        <v>1569</v>
      </c>
      <c r="J88" t="s">
        <v>1688</v>
      </c>
      <c r="K88">
        <v>9.4</v>
      </c>
      <c r="L88" s="20">
        <v>-0.48</v>
      </c>
      <c r="M88">
        <v>148.79000000000002</v>
      </c>
      <c r="N88">
        <v>58.89</v>
      </c>
      <c r="O88">
        <v>89.9</v>
      </c>
      <c r="P88" s="21">
        <v>5435.7488000000003</v>
      </c>
    </row>
    <row r="89" spans="7:16" x14ac:dyDescent="0.15">
      <c r="G89" s="11">
        <v>88</v>
      </c>
      <c r="H89" s="10" t="s">
        <v>1505</v>
      </c>
      <c r="I89" t="s">
        <v>1506</v>
      </c>
      <c r="J89" t="s">
        <v>1688</v>
      </c>
      <c r="K89">
        <v>19.21</v>
      </c>
      <c r="L89" s="20">
        <v>-0.11</v>
      </c>
      <c r="M89">
        <v>148.79</v>
      </c>
      <c r="N89">
        <v>87.91</v>
      </c>
      <c r="O89">
        <v>60.88</v>
      </c>
      <c r="P89" s="21">
        <v>3316.9774000000002</v>
      </c>
    </row>
    <row r="90" spans="7:16" x14ac:dyDescent="0.15">
      <c r="G90" s="11">
        <v>89</v>
      </c>
      <c r="H90" s="10" t="s">
        <v>352</v>
      </c>
      <c r="I90" t="s">
        <v>858</v>
      </c>
      <c r="J90" t="s">
        <v>833</v>
      </c>
      <c r="K90">
        <v>8</v>
      </c>
      <c r="L90" s="20">
        <v>-3.15</v>
      </c>
      <c r="M90">
        <v>148.08000000000001</v>
      </c>
      <c r="N90">
        <v>51.49</v>
      </c>
      <c r="O90">
        <v>96.59</v>
      </c>
      <c r="P90" s="21">
        <v>131.33680000000001</v>
      </c>
    </row>
    <row r="91" spans="7:16" x14ac:dyDescent="0.15">
      <c r="G91" s="11">
        <v>90</v>
      </c>
      <c r="H91" s="10" t="s">
        <v>1335</v>
      </c>
      <c r="I91" t="s">
        <v>1336</v>
      </c>
      <c r="J91" t="s">
        <v>1688</v>
      </c>
      <c r="K91">
        <v>8.2799999999999994</v>
      </c>
      <c r="L91" s="20">
        <v>-0.76</v>
      </c>
      <c r="M91">
        <v>147.94</v>
      </c>
      <c r="N91">
        <v>53.91</v>
      </c>
      <c r="O91">
        <v>94.03</v>
      </c>
      <c r="P91" s="21">
        <v>118.5776</v>
      </c>
    </row>
    <row r="92" spans="7:16" x14ac:dyDescent="0.15">
      <c r="G92" s="11">
        <v>91</v>
      </c>
      <c r="H92" s="10" t="s">
        <v>439</v>
      </c>
      <c r="I92" t="s">
        <v>268</v>
      </c>
      <c r="J92" t="s">
        <v>1242</v>
      </c>
      <c r="K92">
        <v>8.6</v>
      </c>
      <c r="L92" s="20">
        <v>-0.6</v>
      </c>
      <c r="M92">
        <v>147.94</v>
      </c>
      <c r="N92">
        <v>55.76</v>
      </c>
      <c r="O92">
        <v>92.18</v>
      </c>
      <c r="P92" s="21">
        <v>343.79936299999997</v>
      </c>
    </row>
    <row r="93" spans="7:16" x14ac:dyDescent="0.15">
      <c r="G93" s="11">
        <v>92</v>
      </c>
      <c r="H93" s="10" t="s">
        <v>399</v>
      </c>
      <c r="I93" t="s">
        <v>919</v>
      </c>
      <c r="J93" t="s">
        <v>870</v>
      </c>
      <c r="K93">
        <v>20.14</v>
      </c>
      <c r="L93" s="20">
        <v>-0.1</v>
      </c>
      <c r="M93">
        <v>147.94</v>
      </c>
      <c r="N93">
        <v>89.62</v>
      </c>
      <c r="O93">
        <v>58.32</v>
      </c>
      <c r="P93" s="21">
        <v>1171.5817551</v>
      </c>
    </row>
    <row r="94" spans="7:16" x14ac:dyDescent="0.15">
      <c r="G94" s="11">
        <v>93</v>
      </c>
      <c r="H94" s="10" t="s">
        <v>674</v>
      </c>
      <c r="I94" t="s">
        <v>1084</v>
      </c>
      <c r="J94" t="s">
        <v>870</v>
      </c>
      <c r="K94">
        <v>16.41</v>
      </c>
      <c r="L94" s="20">
        <v>-0.12</v>
      </c>
      <c r="M94">
        <v>147.79000000000002</v>
      </c>
      <c r="N94">
        <v>83.78</v>
      </c>
      <c r="O94">
        <v>64.010000000000005</v>
      </c>
      <c r="P94" s="21">
        <v>7346.2491</v>
      </c>
    </row>
    <row r="95" spans="7:16" x14ac:dyDescent="0.15">
      <c r="G95" s="11">
        <v>94</v>
      </c>
      <c r="H95" s="10" t="s">
        <v>391</v>
      </c>
      <c r="I95" t="s">
        <v>1245</v>
      </c>
      <c r="J95" t="s">
        <v>1242</v>
      </c>
      <c r="K95">
        <v>8.01</v>
      </c>
      <c r="L95" s="20">
        <v>-1.02</v>
      </c>
      <c r="M95">
        <v>146.94</v>
      </c>
      <c r="N95">
        <v>51.78</v>
      </c>
      <c r="O95">
        <v>95.16</v>
      </c>
      <c r="P95" s="21">
        <v>34.887700000000002</v>
      </c>
    </row>
    <row r="96" spans="7:16" x14ac:dyDescent="0.15">
      <c r="G96" s="11">
        <v>95</v>
      </c>
      <c r="H96" s="10" t="s">
        <v>1337</v>
      </c>
      <c r="I96" t="s">
        <v>1338</v>
      </c>
      <c r="J96" t="s">
        <v>1688</v>
      </c>
      <c r="K96">
        <v>14.05</v>
      </c>
      <c r="L96" s="20">
        <v>-0.14000000000000001</v>
      </c>
      <c r="M96">
        <v>146.51</v>
      </c>
      <c r="N96">
        <v>77.52</v>
      </c>
      <c r="O96">
        <v>68.989999999999995</v>
      </c>
      <c r="P96" s="21">
        <v>1508.163</v>
      </c>
    </row>
    <row r="97" spans="7:16" x14ac:dyDescent="0.15">
      <c r="G97" s="11">
        <v>96</v>
      </c>
      <c r="H97" s="10" t="s">
        <v>1456</v>
      </c>
      <c r="I97" t="s">
        <v>1457</v>
      </c>
      <c r="J97" t="s">
        <v>1688</v>
      </c>
      <c r="K97">
        <v>20.440000000000001</v>
      </c>
      <c r="L97" s="20">
        <v>-0.09</v>
      </c>
      <c r="M97">
        <v>146.51</v>
      </c>
      <c r="N97">
        <v>90.04</v>
      </c>
      <c r="O97">
        <v>56.47</v>
      </c>
      <c r="P97" s="21">
        <v>237.22749999999999</v>
      </c>
    </row>
    <row r="98" spans="7:16" x14ac:dyDescent="0.15">
      <c r="G98" s="11">
        <v>97</v>
      </c>
      <c r="H98" s="10" t="s">
        <v>484</v>
      </c>
      <c r="I98" t="s">
        <v>901</v>
      </c>
      <c r="J98" t="s">
        <v>870</v>
      </c>
      <c r="K98">
        <v>16.77</v>
      </c>
      <c r="L98" s="20">
        <v>-0.12</v>
      </c>
      <c r="M98">
        <v>145.51999999999998</v>
      </c>
      <c r="N98">
        <v>84.35</v>
      </c>
      <c r="O98">
        <v>61.17</v>
      </c>
      <c r="P98" s="21">
        <v>194.02258</v>
      </c>
    </row>
    <row r="99" spans="7:16" x14ac:dyDescent="0.15">
      <c r="G99" s="11">
        <v>98</v>
      </c>
      <c r="H99" s="10" t="s">
        <v>611</v>
      </c>
      <c r="I99" t="s">
        <v>1622</v>
      </c>
      <c r="J99" t="s">
        <v>1688</v>
      </c>
      <c r="K99">
        <v>9.44</v>
      </c>
      <c r="L99" s="20">
        <v>-0.39</v>
      </c>
      <c r="M99">
        <v>145.51999999999998</v>
      </c>
      <c r="N99">
        <v>59.03</v>
      </c>
      <c r="O99">
        <v>86.49</v>
      </c>
      <c r="P99" s="21">
        <v>2254.4268000000002</v>
      </c>
    </row>
    <row r="100" spans="7:16" x14ac:dyDescent="0.15">
      <c r="G100" s="11">
        <v>99</v>
      </c>
      <c r="H100" s="10" t="s">
        <v>310</v>
      </c>
      <c r="I100" t="s">
        <v>1266</v>
      </c>
      <c r="J100" t="s">
        <v>1251</v>
      </c>
      <c r="K100">
        <v>8.69</v>
      </c>
      <c r="L100" s="20">
        <v>-0.47</v>
      </c>
      <c r="M100">
        <v>145.37</v>
      </c>
      <c r="N100">
        <v>55.9</v>
      </c>
      <c r="O100">
        <v>89.47</v>
      </c>
      <c r="P100" s="21">
        <v>73.490700000000004</v>
      </c>
    </row>
    <row r="101" spans="7:16" x14ac:dyDescent="0.15">
      <c r="G101" s="11">
        <v>100</v>
      </c>
      <c r="H101" s="10" t="s">
        <v>458</v>
      </c>
      <c r="I101" t="s">
        <v>1043</v>
      </c>
      <c r="J101" t="s">
        <v>870</v>
      </c>
      <c r="K101">
        <v>10.37</v>
      </c>
      <c r="L101" s="20">
        <v>-0.26</v>
      </c>
      <c r="M101">
        <v>145.09</v>
      </c>
      <c r="N101">
        <v>65.72</v>
      </c>
      <c r="O101">
        <v>79.37</v>
      </c>
      <c r="P101" s="21">
        <v>3032.3852000000002</v>
      </c>
    </row>
    <row r="102" spans="7:16" x14ac:dyDescent="0.15">
      <c r="G102" s="11">
        <v>101</v>
      </c>
      <c r="H102" s="10" t="s">
        <v>388</v>
      </c>
      <c r="I102" t="s">
        <v>916</v>
      </c>
      <c r="J102" t="s">
        <v>870</v>
      </c>
      <c r="K102">
        <v>19.3</v>
      </c>
      <c r="L102" s="20">
        <v>-0.09</v>
      </c>
      <c r="M102">
        <v>145.09</v>
      </c>
      <c r="N102">
        <v>88.19</v>
      </c>
      <c r="O102">
        <v>56.9</v>
      </c>
      <c r="P102" s="21">
        <v>267.39521000000002</v>
      </c>
    </row>
    <row r="103" spans="7:16" x14ac:dyDescent="0.15">
      <c r="G103" s="11">
        <v>102</v>
      </c>
      <c r="H103" s="10" t="s">
        <v>1331</v>
      </c>
      <c r="I103" t="s">
        <v>1332</v>
      </c>
      <c r="J103" t="s">
        <v>1688</v>
      </c>
      <c r="K103">
        <v>7.63</v>
      </c>
      <c r="L103" s="20">
        <v>-1.07</v>
      </c>
      <c r="M103">
        <v>144.81</v>
      </c>
      <c r="N103">
        <v>49.5</v>
      </c>
      <c r="O103">
        <v>95.31</v>
      </c>
      <c r="P103" s="21">
        <v>42.647739999999999</v>
      </c>
    </row>
    <row r="104" spans="7:16" x14ac:dyDescent="0.15">
      <c r="G104" s="11">
        <v>103</v>
      </c>
      <c r="H104" s="10" t="s">
        <v>452</v>
      </c>
      <c r="I104" t="s">
        <v>840</v>
      </c>
      <c r="J104" t="s">
        <v>833</v>
      </c>
      <c r="K104">
        <v>7.39</v>
      </c>
      <c r="L104" s="20">
        <v>-3.31</v>
      </c>
      <c r="M104">
        <v>144.81</v>
      </c>
      <c r="N104">
        <v>48.08</v>
      </c>
      <c r="O104">
        <v>96.73</v>
      </c>
      <c r="P104" s="21">
        <v>203.55798230000002</v>
      </c>
    </row>
    <row r="105" spans="7:16" x14ac:dyDescent="0.15">
      <c r="G105" s="11">
        <v>104</v>
      </c>
      <c r="H105" s="10" t="s">
        <v>1677</v>
      </c>
      <c r="I105" t="s">
        <v>1678</v>
      </c>
      <c r="J105" t="s">
        <v>1688</v>
      </c>
      <c r="K105">
        <v>17.399999999999999</v>
      </c>
      <c r="L105" s="20">
        <v>-0.11</v>
      </c>
      <c r="M105">
        <v>144.66</v>
      </c>
      <c r="N105">
        <v>85.06</v>
      </c>
      <c r="O105">
        <v>59.6</v>
      </c>
      <c r="P105" s="21">
        <v>116.2621</v>
      </c>
    </row>
    <row r="106" spans="7:16" x14ac:dyDescent="0.15">
      <c r="G106" s="11">
        <v>105</v>
      </c>
      <c r="H106" s="10" t="s">
        <v>605</v>
      </c>
      <c r="I106" t="s">
        <v>920</v>
      </c>
      <c r="J106" t="s">
        <v>870</v>
      </c>
      <c r="K106">
        <v>11.52</v>
      </c>
      <c r="L106" s="20">
        <v>-0.18</v>
      </c>
      <c r="M106">
        <v>144.24</v>
      </c>
      <c r="N106">
        <v>71.12</v>
      </c>
      <c r="O106">
        <v>73.12</v>
      </c>
      <c r="P106" s="21">
        <v>304.83179999999999</v>
      </c>
    </row>
    <row r="107" spans="7:16" x14ac:dyDescent="0.15">
      <c r="G107" s="11">
        <v>106</v>
      </c>
      <c r="H107" s="10" t="s">
        <v>428</v>
      </c>
      <c r="I107" t="s">
        <v>940</v>
      </c>
      <c r="J107" t="s">
        <v>870</v>
      </c>
      <c r="K107">
        <v>18.91</v>
      </c>
      <c r="L107" s="20">
        <v>-0.09</v>
      </c>
      <c r="M107">
        <v>143.82</v>
      </c>
      <c r="N107">
        <v>87.06</v>
      </c>
      <c r="O107">
        <v>56.76</v>
      </c>
      <c r="P107" s="21">
        <v>1160.07017</v>
      </c>
    </row>
    <row r="108" spans="7:16" x14ac:dyDescent="0.15">
      <c r="G108" s="11">
        <v>107</v>
      </c>
      <c r="H108" s="10" t="s">
        <v>671</v>
      </c>
      <c r="I108" t="s">
        <v>1624</v>
      </c>
      <c r="J108" t="s">
        <v>1688</v>
      </c>
      <c r="K108">
        <v>9.3000000000000007</v>
      </c>
      <c r="L108" s="20">
        <v>-0.37</v>
      </c>
      <c r="M108">
        <v>143.66999999999999</v>
      </c>
      <c r="N108">
        <v>58.46</v>
      </c>
      <c r="O108">
        <v>85.21</v>
      </c>
      <c r="P108" s="21">
        <v>5601.3943024</v>
      </c>
    </row>
    <row r="109" spans="7:16" x14ac:dyDescent="0.15">
      <c r="G109" s="11">
        <v>108</v>
      </c>
      <c r="H109" s="10" t="s">
        <v>545</v>
      </c>
      <c r="I109" t="s">
        <v>1623</v>
      </c>
      <c r="J109" t="s">
        <v>1688</v>
      </c>
      <c r="K109">
        <v>9.2799999999999994</v>
      </c>
      <c r="L109" s="20">
        <v>-0.37</v>
      </c>
      <c r="M109">
        <v>143.53</v>
      </c>
      <c r="N109">
        <v>58.18</v>
      </c>
      <c r="O109">
        <v>85.35</v>
      </c>
      <c r="P109" s="21">
        <v>2156.0500339</v>
      </c>
    </row>
    <row r="110" spans="7:16" x14ac:dyDescent="0.15">
      <c r="G110" s="11">
        <v>109</v>
      </c>
      <c r="H110" s="10" t="s">
        <v>1433</v>
      </c>
      <c r="I110" t="s">
        <v>1434</v>
      </c>
      <c r="J110" t="s">
        <v>1688</v>
      </c>
      <c r="K110">
        <v>14.71</v>
      </c>
      <c r="L110" s="20">
        <v>-0.12</v>
      </c>
      <c r="M110">
        <v>143.53</v>
      </c>
      <c r="N110">
        <v>80.510000000000005</v>
      </c>
      <c r="O110">
        <v>63.02</v>
      </c>
      <c r="P110" s="21">
        <v>159.8185</v>
      </c>
    </row>
    <row r="111" spans="7:16" x14ac:dyDescent="0.15">
      <c r="G111" s="11">
        <v>110</v>
      </c>
      <c r="H111" s="10" t="s">
        <v>1629</v>
      </c>
      <c r="I111" t="s">
        <v>1630</v>
      </c>
      <c r="J111" t="s">
        <v>1688</v>
      </c>
      <c r="K111">
        <v>11.88</v>
      </c>
      <c r="L111" s="20">
        <v>-0.16</v>
      </c>
      <c r="M111">
        <v>143.52000000000001</v>
      </c>
      <c r="N111">
        <v>72.400000000000006</v>
      </c>
      <c r="O111">
        <v>71.12</v>
      </c>
      <c r="P111" s="21">
        <v>29.407499999999999</v>
      </c>
    </row>
    <row r="112" spans="7:16" x14ac:dyDescent="0.15">
      <c r="G112" s="11">
        <v>111</v>
      </c>
      <c r="H112" s="10" t="s">
        <v>1560</v>
      </c>
      <c r="I112" t="s">
        <v>1561</v>
      </c>
      <c r="J112" t="s">
        <v>1688</v>
      </c>
      <c r="K112">
        <v>10.01</v>
      </c>
      <c r="L112" s="20">
        <v>-0.27</v>
      </c>
      <c r="M112">
        <v>143.1</v>
      </c>
      <c r="N112">
        <v>62.73</v>
      </c>
      <c r="O112">
        <v>80.37</v>
      </c>
      <c r="P112" s="21">
        <v>53.499783299999997</v>
      </c>
    </row>
    <row r="113" spans="7:16" x14ac:dyDescent="0.15">
      <c r="G113" s="11">
        <v>112</v>
      </c>
      <c r="H113" s="10" t="s">
        <v>462</v>
      </c>
      <c r="I113" t="s">
        <v>926</v>
      </c>
      <c r="J113" t="s">
        <v>870</v>
      </c>
      <c r="K113">
        <v>14.92</v>
      </c>
      <c r="L113" s="20">
        <v>-0.12</v>
      </c>
      <c r="M113">
        <v>142.82</v>
      </c>
      <c r="N113">
        <v>80.8</v>
      </c>
      <c r="O113">
        <v>62.02</v>
      </c>
      <c r="P113" s="21">
        <v>288.02620000000002</v>
      </c>
    </row>
    <row r="114" spans="7:16" x14ac:dyDescent="0.15">
      <c r="G114" s="11">
        <v>113</v>
      </c>
      <c r="H114" s="10" t="s">
        <v>445</v>
      </c>
      <c r="I114" t="s">
        <v>889</v>
      </c>
      <c r="J114" t="s">
        <v>870</v>
      </c>
      <c r="K114">
        <v>9.85</v>
      </c>
      <c r="L114" s="20">
        <v>-0.28999999999999998</v>
      </c>
      <c r="M114">
        <v>142.81</v>
      </c>
      <c r="N114">
        <v>61.59</v>
      </c>
      <c r="O114">
        <v>81.22</v>
      </c>
      <c r="P114" s="21">
        <v>41.481499999999997</v>
      </c>
    </row>
    <row r="115" spans="7:16" x14ac:dyDescent="0.15">
      <c r="G115" s="11">
        <v>114</v>
      </c>
      <c r="H115" s="10" t="s">
        <v>325</v>
      </c>
      <c r="I115" t="s">
        <v>843</v>
      </c>
      <c r="J115" t="s">
        <v>833</v>
      </c>
      <c r="K115">
        <v>7.01</v>
      </c>
      <c r="L115" s="20">
        <v>-3.86</v>
      </c>
      <c r="M115">
        <v>142.66999999999999</v>
      </c>
      <c r="N115">
        <v>45.23</v>
      </c>
      <c r="O115">
        <v>97.44</v>
      </c>
      <c r="P115" s="21">
        <v>369.94083840000002</v>
      </c>
    </row>
    <row r="116" spans="7:16" x14ac:dyDescent="0.15">
      <c r="G116" s="11">
        <v>115</v>
      </c>
      <c r="H116" s="10" t="s">
        <v>320</v>
      </c>
      <c r="I116" t="s">
        <v>856</v>
      </c>
      <c r="J116" t="s">
        <v>833</v>
      </c>
      <c r="K116">
        <v>6.97</v>
      </c>
      <c r="L116" s="20">
        <v>-4.2</v>
      </c>
      <c r="M116">
        <v>142.38999999999999</v>
      </c>
      <c r="N116">
        <v>44.67</v>
      </c>
      <c r="O116">
        <v>97.72</v>
      </c>
      <c r="P116" s="21">
        <v>240.29669999999999</v>
      </c>
    </row>
    <row r="117" spans="7:16" x14ac:dyDescent="0.15">
      <c r="G117" s="11">
        <v>116</v>
      </c>
      <c r="H117" s="10" t="s">
        <v>745</v>
      </c>
      <c r="I117" t="s">
        <v>914</v>
      </c>
      <c r="J117" t="s">
        <v>870</v>
      </c>
      <c r="K117">
        <v>9.82</v>
      </c>
      <c r="L117" s="20">
        <v>-0.27</v>
      </c>
      <c r="M117">
        <v>142.11000000000001</v>
      </c>
      <c r="N117">
        <v>61.31</v>
      </c>
      <c r="O117">
        <v>80.8</v>
      </c>
      <c r="P117" s="21">
        <v>665.01089999999999</v>
      </c>
    </row>
    <row r="118" spans="7:16" x14ac:dyDescent="0.15">
      <c r="G118" s="11">
        <v>117</v>
      </c>
      <c r="H118" s="10" t="s">
        <v>710</v>
      </c>
      <c r="I118" t="s">
        <v>989</v>
      </c>
      <c r="J118" t="s">
        <v>870</v>
      </c>
      <c r="K118">
        <v>9.66</v>
      </c>
      <c r="L118" s="20">
        <v>-0.28999999999999998</v>
      </c>
      <c r="M118">
        <v>141.97</v>
      </c>
      <c r="N118">
        <v>60.46</v>
      </c>
      <c r="O118">
        <v>81.510000000000005</v>
      </c>
      <c r="P118" s="21">
        <v>850.8383</v>
      </c>
    </row>
    <row r="119" spans="7:16" x14ac:dyDescent="0.15">
      <c r="G119" s="11">
        <v>118</v>
      </c>
      <c r="H119" s="10" t="s">
        <v>1536</v>
      </c>
      <c r="I119" t="s">
        <v>1537</v>
      </c>
      <c r="J119" t="s">
        <v>1688</v>
      </c>
      <c r="K119">
        <v>7.33</v>
      </c>
      <c r="L119" s="20">
        <v>-0.87</v>
      </c>
      <c r="M119">
        <v>141.67000000000002</v>
      </c>
      <c r="N119">
        <v>47.08</v>
      </c>
      <c r="O119">
        <v>94.59</v>
      </c>
      <c r="P119" s="21">
        <v>150.6465733</v>
      </c>
    </row>
    <row r="120" spans="7:16" x14ac:dyDescent="0.15">
      <c r="G120" s="11">
        <v>119</v>
      </c>
      <c r="H120" s="10" t="s">
        <v>380</v>
      </c>
      <c r="I120" t="s">
        <v>975</v>
      </c>
      <c r="J120" t="s">
        <v>870</v>
      </c>
      <c r="K120">
        <v>16.649999999999999</v>
      </c>
      <c r="L120" s="20">
        <v>-0.09</v>
      </c>
      <c r="M120">
        <v>141.54</v>
      </c>
      <c r="N120">
        <v>84.21</v>
      </c>
      <c r="O120">
        <v>57.33</v>
      </c>
      <c r="P120" s="21">
        <v>932.51829999999995</v>
      </c>
    </row>
    <row r="121" spans="7:16" x14ac:dyDescent="0.15">
      <c r="G121" s="11">
        <v>120</v>
      </c>
      <c r="H121" s="10" t="s">
        <v>1391</v>
      </c>
      <c r="I121" t="s">
        <v>1392</v>
      </c>
      <c r="J121" t="s">
        <v>1688</v>
      </c>
      <c r="K121">
        <v>8.2799999999999994</v>
      </c>
      <c r="L121" s="20">
        <v>-0.38</v>
      </c>
      <c r="M121">
        <v>139.68</v>
      </c>
      <c r="N121">
        <v>54.05</v>
      </c>
      <c r="O121">
        <v>85.63</v>
      </c>
      <c r="P121" s="21">
        <v>111.2296</v>
      </c>
    </row>
    <row r="122" spans="7:16" x14ac:dyDescent="0.15">
      <c r="G122" s="11">
        <v>121</v>
      </c>
      <c r="H122" s="10" t="s">
        <v>765</v>
      </c>
      <c r="I122" t="s">
        <v>1199</v>
      </c>
      <c r="J122" t="s">
        <v>1198</v>
      </c>
      <c r="K122">
        <v>11.42</v>
      </c>
      <c r="L122" s="20">
        <v>-0.14000000000000001</v>
      </c>
      <c r="M122">
        <v>139.12</v>
      </c>
      <c r="N122">
        <v>70.7</v>
      </c>
      <c r="O122">
        <v>68.42</v>
      </c>
      <c r="P122" s="21">
        <v>91752.473875600001</v>
      </c>
    </row>
    <row r="123" spans="7:16" x14ac:dyDescent="0.15">
      <c r="G123" s="11">
        <v>122</v>
      </c>
      <c r="H123" s="10" t="s">
        <v>334</v>
      </c>
      <c r="I123" t="s">
        <v>1114</v>
      </c>
      <c r="J123" t="s">
        <v>870</v>
      </c>
      <c r="K123">
        <v>10.4</v>
      </c>
      <c r="L123" s="20">
        <v>-0.17</v>
      </c>
      <c r="M123">
        <v>139.12</v>
      </c>
      <c r="N123">
        <v>66.569999999999993</v>
      </c>
      <c r="O123">
        <v>72.55</v>
      </c>
      <c r="P123" s="21">
        <v>7546.6842999999999</v>
      </c>
    </row>
    <row r="124" spans="7:16" x14ac:dyDescent="0.15">
      <c r="G124" s="11">
        <v>123</v>
      </c>
      <c r="H124" s="10" t="s">
        <v>1345</v>
      </c>
      <c r="I124" t="s">
        <v>1346</v>
      </c>
      <c r="J124" t="s">
        <v>1688</v>
      </c>
      <c r="K124">
        <v>28.22</v>
      </c>
      <c r="L124" s="20">
        <v>0</v>
      </c>
      <c r="M124">
        <v>139.12</v>
      </c>
      <c r="N124">
        <v>98.86</v>
      </c>
      <c r="O124">
        <v>40.26</v>
      </c>
      <c r="P124" s="21">
        <v>4598.8584200000005</v>
      </c>
    </row>
    <row r="125" spans="7:16" x14ac:dyDescent="0.15">
      <c r="G125" s="11">
        <v>124</v>
      </c>
      <c r="H125" s="10" t="s">
        <v>1548</v>
      </c>
      <c r="I125" t="s">
        <v>1549</v>
      </c>
      <c r="J125" t="s">
        <v>1688</v>
      </c>
      <c r="K125">
        <v>9.59</v>
      </c>
      <c r="L125" s="20">
        <v>-0.26</v>
      </c>
      <c r="M125">
        <v>138.98000000000002</v>
      </c>
      <c r="N125">
        <v>59.89</v>
      </c>
      <c r="O125">
        <v>79.09</v>
      </c>
      <c r="P125" s="21">
        <v>885.94389999999999</v>
      </c>
    </row>
    <row r="126" spans="7:16" x14ac:dyDescent="0.15">
      <c r="G126" s="11">
        <v>125</v>
      </c>
      <c r="H126" s="10" t="s">
        <v>1635</v>
      </c>
      <c r="I126" t="s">
        <v>1636</v>
      </c>
      <c r="J126" t="s">
        <v>1688</v>
      </c>
      <c r="K126">
        <v>31.52</v>
      </c>
      <c r="L126" s="20">
        <v>0</v>
      </c>
      <c r="M126">
        <v>138.84</v>
      </c>
      <c r="N126">
        <v>99.86</v>
      </c>
      <c r="O126">
        <v>38.979999999999997</v>
      </c>
      <c r="P126" s="21">
        <v>283.11680000000001</v>
      </c>
    </row>
    <row r="127" spans="7:16" x14ac:dyDescent="0.15">
      <c r="G127" s="11">
        <v>126</v>
      </c>
      <c r="H127" s="10" t="s">
        <v>1590</v>
      </c>
      <c r="I127" t="s">
        <v>1591</v>
      </c>
      <c r="J127" t="s">
        <v>1688</v>
      </c>
      <c r="K127">
        <v>8.98</v>
      </c>
      <c r="L127" s="20">
        <v>-0.3</v>
      </c>
      <c r="M127">
        <v>138.83000000000001</v>
      </c>
      <c r="N127">
        <v>56.9</v>
      </c>
      <c r="O127">
        <v>81.93</v>
      </c>
      <c r="P127" s="21">
        <v>2543.8101000000001</v>
      </c>
    </row>
    <row r="128" spans="7:16" x14ac:dyDescent="0.15">
      <c r="G128" s="11">
        <v>127</v>
      </c>
      <c r="H128" s="10" t="s">
        <v>347</v>
      </c>
      <c r="I128" t="s">
        <v>834</v>
      </c>
      <c r="J128" t="s">
        <v>833</v>
      </c>
      <c r="K128">
        <v>6.06</v>
      </c>
      <c r="L128" s="20">
        <v>-7.55</v>
      </c>
      <c r="M128">
        <v>138.69</v>
      </c>
      <c r="N128">
        <v>39.26</v>
      </c>
      <c r="O128">
        <v>99.43</v>
      </c>
      <c r="P128" s="21">
        <v>64.550200000000004</v>
      </c>
    </row>
    <row r="129" spans="7:16" x14ac:dyDescent="0.15">
      <c r="G129" s="11">
        <v>128</v>
      </c>
      <c r="H129" s="10" t="s">
        <v>703</v>
      </c>
      <c r="I129" t="s">
        <v>984</v>
      </c>
      <c r="J129" t="s">
        <v>870</v>
      </c>
      <c r="K129">
        <v>10.92</v>
      </c>
      <c r="L129" s="20">
        <v>-0.15</v>
      </c>
      <c r="M129">
        <v>138.55000000000001</v>
      </c>
      <c r="N129">
        <v>68.709999999999994</v>
      </c>
      <c r="O129">
        <v>69.84</v>
      </c>
      <c r="P129" s="21">
        <v>386.49400000000003</v>
      </c>
    </row>
    <row r="130" spans="7:16" x14ac:dyDescent="0.15">
      <c r="G130" s="11">
        <v>129</v>
      </c>
      <c r="H130" s="10" t="s">
        <v>338</v>
      </c>
      <c r="I130" t="s">
        <v>1126</v>
      </c>
      <c r="J130" t="s">
        <v>870</v>
      </c>
      <c r="K130">
        <v>10.41</v>
      </c>
      <c r="L130" s="20">
        <v>-0.17</v>
      </c>
      <c r="M130">
        <v>138.55000000000001</v>
      </c>
      <c r="N130">
        <v>66.86</v>
      </c>
      <c r="O130">
        <v>71.69</v>
      </c>
      <c r="P130" s="21">
        <v>11999.927</v>
      </c>
    </row>
    <row r="131" spans="7:16" x14ac:dyDescent="0.15">
      <c r="G131" s="11">
        <v>130</v>
      </c>
      <c r="H131" s="10" t="s">
        <v>518</v>
      </c>
      <c r="I131" t="s">
        <v>967</v>
      </c>
      <c r="J131" t="s">
        <v>870</v>
      </c>
      <c r="K131">
        <v>10.69</v>
      </c>
      <c r="L131" s="20">
        <v>-0.15</v>
      </c>
      <c r="M131">
        <v>138.26999999999998</v>
      </c>
      <c r="N131">
        <v>68.14</v>
      </c>
      <c r="O131">
        <v>70.13</v>
      </c>
      <c r="P131" s="21">
        <v>258.85712999999998</v>
      </c>
    </row>
    <row r="132" spans="7:16" x14ac:dyDescent="0.15">
      <c r="G132" s="11">
        <v>131</v>
      </c>
      <c r="H132" s="10" t="s">
        <v>696</v>
      </c>
      <c r="I132" t="s">
        <v>986</v>
      </c>
      <c r="J132" t="s">
        <v>870</v>
      </c>
      <c r="K132">
        <v>12.64</v>
      </c>
      <c r="L132" s="20">
        <v>-0.13</v>
      </c>
      <c r="M132">
        <v>138.12</v>
      </c>
      <c r="N132">
        <v>73.400000000000006</v>
      </c>
      <c r="O132">
        <v>64.72</v>
      </c>
      <c r="P132" s="21">
        <v>664.41364999999996</v>
      </c>
    </row>
    <row r="133" spans="7:16" x14ac:dyDescent="0.15">
      <c r="G133" s="11">
        <v>132</v>
      </c>
      <c r="H133" s="10" t="s">
        <v>444</v>
      </c>
      <c r="I133" t="s">
        <v>1120</v>
      </c>
      <c r="J133" t="s">
        <v>870</v>
      </c>
      <c r="K133">
        <v>26.92</v>
      </c>
      <c r="L133" s="20">
        <v>0</v>
      </c>
      <c r="M133">
        <v>137.84</v>
      </c>
      <c r="N133">
        <v>98.01</v>
      </c>
      <c r="O133">
        <v>39.83</v>
      </c>
      <c r="P133" s="21">
        <v>8163.6558999999997</v>
      </c>
    </row>
    <row r="134" spans="7:16" x14ac:dyDescent="0.15">
      <c r="G134" s="11">
        <v>133</v>
      </c>
      <c r="H134" s="10" t="s">
        <v>420</v>
      </c>
      <c r="I134" t="s">
        <v>1085</v>
      </c>
      <c r="J134" t="s">
        <v>870</v>
      </c>
      <c r="K134">
        <v>25.17</v>
      </c>
      <c r="L134" s="20">
        <v>0</v>
      </c>
      <c r="M134">
        <v>137.55000000000001</v>
      </c>
      <c r="N134">
        <v>96.16</v>
      </c>
      <c r="O134">
        <v>41.39</v>
      </c>
      <c r="P134" s="21">
        <v>2452.2024899999997</v>
      </c>
    </row>
    <row r="135" spans="7:16" x14ac:dyDescent="0.15">
      <c r="G135" s="11">
        <v>134</v>
      </c>
      <c r="H135" s="10" t="s">
        <v>1360</v>
      </c>
      <c r="I135" t="s">
        <v>1361</v>
      </c>
      <c r="J135" t="s">
        <v>1688</v>
      </c>
      <c r="K135">
        <v>10.9</v>
      </c>
      <c r="L135" s="20">
        <v>-0.14000000000000001</v>
      </c>
      <c r="M135">
        <v>137.12</v>
      </c>
      <c r="N135">
        <v>68.56</v>
      </c>
      <c r="O135">
        <v>68.56</v>
      </c>
      <c r="P135" s="21">
        <v>41.540929999999996</v>
      </c>
    </row>
    <row r="136" spans="7:16" x14ac:dyDescent="0.15">
      <c r="G136" s="11">
        <v>135</v>
      </c>
      <c r="H136" s="10" t="s">
        <v>599</v>
      </c>
      <c r="I136" t="s">
        <v>814</v>
      </c>
      <c r="J136" t="s">
        <v>1288</v>
      </c>
      <c r="K136">
        <v>10.02</v>
      </c>
      <c r="L136" s="20">
        <v>-0.19</v>
      </c>
      <c r="M136">
        <v>136.69999999999999</v>
      </c>
      <c r="N136">
        <v>62.87</v>
      </c>
      <c r="O136">
        <v>73.83</v>
      </c>
      <c r="P136" s="21">
        <v>10448.219399699999</v>
      </c>
    </row>
    <row r="137" spans="7:16" x14ac:dyDescent="0.15">
      <c r="G137" s="11">
        <v>136</v>
      </c>
      <c r="H137" s="10" t="s">
        <v>1602</v>
      </c>
      <c r="I137" t="s">
        <v>1603</v>
      </c>
      <c r="J137" t="s">
        <v>1688</v>
      </c>
      <c r="K137">
        <v>8.73</v>
      </c>
      <c r="L137" s="20">
        <v>-0.27</v>
      </c>
      <c r="M137">
        <v>136.42000000000002</v>
      </c>
      <c r="N137">
        <v>56.19</v>
      </c>
      <c r="O137">
        <v>80.23</v>
      </c>
      <c r="P137" s="21">
        <v>859.42791</v>
      </c>
    </row>
    <row r="138" spans="7:16" x14ac:dyDescent="0.15">
      <c r="G138" s="11">
        <v>137</v>
      </c>
      <c r="H138" s="10" t="s">
        <v>531</v>
      </c>
      <c r="I138" t="s">
        <v>874</v>
      </c>
      <c r="J138" t="s">
        <v>870</v>
      </c>
      <c r="K138">
        <v>10.92</v>
      </c>
      <c r="L138" s="20">
        <v>-0.14000000000000001</v>
      </c>
      <c r="M138">
        <v>136.13</v>
      </c>
      <c r="N138">
        <v>68.849999999999994</v>
      </c>
      <c r="O138">
        <v>67.28</v>
      </c>
      <c r="P138" s="21">
        <v>210.07470000000001</v>
      </c>
    </row>
    <row r="139" spans="7:16" x14ac:dyDescent="0.15">
      <c r="G139" s="11">
        <v>138</v>
      </c>
      <c r="H139" s="10" t="s">
        <v>1397</v>
      </c>
      <c r="I139" t="s">
        <v>1398</v>
      </c>
      <c r="J139" t="s">
        <v>1688</v>
      </c>
      <c r="K139">
        <v>26</v>
      </c>
      <c r="L139" s="20">
        <v>0</v>
      </c>
      <c r="M139">
        <v>135.85</v>
      </c>
      <c r="N139">
        <v>97.3</v>
      </c>
      <c r="O139">
        <v>38.549999999999997</v>
      </c>
      <c r="P139" s="21">
        <v>3409.2502700000005</v>
      </c>
    </row>
    <row r="140" spans="7:16" x14ac:dyDescent="0.15">
      <c r="G140" s="11">
        <v>139</v>
      </c>
      <c r="H140" s="10" t="s">
        <v>554</v>
      </c>
      <c r="I140" t="s">
        <v>1248</v>
      </c>
      <c r="J140" t="s">
        <v>1242</v>
      </c>
      <c r="K140">
        <v>6.95</v>
      </c>
      <c r="L140" s="20">
        <v>-0.56000000000000005</v>
      </c>
      <c r="M140">
        <v>135.85</v>
      </c>
      <c r="N140">
        <v>44.38</v>
      </c>
      <c r="O140">
        <v>91.47</v>
      </c>
      <c r="P140" s="21">
        <v>412.24723</v>
      </c>
    </row>
    <row r="141" spans="7:16" x14ac:dyDescent="0.15">
      <c r="G141" s="11">
        <v>140</v>
      </c>
      <c r="H141" s="10" t="s">
        <v>457</v>
      </c>
      <c r="I141" t="s">
        <v>950</v>
      </c>
      <c r="J141" t="s">
        <v>870</v>
      </c>
      <c r="K141">
        <v>13.04</v>
      </c>
      <c r="L141" s="20">
        <v>-0.11</v>
      </c>
      <c r="M141">
        <v>135.41999999999999</v>
      </c>
      <c r="N141">
        <v>74.819999999999993</v>
      </c>
      <c r="O141">
        <v>60.6</v>
      </c>
      <c r="P141" s="21">
        <v>619.30129999999997</v>
      </c>
    </row>
    <row r="142" spans="7:16" x14ac:dyDescent="0.15">
      <c r="G142" s="11">
        <v>141</v>
      </c>
      <c r="H142" s="10" t="s">
        <v>568</v>
      </c>
      <c r="I142" t="s">
        <v>1247</v>
      </c>
      <c r="J142" t="s">
        <v>1242</v>
      </c>
      <c r="K142">
        <v>6.42</v>
      </c>
      <c r="L142" s="20">
        <v>-0.89</v>
      </c>
      <c r="M142">
        <v>135.28</v>
      </c>
      <c r="N142">
        <v>40.4</v>
      </c>
      <c r="O142">
        <v>94.88</v>
      </c>
      <c r="P142" s="21">
        <v>329.98390000000001</v>
      </c>
    </row>
    <row r="143" spans="7:16" x14ac:dyDescent="0.15">
      <c r="G143" s="11">
        <v>142</v>
      </c>
      <c r="H143" s="10" t="s">
        <v>688</v>
      </c>
      <c r="I143" t="s">
        <v>957</v>
      </c>
      <c r="J143" t="s">
        <v>870</v>
      </c>
      <c r="K143">
        <v>7.4</v>
      </c>
      <c r="L143" s="20">
        <v>-0.39</v>
      </c>
      <c r="M143">
        <v>135.13</v>
      </c>
      <c r="N143">
        <v>48.22</v>
      </c>
      <c r="O143">
        <v>86.91</v>
      </c>
      <c r="P143" s="21">
        <v>320.90899999999999</v>
      </c>
    </row>
    <row r="144" spans="7:16" x14ac:dyDescent="0.15">
      <c r="G144" s="11">
        <v>143</v>
      </c>
      <c r="H144" s="10" t="s">
        <v>336</v>
      </c>
      <c r="I144" t="s">
        <v>1258</v>
      </c>
      <c r="J144" t="s">
        <v>1251</v>
      </c>
      <c r="K144">
        <v>7.27</v>
      </c>
      <c r="L144" s="20">
        <v>-0.44</v>
      </c>
      <c r="M144">
        <v>134.99</v>
      </c>
      <c r="N144">
        <v>46.51</v>
      </c>
      <c r="O144">
        <v>88.48</v>
      </c>
      <c r="P144" s="21">
        <v>58.701103500000002</v>
      </c>
    </row>
    <row r="145" spans="7:16" x14ac:dyDescent="0.15">
      <c r="G145" s="11">
        <v>144</v>
      </c>
      <c r="H145" s="10" t="s">
        <v>369</v>
      </c>
      <c r="I145" t="s">
        <v>1070</v>
      </c>
      <c r="J145" t="s">
        <v>870</v>
      </c>
      <c r="K145">
        <v>14.17</v>
      </c>
      <c r="L145" s="20">
        <v>-0.09</v>
      </c>
      <c r="M145">
        <v>134.85</v>
      </c>
      <c r="N145">
        <v>77.81</v>
      </c>
      <c r="O145">
        <v>57.04</v>
      </c>
      <c r="P145" s="21">
        <v>3333.4967000000001</v>
      </c>
    </row>
    <row r="146" spans="7:16" x14ac:dyDescent="0.15">
      <c r="G146" s="11">
        <v>145</v>
      </c>
      <c r="H146" s="10" t="s">
        <v>746</v>
      </c>
      <c r="I146" t="s">
        <v>1302</v>
      </c>
      <c r="J146" t="s">
        <v>1288</v>
      </c>
      <c r="K146">
        <v>7.98</v>
      </c>
      <c r="L146" s="20">
        <v>-0.32</v>
      </c>
      <c r="M146">
        <v>134.57</v>
      </c>
      <c r="N146">
        <v>51.21</v>
      </c>
      <c r="O146">
        <v>83.36</v>
      </c>
      <c r="P146" s="21">
        <v>4424.7312648000006</v>
      </c>
    </row>
    <row r="147" spans="7:16" x14ac:dyDescent="0.15">
      <c r="G147" s="11">
        <v>146</v>
      </c>
      <c r="H147" s="10" t="s">
        <v>333</v>
      </c>
      <c r="I147" t="s">
        <v>860</v>
      </c>
      <c r="J147" t="s">
        <v>833</v>
      </c>
      <c r="K147">
        <v>5.89</v>
      </c>
      <c r="L147" s="20">
        <v>-2.08</v>
      </c>
      <c r="M147">
        <v>134.13999999999999</v>
      </c>
      <c r="N147">
        <v>38.119999999999997</v>
      </c>
      <c r="O147">
        <v>96.02</v>
      </c>
      <c r="P147" s="21">
        <v>122.4023787</v>
      </c>
    </row>
    <row r="148" spans="7:16" x14ac:dyDescent="0.15">
      <c r="G148" s="11">
        <v>147</v>
      </c>
      <c r="H148" s="10" t="s">
        <v>487</v>
      </c>
      <c r="I148" t="s">
        <v>1246</v>
      </c>
      <c r="J148" t="s">
        <v>1242</v>
      </c>
      <c r="K148">
        <v>6.23</v>
      </c>
      <c r="L148" s="20">
        <v>-0.76</v>
      </c>
      <c r="M148">
        <v>134</v>
      </c>
      <c r="N148">
        <v>39.83</v>
      </c>
      <c r="O148">
        <v>94.17</v>
      </c>
      <c r="P148" s="21">
        <v>42.543212400000002</v>
      </c>
    </row>
    <row r="149" spans="7:16" x14ac:dyDescent="0.15">
      <c r="G149" s="11">
        <v>148</v>
      </c>
      <c r="H149" s="10" t="s">
        <v>1463</v>
      </c>
      <c r="I149" t="s">
        <v>1464</v>
      </c>
      <c r="J149" t="s">
        <v>1688</v>
      </c>
      <c r="K149">
        <v>10.56</v>
      </c>
      <c r="L149" s="20">
        <v>-0.14000000000000001</v>
      </c>
      <c r="M149">
        <v>134</v>
      </c>
      <c r="N149">
        <v>67.430000000000007</v>
      </c>
      <c r="O149">
        <v>66.569999999999993</v>
      </c>
      <c r="P149" s="21">
        <v>780.33699999999999</v>
      </c>
    </row>
    <row r="150" spans="7:16" x14ac:dyDescent="0.15">
      <c r="G150" s="11">
        <v>149</v>
      </c>
      <c r="H150" s="10" t="s">
        <v>1488</v>
      </c>
      <c r="I150" t="s">
        <v>1489</v>
      </c>
      <c r="J150" t="s">
        <v>1688</v>
      </c>
      <c r="K150">
        <v>22.4</v>
      </c>
      <c r="L150" s="20">
        <v>0</v>
      </c>
      <c r="M150">
        <v>134</v>
      </c>
      <c r="N150">
        <v>93.46</v>
      </c>
      <c r="O150">
        <v>40.54</v>
      </c>
      <c r="P150" s="21">
        <v>1023.04611</v>
      </c>
    </row>
    <row r="151" spans="7:16" x14ac:dyDescent="0.15">
      <c r="G151" s="11">
        <v>150</v>
      </c>
      <c r="H151" s="10" t="s">
        <v>1387</v>
      </c>
      <c r="I151" t="s">
        <v>1388</v>
      </c>
      <c r="J151" t="s">
        <v>1688</v>
      </c>
      <c r="K151">
        <v>11.15</v>
      </c>
      <c r="L151" s="20">
        <v>-0.12</v>
      </c>
      <c r="M151">
        <v>133.85000000000002</v>
      </c>
      <c r="N151">
        <v>69.7</v>
      </c>
      <c r="O151">
        <v>64.150000000000006</v>
      </c>
      <c r="P151" s="21">
        <v>5095.8734033000001</v>
      </c>
    </row>
    <row r="152" spans="7:16" x14ac:dyDescent="0.15">
      <c r="G152" s="11">
        <v>151</v>
      </c>
      <c r="H152" s="10" t="s">
        <v>384</v>
      </c>
      <c r="I152" t="s">
        <v>1033</v>
      </c>
      <c r="J152" t="s">
        <v>870</v>
      </c>
      <c r="K152">
        <v>24.31</v>
      </c>
      <c r="L152" s="20">
        <v>0</v>
      </c>
      <c r="M152">
        <v>133.85</v>
      </c>
      <c r="N152">
        <v>95.59</v>
      </c>
      <c r="O152">
        <v>38.26</v>
      </c>
      <c r="P152" s="21">
        <v>1816.0142000000001</v>
      </c>
    </row>
    <row r="153" spans="7:16" x14ac:dyDescent="0.15">
      <c r="G153" s="11">
        <v>152</v>
      </c>
      <c r="H153" s="10" t="s">
        <v>1598</v>
      </c>
      <c r="I153" t="s">
        <v>1599</v>
      </c>
      <c r="J153" t="s">
        <v>1688</v>
      </c>
      <c r="K153">
        <v>8.3000000000000007</v>
      </c>
      <c r="L153" s="20">
        <v>-0.26</v>
      </c>
      <c r="M153">
        <v>133.72</v>
      </c>
      <c r="N153">
        <v>54.2</v>
      </c>
      <c r="O153">
        <v>79.52</v>
      </c>
      <c r="P153" s="21">
        <v>5568.7268000000004</v>
      </c>
    </row>
    <row r="154" spans="7:16" x14ac:dyDescent="0.15">
      <c r="G154" s="11">
        <v>153</v>
      </c>
      <c r="H154" s="10" t="s">
        <v>510</v>
      </c>
      <c r="I154" t="s">
        <v>1124</v>
      </c>
      <c r="J154" t="s">
        <v>870</v>
      </c>
      <c r="K154">
        <v>22.71</v>
      </c>
      <c r="L154" s="20">
        <v>0</v>
      </c>
      <c r="M154">
        <v>133.43</v>
      </c>
      <c r="N154">
        <v>94.03</v>
      </c>
      <c r="O154">
        <v>39.4</v>
      </c>
      <c r="P154" s="21">
        <v>6788.1979000000001</v>
      </c>
    </row>
    <row r="155" spans="7:16" x14ac:dyDescent="0.15">
      <c r="G155" s="11">
        <v>154</v>
      </c>
      <c r="H155" s="10" t="s">
        <v>722</v>
      </c>
      <c r="I155" t="s">
        <v>1072</v>
      </c>
      <c r="J155" t="s">
        <v>870</v>
      </c>
      <c r="K155">
        <v>7.04</v>
      </c>
      <c r="L155" s="20">
        <v>-0.42</v>
      </c>
      <c r="M155">
        <v>133.29</v>
      </c>
      <c r="N155">
        <v>45.52</v>
      </c>
      <c r="O155">
        <v>87.77</v>
      </c>
      <c r="P155" s="21">
        <v>4098.3266999999996</v>
      </c>
    </row>
    <row r="156" spans="7:16" x14ac:dyDescent="0.15">
      <c r="G156" s="11">
        <v>155</v>
      </c>
      <c r="H156" s="10" t="s">
        <v>1584</v>
      </c>
      <c r="I156" t="s">
        <v>1585</v>
      </c>
      <c r="J156" t="s">
        <v>1688</v>
      </c>
      <c r="K156">
        <v>6.7</v>
      </c>
      <c r="L156" s="20">
        <v>-0.53</v>
      </c>
      <c r="M156">
        <v>133.29</v>
      </c>
      <c r="N156">
        <v>42.96</v>
      </c>
      <c r="O156">
        <v>90.33</v>
      </c>
      <c r="P156" s="21">
        <v>470.88942879999996</v>
      </c>
    </row>
    <row r="157" spans="7:16" x14ac:dyDescent="0.15">
      <c r="G157" s="11">
        <v>156</v>
      </c>
      <c r="H157" s="10" t="s">
        <v>495</v>
      </c>
      <c r="I157" t="s">
        <v>1136</v>
      </c>
      <c r="J157" t="s">
        <v>870</v>
      </c>
      <c r="K157">
        <v>10.38</v>
      </c>
      <c r="L157" s="20">
        <v>-0.14000000000000001</v>
      </c>
      <c r="M157">
        <v>133.15</v>
      </c>
      <c r="N157">
        <v>66.150000000000006</v>
      </c>
      <c r="O157">
        <v>67</v>
      </c>
      <c r="P157" s="21">
        <v>19757.1309</v>
      </c>
    </row>
    <row r="158" spans="7:16" x14ac:dyDescent="0.15">
      <c r="G158" s="11">
        <v>157</v>
      </c>
      <c r="H158" s="10" t="s">
        <v>395</v>
      </c>
      <c r="I158" t="s">
        <v>1031</v>
      </c>
      <c r="J158" t="s">
        <v>870</v>
      </c>
      <c r="K158">
        <v>25.55</v>
      </c>
      <c r="L158" s="20">
        <v>0</v>
      </c>
      <c r="M158">
        <v>133</v>
      </c>
      <c r="N158">
        <v>96.44</v>
      </c>
      <c r="O158">
        <v>36.56</v>
      </c>
      <c r="P158" s="21">
        <v>1475.665</v>
      </c>
    </row>
    <row r="159" spans="7:16" x14ac:dyDescent="0.15">
      <c r="G159" s="11">
        <v>158</v>
      </c>
      <c r="H159" s="10" t="s">
        <v>603</v>
      </c>
      <c r="I159" t="s">
        <v>893</v>
      </c>
      <c r="J159" t="s">
        <v>870</v>
      </c>
      <c r="K159">
        <v>6.72</v>
      </c>
      <c r="L159" s="20">
        <v>-0.48</v>
      </c>
      <c r="M159">
        <v>132.86000000000001</v>
      </c>
      <c r="N159">
        <v>43.1</v>
      </c>
      <c r="O159">
        <v>89.76</v>
      </c>
      <c r="P159" s="21">
        <v>999.87036000000001</v>
      </c>
    </row>
    <row r="160" spans="7:16" x14ac:dyDescent="0.15">
      <c r="G160" s="11">
        <v>159</v>
      </c>
      <c r="H160" s="10" t="s">
        <v>564</v>
      </c>
      <c r="I160" t="s">
        <v>922</v>
      </c>
      <c r="J160" t="s">
        <v>870</v>
      </c>
      <c r="K160">
        <v>10.220000000000001</v>
      </c>
      <c r="L160" s="20">
        <v>-0.14000000000000001</v>
      </c>
      <c r="M160">
        <v>132.72</v>
      </c>
      <c r="N160">
        <v>65.010000000000005</v>
      </c>
      <c r="O160">
        <v>67.709999999999994</v>
      </c>
      <c r="P160" s="21">
        <v>784.03240000000005</v>
      </c>
    </row>
    <row r="161" spans="7:16" x14ac:dyDescent="0.15">
      <c r="G161" s="11">
        <v>160</v>
      </c>
      <c r="H161" s="10" t="s">
        <v>1380</v>
      </c>
      <c r="I161" t="s">
        <v>1381</v>
      </c>
      <c r="J161" t="s">
        <v>1688</v>
      </c>
      <c r="K161">
        <v>7.5</v>
      </c>
      <c r="L161" s="20">
        <v>-0.32</v>
      </c>
      <c r="M161">
        <v>132.72</v>
      </c>
      <c r="N161">
        <v>49.08</v>
      </c>
      <c r="O161">
        <v>83.64</v>
      </c>
      <c r="P161" s="21">
        <v>62.286200000000001</v>
      </c>
    </row>
    <row r="162" spans="7:16" x14ac:dyDescent="0.15">
      <c r="G162" s="11">
        <v>161</v>
      </c>
      <c r="H162" s="10" t="s">
        <v>446</v>
      </c>
      <c r="I162" t="s">
        <v>871</v>
      </c>
      <c r="J162" t="s">
        <v>870</v>
      </c>
      <c r="K162">
        <v>7.1</v>
      </c>
      <c r="L162" s="20">
        <v>-0.39</v>
      </c>
      <c r="M162">
        <v>132.57999999999998</v>
      </c>
      <c r="N162">
        <v>45.95</v>
      </c>
      <c r="O162">
        <v>86.63</v>
      </c>
      <c r="P162" s="21">
        <v>26.065629999999999</v>
      </c>
    </row>
    <row r="163" spans="7:16" x14ac:dyDescent="0.15">
      <c r="G163" s="11">
        <v>162</v>
      </c>
      <c r="H163" s="10" t="s">
        <v>337</v>
      </c>
      <c r="I163" t="s">
        <v>997</v>
      </c>
      <c r="J163" t="s">
        <v>870</v>
      </c>
      <c r="K163">
        <v>27.82</v>
      </c>
      <c r="L163" s="20">
        <v>0</v>
      </c>
      <c r="M163">
        <v>132.43</v>
      </c>
      <c r="N163">
        <v>98.58</v>
      </c>
      <c r="O163">
        <v>33.85</v>
      </c>
      <c r="P163" s="21">
        <v>888.78420000000006</v>
      </c>
    </row>
    <row r="164" spans="7:16" x14ac:dyDescent="0.15">
      <c r="G164" s="11">
        <v>163</v>
      </c>
      <c r="H164" s="10" t="s">
        <v>1347</v>
      </c>
      <c r="I164" t="s">
        <v>1348</v>
      </c>
      <c r="J164" t="s">
        <v>1688</v>
      </c>
      <c r="K164">
        <v>20.87</v>
      </c>
      <c r="L164" s="20">
        <v>0</v>
      </c>
      <c r="M164">
        <v>132.15</v>
      </c>
      <c r="N164">
        <v>91.47</v>
      </c>
      <c r="O164">
        <v>40.68</v>
      </c>
      <c r="P164" s="21">
        <v>525.83789000000002</v>
      </c>
    </row>
    <row r="165" spans="7:16" x14ac:dyDescent="0.15">
      <c r="G165" s="11">
        <v>164</v>
      </c>
      <c r="H165" s="10" t="s">
        <v>608</v>
      </c>
      <c r="I165" t="s">
        <v>1004</v>
      </c>
      <c r="J165" t="s">
        <v>870</v>
      </c>
      <c r="K165">
        <v>10.19</v>
      </c>
      <c r="L165" s="20">
        <v>-0.14000000000000001</v>
      </c>
      <c r="M165">
        <v>132.01</v>
      </c>
      <c r="N165">
        <v>64.44</v>
      </c>
      <c r="O165">
        <v>67.569999999999993</v>
      </c>
      <c r="P165" s="21">
        <v>1580.39</v>
      </c>
    </row>
    <row r="166" spans="7:16" x14ac:dyDescent="0.15">
      <c r="G166" s="11">
        <v>165</v>
      </c>
      <c r="H166" s="10" t="s">
        <v>440</v>
      </c>
      <c r="I166" t="s">
        <v>862</v>
      </c>
      <c r="J166" t="s">
        <v>833</v>
      </c>
      <c r="K166">
        <v>4.6500000000000004</v>
      </c>
      <c r="L166" s="20">
        <v>-6.56</v>
      </c>
      <c r="M166">
        <v>131.86000000000001</v>
      </c>
      <c r="N166">
        <v>32.57</v>
      </c>
      <c r="O166">
        <v>99.29</v>
      </c>
      <c r="P166" s="21">
        <v>302.96600000000001</v>
      </c>
    </row>
    <row r="167" spans="7:16" x14ac:dyDescent="0.15">
      <c r="G167" s="11">
        <v>166</v>
      </c>
      <c r="H167" s="10" t="s">
        <v>432</v>
      </c>
      <c r="I167" t="s">
        <v>1189</v>
      </c>
      <c r="J167" t="s">
        <v>1319</v>
      </c>
      <c r="K167">
        <v>42.11</v>
      </c>
      <c r="L167" s="20">
        <v>0.01</v>
      </c>
      <c r="M167">
        <v>131.86000000000001</v>
      </c>
      <c r="N167">
        <v>100</v>
      </c>
      <c r="O167">
        <v>31.86</v>
      </c>
      <c r="P167" s="21">
        <v>2431.0257999999999</v>
      </c>
    </row>
    <row r="168" spans="7:16" x14ac:dyDescent="0.15">
      <c r="G168" s="11">
        <v>167</v>
      </c>
      <c r="H168" s="10" t="s">
        <v>1486</v>
      </c>
      <c r="I168" t="s">
        <v>1487</v>
      </c>
      <c r="J168" t="s">
        <v>1688</v>
      </c>
      <c r="K168">
        <v>23.72</v>
      </c>
      <c r="L168" s="20">
        <v>0</v>
      </c>
      <c r="M168">
        <v>131.72</v>
      </c>
      <c r="N168">
        <v>94.88</v>
      </c>
      <c r="O168">
        <v>36.840000000000003</v>
      </c>
      <c r="P168" s="21">
        <v>5608.8553499999998</v>
      </c>
    </row>
    <row r="169" spans="7:16" x14ac:dyDescent="0.15">
      <c r="G169" s="11">
        <v>168</v>
      </c>
      <c r="H169" s="10" t="s">
        <v>1627</v>
      </c>
      <c r="I169" t="s">
        <v>1628</v>
      </c>
      <c r="J169" t="s">
        <v>1688</v>
      </c>
      <c r="K169">
        <v>24.19</v>
      </c>
      <c r="L169" s="20">
        <v>0</v>
      </c>
      <c r="M169">
        <v>131.29</v>
      </c>
      <c r="N169">
        <v>95.16</v>
      </c>
      <c r="O169">
        <v>36.130000000000003</v>
      </c>
      <c r="P169" s="21">
        <v>2799.0832</v>
      </c>
    </row>
    <row r="170" spans="7:16" x14ac:dyDescent="0.15">
      <c r="G170" s="11">
        <v>169</v>
      </c>
      <c r="H170" s="10" t="s">
        <v>424</v>
      </c>
      <c r="I170" t="s">
        <v>1063</v>
      </c>
      <c r="J170" t="s">
        <v>870</v>
      </c>
      <c r="K170">
        <v>28.21</v>
      </c>
      <c r="L170" s="20">
        <v>0</v>
      </c>
      <c r="M170">
        <v>131.15</v>
      </c>
      <c r="N170">
        <v>98.72</v>
      </c>
      <c r="O170">
        <v>32.43</v>
      </c>
      <c r="P170" s="21">
        <v>3283.2676000000001</v>
      </c>
    </row>
    <row r="171" spans="7:16" x14ac:dyDescent="0.15">
      <c r="G171" s="11">
        <v>170</v>
      </c>
      <c r="H171" s="10" t="s">
        <v>358</v>
      </c>
      <c r="I171" t="s">
        <v>1054</v>
      </c>
      <c r="J171" t="s">
        <v>870</v>
      </c>
      <c r="K171">
        <v>20.25</v>
      </c>
      <c r="L171" s="20">
        <v>0</v>
      </c>
      <c r="M171">
        <v>131.01</v>
      </c>
      <c r="N171">
        <v>89.76</v>
      </c>
      <c r="O171">
        <v>41.25</v>
      </c>
      <c r="P171" s="21">
        <v>3123.5212799999999</v>
      </c>
    </row>
    <row r="172" spans="7:16" x14ac:dyDescent="0.15">
      <c r="G172" s="11">
        <v>171</v>
      </c>
      <c r="H172" s="10" t="s">
        <v>596</v>
      </c>
      <c r="I172" t="s">
        <v>264</v>
      </c>
      <c r="J172" t="s">
        <v>1242</v>
      </c>
      <c r="K172">
        <v>5.99</v>
      </c>
      <c r="L172" s="20">
        <v>-0.56999999999999995</v>
      </c>
      <c r="M172">
        <v>130.87</v>
      </c>
      <c r="N172">
        <v>39.119999999999997</v>
      </c>
      <c r="O172">
        <v>91.75</v>
      </c>
      <c r="P172" s="21">
        <v>142.62676240000002</v>
      </c>
    </row>
    <row r="173" spans="7:16" x14ac:dyDescent="0.15">
      <c r="G173" s="11">
        <v>172</v>
      </c>
      <c r="H173" s="10" t="s">
        <v>1600</v>
      </c>
      <c r="I173" t="s">
        <v>1601</v>
      </c>
      <c r="J173" t="s">
        <v>1688</v>
      </c>
      <c r="K173">
        <v>6.64</v>
      </c>
      <c r="L173" s="20">
        <v>-0.45</v>
      </c>
      <c r="M173">
        <v>130.58000000000001</v>
      </c>
      <c r="N173">
        <v>41.68</v>
      </c>
      <c r="O173">
        <v>88.9</v>
      </c>
      <c r="P173" s="21">
        <v>865.14181999999994</v>
      </c>
    </row>
    <row r="174" spans="7:16" x14ac:dyDescent="0.15">
      <c r="G174" s="11">
        <v>173</v>
      </c>
      <c r="H174" s="10" t="s">
        <v>1446</v>
      </c>
      <c r="I174" t="s">
        <v>1447</v>
      </c>
      <c r="J174" t="s">
        <v>1688</v>
      </c>
      <c r="K174">
        <v>9.9499999999999993</v>
      </c>
      <c r="L174" s="20">
        <v>-0.14000000000000001</v>
      </c>
      <c r="M174">
        <v>130.44</v>
      </c>
      <c r="N174">
        <v>62.3</v>
      </c>
      <c r="O174">
        <v>68.14</v>
      </c>
      <c r="P174" s="21">
        <v>85.479430000000008</v>
      </c>
    </row>
    <row r="175" spans="7:16" x14ac:dyDescent="0.15">
      <c r="G175" s="11">
        <v>174</v>
      </c>
      <c r="H175" s="10" t="s">
        <v>563</v>
      </c>
      <c r="I175" t="s">
        <v>982</v>
      </c>
      <c r="J175" t="s">
        <v>870</v>
      </c>
      <c r="K175">
        <v>9.9</v>
      </c>
      <c r="L175" s="20">
        <v>-0.14000000000000001</v>
      </c>
      <c r="M175">
        <v>130.01</v>
      </c>
      <c r="N175">
        <v>62.02</v>
      </c>
      <c r="O175">
        <v>67.989999999999995</v>
      </c>
      <c r="P175" s="21">
        <v>827.04520000000002</v>
      </c>
    </row>
    <row r="176" spans="7:16" x14ac:dyDescent="0.15">
      <c r="G176" s="11">
        <v>175</v>
      </c>
      <c r="H176" s="10" t="s">
        <v>693</v>
      </c>
      <c r="I176" t="s">
        <v>1046</v>
      </c>
      <c r="J176" t="s">
        <v>870</v>
      </c>
      <c r="K176">
        <v>9.65</v>
      </c>
      <c r="L176" s="20">
        <v>-0.15</v>
      </c>
      <c r="M176">
        <v>130.01</v>
      </c>
      <c r="N176">
        <v>60.31</v>
      </c>
      <c r="O176">
        <v>69.7</v>
      </c>
      <c r="P176" s="21">
        <v>1638.6705999999999</v>
      </c>
    </row>
    <row r="177" spans="7:16" x14ac:dyDescent="0.15">
      <c r="G177" s="11">
        <v>176</v>
      </c>
      <c r="H177" s="10" t="s">
        <v>572</v>
      </c>
      <c r="I177" t="s">
        <v>266</v>
      </c>
      <c r="J177" t="s">
        <v>870</v>
      </c>
      <c r="K177">
        <v>13.24</v>
      </c>
      <c r="L177" s="20">
        <v>-7.0000000000000007E-2</v>
      </c>
      <c r="M177">
        <v>129.87</v>
      </c>
      <c r="N177">
        <v>76.239999999999995</v>
      </c>
      <c r="O177">
        <v>53.63</v>
      </c>
      <c r="P177" s="21">
        <v>648.62720000000002</v>
      </c>
    </row>
    <row r="178" spans="7:16" x14ac:dyDescent="0.15">
      <c r="G178" s="11">
        <v>177</v>
      </c>
      <c r="H178" s="10" t="s">
        <v>1574</v>
      </c>
      <c r="I178" t="s">
        <v>1575</v>
      </c>
      <c r="J178" t="s">
        <v>1688</v>
      </c>
      <c r="K178">
        <v>6.74</v>
      </c>
      <c r="L178" s="20">
        <v>-0.39</v>
      </c>
      <c r="M178">
        <v>129.73000000000002</v>
      </c>
      <c r="N178">
        <v>43.39</v>
      </c>
      <c r="O178">
        <v>86.34</v>
      </c>
      <c r="P178" s="21">
        <v>626.83309999999994</v>
      </c>
    </row>
    <row r="179" spans="7:16" x14ac:dyDescent="0.15">
      <c r="G179" s="11">
        <v>178</v>
      </c>
      <c r="H179" s="10" t="s">
        <v>372</v>
      </c>
      <c r="I179" t="s">
        <v>1128</v>
      </c>
      <c r="J179" t="s">
        <v>870</v>
      </c>
      <c r="K179">
        <v>28.93</v>
      </c>
      <c r="L179" s="20">
        <v>7.0000000000000007E-2</v>
      </c>
      <c r="M179">
        <v>129.45000000000002</v>
      </c>
      <c r="N179">
        <v>99.29</v>
      </c>
      <c r="O179">
        <v>30.16</v>
      </c>
      <c r="P179" s="21">
        <v>50720.436399999999</v>
      </c>
    </row>
    <row r="180" spans="7:16" x14ac:dyDescent="0.15">
      <c r="G180" s="11">
        <v>179</v>
      </c>
      <c r="H180" s="10" t="s">
        <v>1494</v>
      </c>
      <c r="I180" t="s">
        <v>1495</v>
      </c>
      <c r="J180" t="s">
        <v>1688</v>
      </c>
      <c r="K180">
        <v>21.58</v>
      </c>
      <c r="L180" s="20">
        <v>0</v>
      </c>
      <c r="M180">
        <v>129.30000000000001</v>
      </c>
      <c r="N180">
        <v>92.6</v>
      </c>
      <c r="O180">
        <v>36.700000000000003</v>
      </c>
      <c r="P180" s="21">
        <v>38.903019999999998</v>
      </c>
    </row>
    <row r="181" spans="7:16" x14ac:dyDescent="0.15">
      <c r="G181" s="11">
        <v>180</v>
      </c>
      <c r="H181" s="10" t="s">
        <v>1586</v>
      </c>
      <c r="I181" t="s">
        <v>1587</v>
      </c>
      <c r="J181" t="s">
        <v>1688</v>
      </c>
      <c r="K181">
        <v>5.62</v>
      </c>
      <c r="L181" s="20">
        <v>-0.7</v>
      </c>
      <c r="M181">
        <v>129.16</v>
      </c>
      <c r="N181">
        <v>35.85</v>
      </c>
      <c r="O181">
        <v>93.31</v>
      </c>
      <c r="P181" s="21">
        <v>162.1268</v>
      </c>
    </row>
    <row r="182" spans="7:16" x14ac:dyDescent="0.15">
      <c r="G182" s="11">
        <v>181</v>
      </c>
      <c r="H182" s="10" t="s">
        <v>1673</v>
      </c>
      <c r="I182" t="s">
        <v>1674</v>
      </c>
      <c r="J182" t="s">
        <v>1688</v>
      </c>
      <c r="K182">
        <v>19.010000000000002</v>
      </c>
      <c r="L182" s="20">
        <v>0</v>
      </c>
      <c r="M182">
        <v>128.88</v>
      </c>
      <c r="N182">
        <v>87.34</v>
      </c>
      <c r="O182">
        <v>41.54</v>
      </c>
      <c r="P182" s="21">
        <v>583.12459999999999</v>
      </c>
    </row>
    <row r="183" spans="7:16" x14ac:dyDescent="0.15">
      <c r="G183" s="11">
        <v>182</v>
      </c>
      <c r="H183" s="10" t="s">
        <v>1530</v>
      </c>
      <c r="I183" t="s">
        <v>1531</v>
      </c>
      <c r="J183" t="s">
        <v>1688</v>
      </c>
      <c r="K183">
        <v>6.12</v>
      </c>
      <c r="L183" s="20">
        <v>-0.47</v>
      </c>
      <c r="M183">
        <v>128.87</v>
      </c>
      <c r="N183">
        <v>39.54</v>
      </c>
      <c r="O183">
        <v>89.33</v>
      </c>
      <c r="P183" s="21">
        <v>316.99689999999998</v>
      </c>
    </row>
    <row r="184" spans="7:16" x14ac:dyDescent="0.15">
      <c r="G184" s="11">
        <v>183</v>
      </c>
      <c r="H184" s="10" t="s">
        <v>1431</v>
      </c>
      <c r="I184" t="s">
        <v>1432</v>
      </c>
      <c r="J184" t="s">
        <v>1688</v>
      </c>
      <c r="K184">
        <v>9.7899999999999991</v>
      </c>
      <c r="L184" s="20">
        <v>-0.14000000000000001</v>
      </c>
      <c r="M184">
        <v>128.72999999999999</v>
      </c>
      <c r="N184">
        <v>60.88</v>
      </c>
      <c r="O184">
        <v>67.849999999999994</v>
      </c>
      <c r="P184" s="21">
        <v>109.3363086</v>
      </c>
    </row>
    <row r="185" spans="7:16" x14ac:dyDescent="0.15">
      <c r="G185" s="11">
        <v>184</v>
      </c>
      <c r="H185" s="10" t="s">
        <v>581</v>
      </c>
      <c r="I185" t="s">
        <v>994</v>
      </c>
      <c r="J185" t="s">
        <v>870</v>
      </c>
      <c r="K185">
        <v>12.88</v>
      </c>
      <c r="L185" s="20">
        <v>-7.0000000000000007E-2</v>
      </c>
      <c r="M185">
        <v>128.59</v>
      </c>
      <c r="N185">
        <v>73.97</v>
      </c>
      <c r="O185">
        <v>54.62</v>
      </c>
      <c r="P185" s="21">
        <v>896.52295000000004</v>
      </c>
    </row>
    <row r="186" spans="7:16" x14ac:dyDescent="0.15">
      <c r="G186" s="11">
        <v>185</v>
      </c>
      <c r="H186" s="10" t="s">
        <v>1341</v>
      </c>
      <c r="I186" t="s">
        <v>1342</v>
      </c>
      <c r="J186" t="s">
        <v>1688</v>
      </c>
      <c r="K186">
        <v>20.09</v>
      </c>
      <c r="L186" s="20">
        <v>0</v>
      </c>
      <c r="M186">
        <v>128.16</v>
      </c>
      <c r="N186">
        <v>89.47</v>
      </c>
      <c r="O186">
        <v>38.69</v>
      </c>
      <c r="P186" s="21">
        <v>1313.0077000000001</v>
      </c>
    </row>
    <row r="187" spans="7:16" x14ac:dyDescent="0.15">
      <c r="G187" s="11">
        <v>186</v>
      </c>
      <c r="H187" s="10" t="s">
        <v>1415</v>
      </c>
      <c r="I187" t="s">
        <v>1416</v>
      </c>
      <c r="J187" t="s">
        <v>1688</v>
      </c>
      <c r="K187">
        <v>9.2799999999999994</v>
      </c>
      <c r="L187" s="20">
        <v>-0.15</v>
      </c>
      <c r="M187">
        <v>128.03</v>
      </c>
      <c r="N187">
        <v>58.04</v>
      </c>
      <c r="O187">
        <v>69.989999999999995</v>
      </c>
      <c r="P187" s="21">
        <v>744.77799000000005</v>
      </c>
    </row>
    <row r="188" spans="7:16" x14ac:dyDescent="0.15">
      <c r="G188" s="11">
        <v>187</v>
      </c>
      <c r="H188" s="10" t="s">
        <v>1614</v>
      </c>
      <c r="I188" t="s">
        <v>1615</v>
      </c>
      <c r="J188" t="s">
        <v>1688</v>
      </c>
      <c r="K188">
        <v>10.050000000000001</v>
      </c>
      <c r="L188" s="20">
        <v>-0.13</v>
      </c>
      <c r="M188">
        <v>128.01999999999998</v>
      </c>
      <c r="N188">
        <v>63.16</v>
      </c>
      <c r="O188">
        <v>64.86</v>
      </c>
      <c r="P188" s="21">
        <v>21052.273300000001</v>
      </c>
    </row>
    <row r="189" spans="7:16" x14ac:dyDescent="0.15">
      <c r="G189" s="11">
        <v>188</v>
      </c>
      <c r="H189" s="10" t="s">
        <v>594</v>
      </c>
      <c r="I189" t="s">
        <v>935</v>
      </c>
      <c r="J189" t="s">
        <v>870</v>
      </c>
      <c r="K189">
        <v>7.66</v>
      </c>
      <c r="L189" s="20">
        <v>-0.25</v>
      </c>
      <c r="M189">
        <v>127.74000000000001</v>
      </c>
      <c r="N189">
        <v>49.79</v>
      </c>
      <c r="O189">
        <v>77.95</v>
      </c>
      <c r="P189" s="21">
        <v>111.117</v>
      </c>
    </row>
    <row r="190" spans="7:16" x14ac:dyDescent="0.15">
      <c r="G190" s="11">
        <v>189</v>
      </c>
      <c r="H190" s="10" t="s">
        <v>540</v>
      </c>
      <c r="I190" t="s">
        <v>888</v>
      </c>
      <c r="J190" t="s">
        <v>870</v>
      </c>
      <c r="K190">
        <v>12.9</v>
      </c>
      <c r="L190" s="20">
        <v>-0.06</v>
      </c>
      <c r="M190">
        <v>127.45</v>
      </c>
      <c r="N190">
        <v>74.11</v>
      </c>
      <c r="O190">
        <v>53.34</v>
      </c>
      <c r="P190" s="21">
        <v>85.870900000000006</v>
      </c>
    </row>
    <row r="191" spans="7:16" x14ac:dyDescent="0.15">
      <c r="G191" s="11">
        <v>190</v>
      </c>
      <c r="H191" s="10" t="s">
        <v>515</v>
      </c>
      <c r="I191" t="s">
        <v>1156</v>
      </c>
      <c r="J191" t="s">
        <v>870</v>
      </c>
      <c r="K191">
        <v>25.6</v>
      </c>
      <c r="L191" s="20">
        <v>0.04</v>
      </c>
      <c r="M191">
        <v>127.17</v>
      </c>
      <c r="N191">
        <v>96.59</v>
      </c>
      <c r="O191">
        <v>30.58</v>
      </c>
      <c r="P191" s="21">
        <v>18604.348900000001</v>
      </c>
    </row>
    <row r="192" spans="7:16" x14ac:dyDescent="0.15">
      <c r="G192" s="11">
        <v>191</v>
      </c>
      <c r="H192" s="10" t="s">
        <v>1458</v>
      </c>
      <c r="I192" t="s">
        <v>1459</v>
      </c>
      <c r="J192" t="s">
        <v>1688</v>
      </c>
      <c r="K192">
        <v>4.99</v>
      </c>
      <c r="L192" s="20">
        <v>-0.7</v>
      </c>
      <c r="M192">
        <v>126.88999999999999</v>
      </c>
      <c r="N192">
        <v>33.43</v>
      </c>
      <c r="O192">
        <v>93.46</v>
      </c>
      <c r="P192" s="21">
        <v>45.861800000000002</v>
      </c>
    </row>
    <row r="193" spans="7:16" x14ac:dyDescent="0.15">
      <c r="G193" s="11">
        <v>192</v>
      </c>
      <c r="H193" s="10" t="s">
        <v>493</v>
      </c>
      <c r="I193" t="s">
        <v>933</v>
      </c>
      <c r="J193" t="s">
        <v>870</v>
      </c>
      <c r="K193">
        <v>7.33</v>
      </c>
      <c r="L193" s="20">
        <v>-0.27</v>
      </c>
      <c r="M193">
        <v>126.6</v>
      </c>
      <c r="N193">
        <v>46.94</v>
      </c>
      <c r="O193">
        <v>79.66</v>
      </c>
      <c r="P193" s="21">
        <v>550.14239999999995</v>
      </c>
    </row>
    <row r="194" spans="7:16" x14ac:dyDescent="0.15">
      <c r="G194" s="11">
        <v>193</v>
      </c>
      <c r="H194" s="10" t="s">
        <v>1540</v>
      </c>
      <c r="I194" t="s">
        <v>1541</v>
      </c>
      <c r="J194" t="s">
        <v>1688</v>
      </c>
      <c r="K194">
        <v>10.039999999999999</v>
      </c>
      <c r="L194" s="20">
        <v>-0.12</v>
      </c>
      <c r="M194">
        <v>126.6</v>
      </c>
      <c r="N194">
        <v>63.02</v>
      </c>
      <c r="O194">
        <v>63.58</v>
      </c>
      <c r="P194" s="21">
        <v>616.86580000000004</v>
      </c>
    </row>
    <row r="195" spans="7:16" x14ac:dyDescent="0.15">
      <c r="G195" s="11">
        <v>194</v>
      </c>
      <c r="H195" s="10" t="s">
        <v>649</v>
      </c>
      <c r="I195" t="s">
        <v>1159</v>
      </c>
      <c r="J195" t="s">
        <v>870</v>
      </c>
      <c r="K195">
        <v>13.06</v>
      </c>
      <c r="L195" s="20">
        <v>-0.03</v>
      </c>
      <c r="M195">
        <v>126.46000000000001</v>
      </c>
      <c r="N195">
        <v>75.11</v>
      </c>
      <c r="O195">
        <v>51.35</v>
      </c>
      <c r="P195" s="21">
        <v>11577.306399999999</v>
      </c>
    </row>
    <row r="196" spans="7:16" x14ac:dyDescent="0.15">
      <c r="G196" s="11">
        <v>195</v>
      </c>
      <c r="H196" s="10" t="s">
        <v>634</v>
      </c>
      <c r="I196" t="s">
        <v>969</v>
      </c>
      <c r="J196" t="s">
        <v>870</v>
      </c>
      <c r="K196">
        <v>11.33</v>
      </c>
      <c r="L196" s="20">
        <v>-0.08</v>
      </c>
      <c r="M196">
        <v>126.46</v>
      </c>
      <c r="N196">
        <v>70.27</v>
      </c>
      <c r="O196">
        <v>56.19</v>
      </c>
      <c r="P196" s="21">
        <v>396.83544000000001</v>
      </c>
    </row>
    <row r="197" spans="7:16" x14ac:dyDescent="0.15">
      <c r="G197" s="11">
        <v>196</v>
      </c>
      <c r="H197" s="10" t="s">
        <v>517</v>
      </c>
      <c r="I197" t="s">
        <v>894</v>
      </c>
      <c r="J197" t="s">
        <v>870</v>
      </c>
      <c r="K197">
        <v>8.36</v>
      </c>
      <c r="L197" s="20">
        <v>-0.17</v>
      </c>
      <c r="M197">
        <v>126.44999999999999</v>
      </c>
      <c r="N197">
        <v>54.62</v>
      </c>
      <c r="O197">
        <v>71.83</v>
      </c>
      <c r="P197" s="21">
        <v>36.502499999999998</v>
      </c>
    </row>
    <row r="198" spans="7:16" x14ac:dyDescent="0.15">
      <c r="G198" s="11">
        <v>197</v>
      </c>
      <c r="H198" s="10" t="s">
        <v>1509</v>
      </c>
      <c r="I198" t="s">
        <v>1510</v>
      </c>
      <c r="J198" t="s">
        <v>1688</v>
      </c>
      <c r="K198">
        <v>6.57</v>
      </c>
      <c r="L198" s="20">
        <v>-0.37</v>
      </c>
      <c r="M198">
        <v>126.31</v>
      </c>
      <c r="N198">
        <v>41.25</v>
      </c>
      <c r="O198">
        <v>85.06</v>
      </c>
      <c r="P198" s="21">
        <v>901.54614000000004</v>
      </c>
    </row>
    <row r="199" spans="7:16" x14ac:dyDescent="0.15">
      <c r="G199" s="11">
        <v>198</v>
      </c>
      <c r="H199" s="10" t="s">
        <v>1637</v>
      </c>
      <c r="I199" t="s">
        <v>1638</v>
      </c>
      <c r="J199" t="s">
        <v>1688</v>
      </c>
      <c r="K199">
        <v>19.309999999999999</v>
      </c>
      <c r="L199" s="20">
        <v>0</v>
      </c>
      <c r="M199">
        <v>126.04</v>
      </c>
      <c r="N199">
        <v>88.34</v>
      </c>
      <c r="O199">
        <v>37.700000000000003</v>
      </c>
      <c r="P199" s="21">
        <v>1258.6128000000001</v>
      </c>
    </row>
    <row r="200" spans="7:16" x14ac:dyDescent="0.15">
      <c r="G200" s="11">
        <v>199</v>
      </c>
      <c r="H200" s="10" t="s">
        <v>1423</v>
      </c>
      <c r="I200" t="s">
        <v>1424</v>
      </c>
      <c r="J200" t="s">
        <v>1688</v>
      </c>
      <c r="K200">
        <v>19.37</v>
      </c>
      <c r="L200" s="20">
        <v>0</v>
      </c>
      <c r="M200">
        <v>125.89000000000001</v>
      </c>
      <c r="N200">
        <v>88.62</v>
      </c>
      <c r="O200">
        <v>37.270000000000003</v>
      </c>
      <c r="P200" s="21">
        <v>6008.0677655</v>
      </c>
    </row>
    <row r="201" spans="7:16" x14ac:dyDescent="0.15">
      <c r="G201" s="11">
        <v>200</v>
      </c>
      <c r="H201" s="10" t="s">
        <v>389</v>
      </c>
      <c r="I201" t="s">
        <v>1265</v>
      </c>
      <c r="J201" t="s">
        <v>1251</v>
      </c>
      <c r="K201">
        <v>5.51</v>
      </c>
      <c r="L201" s="20">
        <v>-0.53</v>
      </c>
      <c r="M201">
        <v>125.61</v>
      </c>
      <c r="N201">
        <v>35.14</v>
      </c>
      <c r="O201">
        <v>90.47</v>
      </c>
      <c r="P201" s="21">
        <v>205.85140000000001</v>
      </c>
    </row>
    <row r="202" spans="7:16" x14ac:dyDescent="0.15">
      <c r="G202" s="11">
        <v>201</v>
      </c>
      <c r="H202" s="10" t="s">
        <v>1556</v>
      </c>
      <c r="I202" t="s">
        <v>1557</v>
      </c>
      <c r="J202" t="s">
        <v>1688</v>
      </c>
      <c r="K202">
        <v>5.58</v>
      </c>
      <c r="L202" s="20">
        <v>-0.49</v>
      </c>
      <c r="M202">
        <v>125.60000000000001</v>
      </c>
      <c r="N202">
        <v>35.56</v>
      </c>
      <c r="O202">
        <v>90.04</v>
      </c>
      <c r="P202" s="21">
        <v>1615.3051800000001</v>
      </c>
    </row>
    <row r="203" spans="7:16" x14ac:dyDescent="0.15">
      <c r="G203" s="11">
        <v>202</v>
      </c>
      <c r="H203" s="10" t="s">
        <v>342</v>
      </c>
      <c r="I203" t="s">
        <v>1002</v>
      </c>
      <c r="J203" t="s">
        <v>870</v>
      </c>
      <c r="K203">
        <v>28.47</v>
      </c>
      <c r="L203" s="20">
        <v>0.11</v>
      </c>
      <c r="M203">
        <v>125.46000000000001</v>
      </c>
      <c r="N203">
        <v>99</v>
      </c>
      <c r="O203">
        <v>26.46</v>
      </c>
      <c r="P203" s="21">
        <v>1282.9703999999999</v>
      </c>
    </row>
    <row r="204" spans="7:16" x14ac:dyDescent="0.15">
      <c r="G204" s="11">
        <v>203</v>
      </c>
      <c r="H204" s="10" t="s">
        <v>636</v>
      </c>
      <c r="I204" t="s">
        <v>1061</v>
      </c>
      <c r="J204" t="s">
        <v>870</v>
      </c>
      <c r="K204">
        <v>27.03</v>
      </c>
      <c r="L204" s="20">
        <v>0.1</v>
      </c>
      <c r="M204">
        <v>125.46000000000001</v>
      </c>
      <c r="N204">
        <v>98.15</v>
      </c>
      <c r="O204">
        <v>27.31</v>
      </c>
      <c r="P204" s="21">
        <v>7562.5273999999999</v>
      </c>
    </row>
    <row r="205" spans="7:16" x14ac:dyDescent="0.15">
      <c r="G205" s="11">
        <v>204</v>
      </c>
      <c r="H205" s="10" t="s">
        <v>353</v>
      </c>
      <c r="I205" t="s">
        <v>1268</v>
      </c>
      <c r="J205" t="s">
        <v>1251</v>
      </c>
      <c r="K205">
        <v>4.51</v>
      </c>
      <c r="L205" s="20">
        <v>-0.66</v>
      </c>
      <c r="M205">
        <v>125.32</v>
      </c>
      <c r="N205">
        <v>32.29</v>
      </c>
      <c r="O205">
        <v>93.03</v>
      </c>
      <c r="P205" s="21">
        <v>265.93662570000004</v>
      </c>
    </row>
    <row r="206" spans="7:16" x14ac:dyDescent="0.15">
      <c r="G206" s="11">
        <v>205</v>
      </c>
      <c r="H206" s="10" t="s">
        <v>435</v>
      </c>
      <c r="I206" t="s">
        <v>1006</v>
      </c>
      <c r="J206" t="s">
        <v>870</v>
      </c>
      <c r="K206">
        <v>16.59</v>
      </c>
      <c r="L206" s="20">
        <v>0</v>
      </c>
      <c r="M206">
        <v>125.04</v>
      </c>
      <c r="N206">
        <v>83.93</v>
      </c>
      <c r="O206">
        <v>41.11</v>
      </c>
      <c r="P206" s="21">
        <v>1983.9104</v>
      </c>
    </row>
    <row r="207" spans="7:16" x14ac:dyDescent="0.15">
      <c r="G207" s="11">
        <v>206</v>
      </c>
      <c r="H207" s="10" t="s">
        <v>595</v>
      </c>
      <c r="I207" t="s">
        <v>892</v>
      </c>
      <c r="J207" t="s">
        <v>870</v>
      </c>
      <c r="K207">
        <v>9.16</v>
      </c>
      <c r="L207" s="20">
        <v>-0.14000000000000001</v>
      </c>
      <c r="M207">
        <v>124.89</v>
      </c>
      <c r="N207">
        <v>57.75</v>
      </c>
      <c r="O207">
        <v>67.14</v>
      </c>
      <c r="P207" s="21">
        <v>74.399900000000002</v>
      </c>
    </row>
    <row r="208" spans="7:16" x14ac:dyDescent="0.15">
      <c r="G208" s="11">
        <v>207</v>
      </c>
      <c r="H208" s="10" t="s">
        <v>1279</v>
      </c>
      <c r="I208" t="s">
        <v>1280</v>
      </c>
      <c r="J208" t="s">
        <v>870</v>
      </c>
      <c r="K208">
        <v>5.86</v>
      </c>
      <c r="L208" s="20">
        <v>-0.4</v>
      </c>
      <c r="M208">
        <v>124.47</v>
      </c>
      <c r="N208">
        <v>37.270000000000003</v>
      </c>
      <c r="O208">
        <v>87.2</v>
      </c>
      <c r="P208" s="21">
        <v>681.51570000000004</v>
      </c>
    </row>
    <row r="209" spans="7:16" x14ac:dyDescent="0.15">
      <c r="G209" s="11">
        <v>208</v>
      </c>
      <c r="H209" s="10" t="s">
        <v>341</v>
      </c>
      <c r="I209" t="s">
        <v>1087</v>
      </c>
      <c r="J209" t="s">
        <v>870</v>
      </c>
      <c r="K209">
        <v>19.309999999999999</v>
      </c>
      <c r="L209" s="20">
        <v>0</v>
      </c>
      <c r="M209">
        <v>124.33000000000001</v>
      </c>
      <c r="N209">
        <v>88.48</v>
      </c>
      <c r="O209">
        <v>35.85</v>
      </c>
      <c r="P209" s="21">
        <v>4951.8692000000001</v>
      </c>
    </row>
    <row r="210" spans="7:16" x14ac:dyDescent="0.15">
      <c r="G210" s="11">
        <v>209</v>
      </c>
      <c r="H210" s="10" t="s">
        <v>496</v>
      </c>
      <c r="I210" t="s">
        <v>897</v>
      </c>
      <c r="J210" t="s">
        <v>870</v>
      </c>
      <c r="K210">
        <v>6.69</v>
      </c>
      <c r="L210" s="20">
        <v>-0.3</v>
      </c>
      <c r="M210">
        <v>124.32000000000001</v>
      </c>
      <c r="N210">
        <v>42.53</v>
      </c>
      <c r="O210">
        <v>81.790000000000006</v>
      </c>
      <c r="P210" s="21">
        <v>220.5558</v>
      </c>
    </row>
    <row r="211" spans="7:16" x14ac:dyDescent="0.15">
      <c r="G211" s="11">
        <v>210</v>
      </c>
      <c r="H211" s="10" t="s">
        <v>1372</v>
      </c>
      <c r="I211" t="s">
        <v>1373</v>
      </c>
      <c r="J211" t="s">
        <v>1688</v>
      </c>
      <c r="K211">
        <v>31.45</v>
      </c>
      <c r="L211" s="20">
        <v>0.12</v>
      </c>
      <c r="M211">
        <v>124.17999999999999</v>
      </c>
      <c r="N211">
        <v>99.57</v>
      </c>
      <c r="O211">
        <v>24.61</v>
      </c>
      <c r="P211" s="21">
        <v>2642.9090103999997</v>
      </c>
    </row>
    <row r="212" spans="7:16" x14ac:dyDescent="0.15">
      <c r="G212" s="11">
        <v>211</v>
      </c>
      <c r="H212" s="10" t="s">
        <v>1275</v>
      </c>
      <c r="I212" t="s">
        <v>1276</v>
      </c>
      <c r="J212" t="s">
        <v>870</v>
      </c>
      <c r="K212">
        <v>15.78</v>
      </c>
      <c r="L212" s="20">
        <v>0</v>
      </c>
      <c r="M212">
        <v>124.17999999999999</v>
      </c>
      <c r="N212">
        <v>83.21</v>
      </c>
      <c r="O212">
        <v>40.97</v>
      </c>
      <c r="P212" s="21">
        <v>96.254760000000005</v>
      </c>
    </row>
    <row r="213" spans="7:16" x14ac:dyDescent="0.15">
      <c r="G213" s="11">
        <v>212</v>
      </c>
      <c r="H213" s="10" t="s">
        <v>532</v>
      </c>
      <c r="I213" t="s">
        <v>905</v>
      </c>
      <c r="J213" t="s">
        <v>870</v>
      </c>
      <c r="K213">
        <v>5.69</v>
      </c>
      <c r="L213" s="20">
        <v>-0.42</v>
      </c>
      <c r="M213">
        <v>124.03999999999999</v>
      </c>
      <c r="N213">
        <v>36.130000000000003</v>
      </c>
      <c r="O213">
        <v>87.91</v>
      </c>
      <c r="P213" s="21">
        <v>252.899</v>
      </c>
    </row>
    <row r="214" spans="7:16" x14ac:dyDescent="0.15">
      <c r="G214" s="11">
        <v>213</v>
      </c>
      <c r="H214" s="10" t="s">
        <v>481</v>
      </c>
      <c r="I214" t="s">
        <v>1132</v>
      </c>
      <c r="J214" t="s">
        <v>870</v>
      </c>
      <c r="K214">
        <v>27.22</v>
      </c>
      <c r="L214" s="20">
        <v>0.12</v>
      </c>
      <c r="M214">
        <v>123.75999999999999</v>
      </c>
      <c r="N214">
        <v>98.44</v>
      </c>
      <c r="O214">
        <v>25.32</v>
      </c>
      <c r="P214" s="21">
        <v>16031.297399999999</v>
      </c>
    </row>
    <row r="215" spans="7:16" x14ac:dyDescent="0.15">
      <c r="G215" s="11">
        <v>214</v>
      </c>
      <c r="H215" s="10" t="s">
        <v>373</v>
      </c>
      <c r="I215" t="s">
        <v>1023</v>
      </c>
      <c r="J215" t="s">
        <v>870</v>
      </c>
      <c r="K215">
        <v>19.18</v>
      </c>
      <c r="L215" s="20">
        <v>0</v>
      </c>
      <c r="M215">
        <v>123.61000000000001</v>
      </c>
      <c r="N215">
        <v>87.62</v>
      </c>
      <c r="O215">
        <v>35.99</v>
      </c>
      <c r="P215" s="21">
        <v>1300.38455</v>
      </c>
    </row>
    <row r="216" spans="7:16" x14ac:dyDescent="0.15">
      <c r="G216" s="11">
        <v>215</v>
      </c>
      <c r="H216" s="10" t="s">
        <v>366</v>
      </c>
      <c r="I216" t="s">
        <v>1065</v>
      </c>
      <c r="J216" t="s">
        <v>870</v>
      </c>
      <c r="K216">
        <v>19</v>
      </c>
      <c r="L216" s="20">
        <v>0</v>
      </c>
      <c r="M216">
        <v>123.47</v>
      </c>
      <c r="N216">
        <v>87.2</v>
      </c>
      <c r="O216">
        <v>36.270000000000003</v>
      </c>
      <c r="P216" s="21">
        <v>2787.4756499999999</v>
      </c>
    </row>
    <row r="217" spans="7:16" x14ac:dyDescent="0.15">
      <c r="G217" s="11">
        <v>216</v>
      </c>
      <c r="H217" s="10" t="s">
        <v>520</v>
      </c>
      <c r="I217" t="s">
        <v>1074</v>
      </c>
      <c r="J217" t="s">
        <v>870</v>
      </c>
      <c r="K217">
        <v>7.12</v>
      </c>
      <c r="L217" s="20">
        <v>-0.24</v>
      </c>
      <c r="M217">
        <v>123.33</v>
      </c>
      <c r="N217">
        <v>46.09</v>
      </c>
      <c r="O217">
        <v>77.239999999999995</v>
      </c>
      <c r="P217" s="21">
        <v>4028.3431999999998</v>
      </c>
    </row>
    <row r="218" spans="7:16" x14ac:dyDescent="0.15">
      <c r="G218" s="11">
        <v>217</v>
      </c>
      <c r="H218" s="10" t="s">
        <v>1538</v>
      </c>
      <c r="I218" t="s">
        <v>1539</v>
      </c>
      <c r="J218" t="s">
        <v>1688</v>
      </c>
      <c r="K218">
        <v>6.42</v>
      </c>
      <c r="L218" s="20">
        <v>-0.31</v>
      </c>
      <c r="M218">
        <v>122.76</v>
      </c>
      <c r="N218">
        <v>40.11</v>
      </c>
      <c r="O218">
        <v>82.65</v>
      </c>
      <c r="P218" s="21">
        <v>85.794519999999991</v>
      </c>
    </row>
    <row r="219" spans="7:16" x14ac:dyDescent="0.15">
      <c r="G219" s="11">
        <v>218</v>
      </c>
      <c r="H219" s="10" t="s">
        <v>456</v>
      </c>
      <c r="I219" t="s">
        <v>941</v>
      </c>
      <c r="J219" t="s">
        <v>870</v>
      </c>
      <c r="K219">
        <v>8.02</v>
      </c>
      <c r="L219" s="20">
        <v>-0.15</v>
      </c>
      <c r="M219">
        <v>122.75999999999999</v>
      </c>
      <c r="N219">
        <v>52.35</v>
      </c>
      <c r="O219">
        <v>70.41</v>
      </c>
      <c r="P219" s="21">
        <v>257.88099999999997</v>
      </c>
    </row>
    <row r="220" spans="7:16" x14ac:dyDescent="0.15">
      <c r="G220" s="11">
        <v>219</v>
      </c>
      <c r="H220" s="10" t="s">
        <v>488</v>
      </c>
      <c r="I220" t="s">
        <v>974</v>
      </c>
      <c r="J220" t="s">
        <v>870</v>
      </c>
      <c r="K220">
        <v>10.46</v>
      </c>
      <c r="L220" s="20">
        <v>-0.08</v>
      </c>
      <c r="M220">
        <v>122.62</v>
      </c>
      <c r="N220">
        <v>67.14</v>
      </c>
      <c r="O220">
        <v>55.48</v>
      </c>
      <c r="P220" s="21">
        <v>450.38715000000002</v>
      </c>
    </row>
    <row r="221" spans="7:16" x14ac:dyDescent="0.15">
      <c r="G221" s="11">
        <v>220</v>
      </c>
      <c r="H221" s="10" t="s">
        <v>326</v>
      </c>
      <c r="I221" t="s">
        <v>1157</v>
      </c>
      <c r="J221" t="s">
        <v>870</v>
      </c>
      <c r="K221">
        <v>21.65</v>
      </c>
      <c r="L221" s="20">
        <v>0.08</v>
      </c>
      <c r="M221">
        <v>122.62</v>
      </c>
      <c r="N221">
        <v>92.89</v>
      </c>
      <c r="O221">
        <v>29.73</v>
      </c>
      <c r="P221" s="21">
        <v>39665.7094</v>
      </c>
    </row>
    <row r="222" spans="7:16" x14ac:dyDescent="0.15">
      <c r="G222" s="11">
        <v>221</v>
      </c>
      <c r="H222" s="10" t="s">
        <v>617</v>
      </c>
      <c r="I222" t="s">
        <v>921</v>
      </c>
      <c r="J222" t="s">
        <v>870</v>
      </c>
      <c r="K222">
        <v>10.44</v>
      </c>
      <c r="L222" s="20">
        <v>-0.08</v>
      </c>
      <c r="M222">
        <v>122.33</v>
      </c>
      <c r="N222">
        <v>67</v>
      </c>
      <c r="O222">
        <v>55.33</v>
      </c>
      <c r="P222" s="21">
        <v>141.26716000000002</v>
      </c>
    </row>
    <row r="223" spans="7:16" x14ac:dyDescent="0.15">
      <c r="G223" s="11">
        <v>222</v>
      </c>
      <c r="H223" s="10" t="s">
        <v>701</v>
      </c>
      <c r="I223" t="s">
        <v>1297</v>
      </c>
      <c r="J223" t="s">
        <v>1288</v>
      </c>
      <c r="K223">
        <v>8.09</v>
      </c>
      <c r="L223" s="20">
        <v>-0.14000000000000001</v>
      </c>
      <c r="M223">
        <v>122.19</v>
      </c>
      <c r="N223">
        <v>53.06</v>
      </c>
      <c r="O223">
        <v>69.13</v>
      </c>
      <c r="P223" s="21">
        <v>100.67529999999999</v>
      </c>
    </row>
    <row r="224" spans="7:16" x14ac:dyDescent="0.15">
      <c r="G224" s="11">
        <v>223</v>
      </c>
      <c r="H224" s="10" t="s">
        <v>1419</v>
      </c>
      <c r="I224" t="s">
        <v>1420</v>
      </c>
      <c r="J224" t="s">
        <v>1688</v>
      </c>
      <c r="K224">
        <v>9.7200000000000006</v>
      </c>
      <c r="L224" s="20">
        <v>-0.12</v>
      </c>
      <c r="M224">
        <v>122.05000000000001</v>
      </c>
      <c r="N224">
        <v>60.6</v>
      </c>
      <c r="O224">
        <v>61.45</v>
      </c>
      <c r="P224" s="21">
        <v>9788.4418244999997</v>
      </c>
    </row>
    <row r="225" spans="7:16" x14ac:dyDescent="0.15">
      <c r="G225" s="11">
        <v>224</v>
      </c>
      <c r="H225" s="10" t="s">
        <v>664</v>
      </c>
      <c r="I225" t="s">
        <v>976</v>
      </c>
      <c r="J225" t="s">
        <v>870</v>
      </c>
      <c r="K225">
        <v>10.35</v>
      </c>
      <c r="L225" s="20">
        <v>-0.08</v>
      </c>
      <c r="M225">
        <v>121.76</v>
      </c>
      <c r="N225">
        <v>65.430000000000007</v>
      </c>
      <c r="O225">
        <v>56.33</v>
      </c>
      <c r="P225" s="21">
        <v>1262.0748000000001</v>
      </c>
    </row>
    <row r="226" spans="7:16" x14ac:dyDescent="0.15">
      <c r="G226" s="11">
        <v>225</v>
      </c>
      <c r="H226" s="10" t="s">
        <v>1604</v>
      </c>
      <c r="I226" t="s">
        <v>1605</v>
      </c>
      <c r="J226" t="s">
        <v>1688</v>
      </c>
      <c r="K226">
        <v>5.6</v>
      </c>
      <c r="L226" s="20">
        <v>-0.38</v>
      </c>
      <c r="M226">
        <v>121.76</v>
      </c>
      <c r="N226">
        <v>35.700000000000003</v>
      </c>
      <c r="O226">
        <v>86.06</v>
      </c>
      <c r="P226" s="21">
        <v>819.53769999999997</v>
      </c>
    </row>
    <row r="227" spans="7:16" x14ac:dyDescent="0.15">
      <c r="G227" s="11">
        <v>226</v>
      </c>
      <c r="H227" s="10" t="s">
        <v>591</v>
      </c>
      <c r="I227" t="s">
        <v>992</v>
      </c>
      <c r="J227" t="s">
        <v>870</v>
      </c>
      <c r="K227">
        <v>15.68</v>
      </c>
      <c r="L227" s="20">
        <v>0</v>
      </c>
      <c r="M227">
        <v>121.34</v>
      </c>
      <c r="N227">
        <v>82.93</v>
      </c>
      <c r="O227">
        <v>38.409999999999997</v>
      </c>
      <c r="P227" s="21">
        <v>1184.2888</v>
      </c>
    </row>
    <row r="228" spans="7:16" x14ac:dyDescent="0.15">
      <c r="G228" s="11">
        <v>227</v>
      </c>
      <c r="H228" s="10" t="s">
        <v>686</v>
      </c>
      <c r="I228" t="s">
        <v>1119</v>
      </c>
      <c r="J228" t="s">
        <v>870</v>
      </c>
      <c r="K228">
        <v>4.7</v>
      </c>
      <c r="L228" s="20">
        <v>-0.44</v>
      </c>
      <c r="M228">
        <v>121.05</v>
      </c>
      <c r="N228">
        <v>32.86</v>
      </c>
      <c r="O228">
        <v>88.19</v>
      </c>
      <c r="P228" s="21">
        <v>2561.9845</v>
      </c>
    </row>
    <row r="229" spans="7:16" x14ac:dyDescent="0.15">
      <c r="G229" s="11">
        <v>228</v>
      </c>
      <c r="H229" s="10" t="s">
        <v>618</v>
      </c>
      <c r="I229" t="s">
        <v>887</v>
      </c>
      <c r="J229" t="s">
        <v>870</v>
      </c>
      <c r="K229">
        <v>5.75</v>
      </c>
      <c r="L229" s="20">
        <v>-0.36</v>
      </c>
      <c r="M229">
        <v>120.92</v>
      </c>
      <c r="N229">
        <v>36.42</v>
      </c>
      <c r="O229">
        <v>84.5</v>
      </c>
      <c r="P229" s="21">
        <v>64.353800000000007</v>
      </c>
    </row>
    <row r="230" spans="7:16" x14ac:dyDescent="0.15">
      <c r="G230" s="11">
        <v>229</v>
      </c>
      <c r="H230" s="10" t="s">
        <v>407</v>
      </c>
      <c r="I230" t="s">
        <v>1091</v>
      </c>
      <c r="J230" t="s">
        <v>870</v>
      </c>
      <c r="K230">
        <v>25.15</v>
      </c>
      <c r="L230" s="20">
        <v>0.13</v>
      </c>
      <c r="M230">
        <v>119.91999999999999</v>
      </c>
      <c r="N230">
        <v>96.02</v>
      </c>
      <c r="O230">
        <v>23.9</v>
      </c>
      <c r="P230" s="21">
        <v>4111.4167017</v>
      </c>
    </row>
    <row r="231" spans="7:16" x14ac:dyDescent="0.15">
      <c r="G231" s="11">
        <v>230</v>
      </c>
      <c r="H231" s="10" t="s">
        <v>501</v>
      </c>
      <c r="I231" t="s">
        <v>1044</v>
      </c>
      <c r="J231" t="s">
        <v>870</v>
      </c>
      <c r="K231">
        <v>7.72</v>
      </c>
      <c r="L231" s="20">
        <v>-0.15</v>
      </c>
      <c r="M231">
        <v>119.77000000000001</v>
      </c>
      <c r="N231">
        <v>50.21</v>
      </c>
      <c r="O231">
        <v>69.56</v>
      </c>
      <c r="P231" s="21">
        <v>1618.9659999999999</v>
      </c>
    </row>
    <row r="232" spans="7:16" x14ac:dyDescent="0.15">
      <c r="G232" s="11">
        <v>231</v>
      </c>
      <c r="H232" s="10" t="s">
        <v>1631</v>
      </c>
      <c r="I232" t="s">
        <v>1632</v>
      </c>
      <c r="J232" t="s">
        <v>1688</v>
      </c>
      <c r="K232">
        <v>5</v>
      </c>
      <c r="L232" s="20">
        <v>-0.38</v>
      </c>
      <c r="M232">
        <v>119.77000000000001</v>
      </c>
      <c r="N232">
        <v>33.57</v>
      </c>
      <c r="O232">
        <v>86.2</v>
      </c>
      <c r="P232" s="21">
        <v>288.6352</v>
      </c>
    </row>
    <row r="233" spans="7:16" x14ac:dyDescent="0.15">
      <c r="G233" s="11">
        <v>232</v>
      </c>
      <c r="H233" s="10" t="s">
        <v>312</v>
      </c>
      <c r="I233" t="s">
        <v>841</v>
      </c>
      <c r="J233" t="s">
        <v>833</v>
      </c>
      <c r="K233">
        <v>2.42</v>
      </c>
      <c r="L233" s="20">
        <v>-1.19</v>
      </c>
      <c r="M233">
        <v>119.49000000000001</v>
      </c>
      <c r="N233">
        <v>24.04</v>
      </c>
      <c r="O233">
        <v>95.45</v>
      </c>
      <c r="P233" s="21">
        <v>46.996699999999997</v>
      </c>
    </row>
    <row r="234" spans="7:16" x14ac:dyDescent="0.15">
      <c r="G234" s="11">
        <v>233</v>
      </c>
      <c r="H234" s="10" t="s">
        <v>1409</v>
      </c>
      <c r="I234" t="s">
        <v>1410</v>
      </c>
      <c r="J234" t="s">
        <v>1688</v>
      </c>
      <c r="K234">
        <v>26.69</v>
      </c>
      <c r="L234" s="20">
        <v>0.14000000000000001</v>
      </c>
      <c r="M234">
        <v>119.2</v>
      </c>
      <c r="N234">
        <v>97.72</v>
      </c>
      <c r="O234">
        <v>21.48</v>
      </c>
      <c r="P234" s="21">
        <v>3272.5729899999997</v>
      </c>
    </row>
    <row r="235" spans="7:16" x14ac:dyDescent="0.15">
      <c r="G235" s="11">
        <v>234</v>
      </c>
      <c r="H235" s="10" t="s">
        <v>299</v>
      </c>
      <c r="I235" t="s">
        <v>847</v>
      </c>
      <c r="J235" t="s">
        <v>833</v>
      </c>
      <c r="K235">
        <v>2.2799999999999998</v>
      </c>
      <c r="L235" s="20">
        <v>-1.56</v>
      </c>
      <c r="M235">
        <v>119.06</v>
      </c>
      <c r="N235">
        <v>23.47</v>
      </c>
      <c r="O235">
        <v>95.59</v>
      </c>
      <c r="P235" s="21">
        <v>57.2316</v>
      </c>
    </row>
    <row r="236" spans="7:16" x14ac:dyDescent="0.15">
      <c r="G236" s="11">
        <v>235</v>
      </c>
      <c r="H236" s="10" t="s">
        <v>1514</v>
      </c>
      <c r="I236" t="s">
        <v>1515</v>
      </c>
      <c r="J236" t="s">
        <v>1688</v>
      </c>
      <c r="K236">
        <v>24.19</v>
      </c>
      <c r="L236" s="20">
        <v>0.13</v>
      </c>
      <c r="M236">
        <v>118.92</v>
      </c>
      <c r="N236">
        <v>95.31</v>
      </c>
      <c r="O236">
        <v>23.61</v>
      </c>
      <c r="P236" s="21">
        <v>491.7679</v>
      </c>
    </row>
    <row r="237" spans="7:16" x14ac:dyDescent="0.15">
      <c r="G237" s="11">
        <v>236</v>
      </c>
      <c r="H237" s="10" t="s">
        <v>585</v>
      </c>
      <c r="I237" t="s">
        <v>1259</v>
      </c>
      <c r="J237" t="s">
        <v>1251</v>
      </c>
      <c r="K237">
        <v>24.32</v>
      </c>
      <c r="L237" s="20">
        <v>0.13</v>
      </c>
      <c r="M237">
        <v>118.92</v>
      </c>
      <c r="N237">
        <v>95.73</v>
      </c>
      <c r="O237">
        <v>23.19</v>
      </c>
      <c r="P237" s="21">
        <v>121.65519999999999</v>
      </c>
    </row>
    <row r="238" spans="7:16" x14ac:dyDescent="0.15">
      <c r="G238" s="11">
        <v>237</v>
      </c>
      <c r="H238" s="10" t="s">
        <v>549</v>
      </c>
      <c r="I238" t="s">
        <v>1145</v>
      </c>
      <c r="J238" t="s">
        <v>870</v>
      </c>
      <c r="K238">
        <v>15.17</v>
      </c>
      <c r="L238" s="20">
        <v>0</v>
      </c>
      <c r="M238">
        <v>118.49000000000001</v>
      </c>
      <c r="N238">
        <v>81.510000000000005</v>
      </c>
      <c r="O238">
        <v>36.979999999999997</v>
      </c>
      <c r="P238" s="21">
        <v>10293.951283</v>
      </c>
    </row>
    <row r="239" spans="7:16" x14ac:dyDescent="0.15">
      <c r="G239" s="11">
        <v>238</v>
      </c>
      <c r="H239" s="10" t="s">
        <v>1413</v>
      </c>
      <c r="I239" t="s">
        <v>1414</v>
      </c>
      <c r="J239" t="s">
        <v>1688</v>
      </c>
      <c r="K239">
        <v>22.68</v>
      </c>
      <c r="L239" s="20">
        <v>0.12</v>
      </c>
      <c r="M239">
        <v>118.35</v>
      </c>
      <c r="N239">
        <v>93.88</v>
      </c>
      <c r="O239">
        <v>24.47</v>
      </c>
      <c r="P239" s="21">
        <v>240.45232999999999</v>
      </c>
    </row>
    <row r="240" spans="7:16" x14ac:dyDescent="0.15">
      <c r="G240" s="11">
        <v>239</v>
      </c>
      <c r="H240" s="10" t="s">
        <v>1374</v>
      </c>
      <c r="I240" t="s">
        <v>1375</v>
      </c>
      <c r="J240" t="s">
        <v>1688</v>
      </c>
      <c r="K240">
        <v>8.02</v>
      </c>
      <c r="L240" s="20">
        <v>-0.13</v>
      </c>
      <c r="M240">
        <v>118.06</v>
      </c>
      <c r="N240">
        <v>52.06</v>
      </c>
      <c r="O240">
        <v>66</v>
      </c>
      <c r="P240" s="21">
        <v>273.03410000000002</v>
      </c>
    </row>
    <row r="241" spans="7:16" x14ac:dyDescent="0.15">
      <c r="G241" s="11">
        <v>240</v>
      </c>
      <c r="H241" s="10" t="s">
        <v>1651</v>
      </c>
      <c r="I241" t="s">
        <v>1652</v>
      </c>
      <c r="J241" t="s">
        <v>1688</v>
      </c>
      <c r="K241">
        <v>21.07</v>
      </c>
      <c r="L241" s="20">
        <v>0.12</v>
      </c>
      <c r="M241">
        <v>117.64000000000001</v>
      </c>
      <c r="N241">
        <v>92.18</v>
      </c>
      <c r="O241">
        <v>25.46</v>
      </c>
      <c r="P241" s="21">
        <v>60.082299999999996</v>
      </c>
    </row>
    <row r="242" spans="7:16" x14ac:dyDescent="0.15">
      <c r="G242" s="11">
        <v>241</v>
      </c>
      <c r="H242" s="10" t="s">
        <v>1606</v>
      </c>
      <c r="I242" t="s">
        <v>1607</v>
      </c>
      <c r="J242" t="s">
        <v>1688</v>
      </c>
      <c r="K242">
        <v>6.66</v>
      </c>
      <c r="L242" s="20">
        <v>-0.21</v>
      </c>
      <c r="M242">
        <v>117.64</v>
      </c>
      <c r="N242">
        <v>42.25</v>
      </c>
      <c r="O242">
        <v>75.39</v>
      </c>
      <c r="P242" s="21">
        <v>304.94510000000002</v>
      </c>
    </row>
    <row r="243" spans="7:16" x14ac:dyDescent="0.15">
      <c r="G243" s="11">
        <v>242</v>
      </c>
      <c r="H243" s="10" t="s">
        <v>642</v>
      </c>
      <c r="I243" t="s">
        <v>1008</v>
      </c>
      <c r="J243" t="s">
        <v>870</v>
      </c>
      <c r="K243">
        <v>7.03</v>
      </c>
      <c r="L243" s="20">
        <v>-0.17</v>
      </c>
      <c r="M243">
        <v>117.5</v>
      </c>
      <c r="N243">
        <v>45.38</v>
      </c>
      <c r="O243">
        <v>72.12</v>
      </c>
      <c r="P243" s="21">
        <v>1777.0734</v>
      </c>
    </row>
    <row r="244" spans="7:16" x14ac:dyDescent="0.15">
      <c r="G244" s="11">
        <v>243</v>
      </c>
      <c r="H244" s="10" t="s">
        <v>1522</v>
      </c>
      <c r="I244" t="s">
        <v>1523</v>
      </c>
      <c r="J244" t="s">
        <v>1688</v>
      </c>
      <c r="K244">
        <v>23.21</v>
      </c>
      <c r="L244" s="20">
        <v>0.13</v>
      </c>
      <c r="M244">
        <v>117.35000000000001</v>
      </c>
      <c r="N244">
        <v>94.59</v>
      </c>
      <c r="O244">
        <v>22.76</v>
      </c>
      <c r="P244" s="21">
        <v>6868.6484400000008</v>
      </c>
    </row>
    <row r="245" spans="7:16" x14ac:dyDescent="0.15">
      <c r="G245" s="11">
        <v>244</v>
      </c>
      <c r="H245" s="10" t="s">
        <v>392</v>
      </c>
      <c r="I245" t="s">
        <v>1135</v>
      </c>
      <c r="J245" t="s">
        <v>870</v>
      </c>
      <c r="K245">
        <v>19.61</v>
      </c>
      <c r="L245" s="20">
        <v>0.09</v>
      </c>
      <c r="M245">
        <v>117.35000000000001</v>
      </c>
      <c r="N245">
        <v>88.9</v>
      </c>
      <c r="O245">
        <v>28.45</v>
      </c>
      <c r="P245" s="21">
        <v>12863.553</v>
      </c>
    </row>
    <row r="246" spans="7:16" x14ac:dyDescent="0.15">
      <c r="G246" s="11">
        <v>245</v>
      </c>
      <c r="H246" s="10" t="s">
        <v>571</v>
      </c>
      <c r="I246" t="s">
        <v>954</v>
      </c>
      <c r="J246" t="s">
        <v>870</v>
      </c>
      <c r="K246">
        <v>5.87</v>
      </c>
      <c r="L246" s="20">
        <v>-0.27</v>
      </c>
      <c r="M246">
        <v>117.35</v>
      </c>
      <c r="N246">
        <v>37.549999999999997</v>
      </c>
      <c r="O246">
        <v>79.8</v>
      </c>
      <c r="P246" s="21">
        <v>879.17460000000005</v>
      </c>
    </row>
    <row r="247" spans="7:16" x14ac:dyDescent="0.15">
      <c r="G247" s="11">
        <v>246</v>
      </c>
      <c r="H247" s="10" t="s">
        <v>1467</v>
      </c>
      <c r="I247" t="s">
        <v>1468</v>
      </c>
      <c r="J247" t="s">
        <v>1688</v>
      </c>
      <c r="K247">
        <v>4.82</v>
      </c>
      <c r="L247" s="20">
        <v>-0.33</v>
      </c>
      <c r="M247">
        <v>117.21</v>
      </c>
      <c r="N247">
        <v>33</v>
      </c>
      <c r="O247">
        <v>84.21</v>
      </c>
      <c r="P247" s="21">
        <v>83.027601700000005</v>
      </c>
    </row>
    <row r="248" spans="7:16" x14ac:dyDescent="0.15">
      <c r="G248" s="11">
        <v>247</v>
      </c>
      <c r="H248" s="10" t="s">
        <v>1389</v>
      </c>
      <c r="I248" t="s">
        <v>1390</v>
      </c>
      <c r="J248" t="s">
        <v>1688</v>
      </c>
      <c r="K248">
        <v>15.19</v>
      </c>
      <c r="L248" s="20">
        <v>0</v>
      </c>
      <c r="M248">
        <v>117.07000000000001</v>
      </c>
      <c r="N248">
        <v>81.650000000000006</v>
      </c>
      <c r="O248">
        <v>35.42</v>
      </c>
      <c r="P248" s="21">
        <v>53.001162300000004</v>
      </c>
    </row>
    <row r="249" spans="7:16" x14ac:dyDescent="0.15">
      <c r="G249" s="11">
        <v>248</v>
      </c>
      <c r="H249" s="10" t="s">
        <v>463</v>
      </c>
      <c r="I249" t="s">
        <v>923</v>
      </c>
      <c r="J249" t="s">
        <v>870</v>
      </c>
      <c r="K249">
        <v>25.97</v>
      </c>
      <c r="L249" s="20">
        <v>0.16</v>
      </c>
      <c r="M249">
        <v>117.07</v>
      </c>
      <c r="N249">
        <v>97.16</v>
      </c>
      <c r="O249">
        <v>19.91</v>
      </c>
      <c r="P249" s="21">
        <v>502.78160000000003</v>
      </c>
    </row>
    <row r="250" spans="7:16" x14ac:dyDescent="0.15">
      <c r="G250" s="11">
        <v>249</v>
      </c>
      <c r="H250" s="10" t="s">
        <v>641</v>
      </c>
      <c r="I250" t="s">
        <v>1106</v>
      </c>
      <c r="J250" t="s">
        <v>870</v>
      </c>
      <c r="K250">
        <v>21.04</v>
      </c>
      <c r="L250" s="20">
        <v>0.12</v>
      </c>
      <c r="M250">
        <v>117.07</v>
      </c>
      <c r="N250">
        <v>91.89</v>
      </c>
      <c r="O250">
        <v>25.18</v>
      </c>
      <c r="P250" s="21">
        <v>6672.8751000000002</v>
      </c>
    </row>
    <row r="251" spans="7:16" x14ac:dyDescent="0.15">
      <c r="G251" s="11">
        <v>250</v>
      </c>
      <c r="H251" s="10" t="s">
        <v>676</v>
      </c>
      <c r="I251" t="s">
        <v>1048</v>
      </c>
      <c r="J251" t="s">
        <v>870</v>
      </c>
      <c r="K251">
        <v>7.38</v>
      </c>
      <c r="L251" s="20">
        <v>-0.14000000000000001</v>
      </c>
      <c r="M251">
        <v>116.50999999999999</v>
      </c>
      <c r="N251">
        <v>47.8</v>
      </c>
      <c r="O251">
        <v>68.709999999999994</v>
      </c>
      <c r="P251" s="21">
        <v>2241.8726999999999</v>
      </c>
    </row>
    <row r="252" spans="7:16" x14ac:dyDescent="0.15">
      <c r="G252" s="11">
        <v>251</v>
      </c>
      <c r="H252" s="10" t="s">
        <v>425</v>
      </c>
      <c r="I252" t="s">
        <v>898</v>
      </c>
      <c r="J252" t="s">
        <v>870</v>
      </c>
      <c r="K252">
        <v>9.4700000000000006</v>
      </c>
      <c r="L252" s="20">
        <v>-0.09</v>
      </c>
      <c r="M252">
        <v>116.5</v>
      </c>
      <c r="N252">
        <v>59.32</v>
      </c>
      <c r="O252">
        <v>57.18</v>
      </c>
      <c r="P252" s="21">
        <v>129.44579999999999</v>
      </c>
    </row>
    <row r="253" spans="7:16" x14ac:dyDescent="0.15">
      <c r="G253" s="11">
        <v>252</v>
      </c>
      <c r="H253" s="10" t="s">
        <v>551</v>
      </c>
      <c r="I253" t="s">
        <v>978</v>
      </c>
      <c r="J253" t="s">
        <v>870</v>
      </c>
      <c r="K253">
        <v>6.98</v>
      </c>
      <c r="L253" s="20">
        <v>-0.17</v>
      </c>
      <c r="M253">
        <v>116.36</v>
      </c>
      <c r="N253">
        <v>44.81</v>
      </c>
      <c r="O253">
        <v>71.55</v>
      </c>
      <c r="P253" s="21">
        <v>1227.58005</v>
      </c>
    </row>
    <row r="254" spans="7:16" x14ac:dyDescent="0.15">
      <c r="G254" s="11">
        <v>253</v>
      </c>
      <c r="H254" s="10" t="s">
        <v>492</v>
      </c>
      <c r="I254" t="s">
        <v>1158</v>
      </c>
      <c r="J254" t="s">
        <v>870</v>
      </c>
      <c r="K254">
        <v>14.41</v>
      </c>
      <c r="L254" s="20">
        <v>0</v>
      </c>
      <c r="M254">
        <v>116.22</v>
      </c>
      <c r="N254">
        <v>78.81</v>
      </c>
      <c r="O254">
        <v>37.409999999999997</v>
      </c>
      <c r="P254" s="21">
        <v>20915.626799999998</v>
      </c>
    </row>
    <row r="255" spans="7:16" x14ac:dyDescent="0.15">
      <c r="G255" s="11">
        <v>254</v>
      </c>
      <c r="H255" s="10" t="s">
        <v>709</v>
      </c>
      <c r="I255" t="s">
        <v>265</v>
      </c>
      <c r="J255" t="s">
        <v>870</v>
      </c>
      <c r="K255">
        <v>5.9</v>
      </c>
      <c r="L255" s="20">
        <v>-0.24</v>
      </c>
      <c r="M255">
        <v>115.78999999999999</v>
      </c>
      <c r="N255">
        <v>38.409999999999997</v>
      </c>
      <c r="O255">
        <v>77.38</v>
      </c>
      <c r="P255" s="21">
        <v>10313.200999999999</v>
      </c>
    </row>
    <row r="256" spans="7:16" x14ac:dyDescent="0.15">
      <c r="G256" s="11">
        <v>255</v>
      </c>
      <c r="H256" s="10" t="s">
        <v>1562</v>
      </c>
      <c r="I256" t="s">
        <v>1563</v>
      </c>
      <c r="J256" t="s">
        <v>1688</v>
      </c>
      <c r="K256">
        <v>6.63</v>
      </c>
      <c r="L256" s="20">
        <v>-0.19</v>
      </c>
      <c r="M256">
        <v>115.65</v>
      </c>
      <c r="N256">
        <v>41.54</v>
      </c>
      <c r="O256">
        <v>74.11</v>
      </c>
      <c r="P256" s="21">
        <v>414.05410000000001</v>
      </c>
    </row>
    <row r="257" spans="7:16" x14ac:dyDescent="0.15">
      <c r="G257" s="11">
        <v>256</v>
      </c>
      <c r="H257" s="10" t="s">
        <v>1315</v>
      </c>
      <c r="I257" t="s">
        <v>1316</v>
      </c>
      <c r="J257" t="s">
        <v>833</v>
      </c>
      <c r="K257">
        <v>1.33</v>
      </c>
      <c r="L257" s="20">
        <v>-3.55</v>
      </c>
      <c r="M257">
        <v>115.65</v>
      </c>
      <c r="N257">
        <v>18.350000000000001</v>
      </c>
      <c r="O257">
        <v>97.3</v>
      </c>
      <c r="P257" s="21">
        <v>27.080509999999997</v>
      </c>
    </row>
    <row r="258" spans="7:16" x14ac:dyDescent="0.15">
      <c r="G258" s="11">
        <v>257</v>
      </c>
      <c r="H258" s="10" t="s">
        <v>647</v>
      </c>
      <c r="I258" t="s">
        <v>269</v>
      </c>
      <c r="J258" t="s">
        <v>1242</v>
      </c>
      <c r="K258">
        <v>1.74</v>
      </c>
      <c r="L258" s="20">
        <v>-0.89</v>
      </c>
      <c r="M258">
        <v>115.64999999999999</v>
      </c>
      <c r="N258">
        <v>20.91</v>
      </c>
      <c r="O258">
        <v>94.74</v>
      </c>
      <c r="P258" s="21">
        <v>576.65209719999996</v>
      </c>
    </row>
    <row r="259" spans="7:16" x14ac:dyDescent="0.15">
      <c r="G259" s="11">
        <v>258</v>
      </c>
      <c r="H259" s="10" t="s">
        <v>838</v>
      </c>
      <c r="I259" t="s">
        <v>839</v>
      </c>
      <c r="J259" t="s">
        <v>833</v>
      </c>
      <c r="K259">
        <v>0.72</v>
      </c>
      <c r="L259" s="20">
        <v>-5.81</v>
      </c>
      <c r="M259">
        <v>115.51</v>
      </c>
      <c r="N259">
        <v>16.36</v>
      </c>
      <c r="O259">
        <v>99.15</v>
      </c>
      <c r="P259" s="21">
        <v>110.60225</v>
      </c>
    </row>
    <row r="260" spans="7:16" x14ac:dyDescent="0.15">
      <c r="G260" s="11">
        <v>259</v>
      </c>
      <c r="H260" s="10" t="s">
        <v>387</v>
      </c>
      <c r="I260" t="s">
        <v>1244</v>
      </c>
      <c r="J260" t="s">
        <v>1242</v>
      </c>
      <c r="K260">
        <v>2.0499999999999998</v>
      </c>
      <c r="L260" s="20">
        <v>-0.66</v>
      </c>
      <c r="M260">
        <v>115.51</v>
      </c>
      <c r="N260">
        <v>22.62</v>
      </c>
      <c r="O260">
        <v>92.89</v>
      </c>
      <c r="P260" s="21">
        <v>58.200800000000001</v>
      </c>
    </row>
    <row r="261" spans="7:16" x14ac:dyDescent="0.15">
      <c r="G261" s="11">
        <v>260</v>
      </c>
      <c r="H261" s="10" t="s">
        <v>1554</v>
      </c>
      <c r="I261" t="s">
        <v>1555</v>
      </c>
      <c r="J261" t="s">
        <v>1688</v>
      </c>
      <c r="K261">
        <v>5.76</v>
      </c>
      <c r="L261" s="20">
        <v>-0.26</v>
      </c>
      <c r="M261">
        <v>115.37</v>
      </c>
      <c r="N261">
        <v>36.56</v>
      </c>
      <c r="O261">
        <v>78.81</v>
      </c>
      <c r="P261" s="21">
        <v>22.2103</v>
      </c>
    </row>
    <row r="262" spans="7:16" x14ac:dyDescent="0.15">
      <c r="G262" s="11">
        <v>261</v>
      </c>
      <c r="H262" s="10" t="s">
        <v>727</v>
      </c>
      <c r="I262" t="s">
        <v>913</v>
      </c>
      <c r="J262" t="s">
        <v>870</v>
      </c>
      <c r="K262">
        <v>2.48</v>
      </c>
      <c r="L262" s="20">
        <v>-0.53</v>
      </c>
      <c r="M262">
        <v>115.07</v>
      </c>
      <c r="N262">
        <v>24.32</v>
      </c>
      <c r="O262">
        <v>90.75</v>
      </c>
      <c r="P262" s="21">
        <v>122.001</v>
      </c>
    </row>
    <row r="263" spans="7:16" x14ac:dyDescent="0.15">
      <c r="G263" s="11">
        <v>262</v>
      </c>
      <c r="H263" s="10" t="s">
        <v>298</v>
      </c>
      <c r="I263" t="s">
        <v>813</v>
      </c>
      <c r="J263" t="s">
        <v>870</v>
      </c>
      <c r="K263">
        <v>6.66</v>
      </c>
      <c r="L263" s="20">
        <v>-0.17</v>
      </c>
      <c r="M263">
        <v>114.94</v>
      </c>
      <c r="N263">
        <v>42.11</v>
      </c>
      <c r="O263">
        <v>72.83</v>
      </c>
      <c r="P263" s="21">
        <v>2448.4865600000003</v>
      </c>
    </row>
    <row r="264" spans="7:16" x14ac:dyDescent="0.15">
      <c r="G264" s="11">
        <v>263</v>
      </c>
      <c r="H264" s="10" t="s">
        <v>514</v>
      </c>
      <c r="I264" t="s">
        <v>1105</v>
      </c>
      <c r="J264" t="s">
        <v>870</v>
      </c>
      <c r="K264">
        <v>7.07</v>
      </c>
      <c r="L264" s="20">
        <v>-0.14000000000000001</v>
      </c>
      <c r="M264">
        <v>114.64999999999999</v>
      </c>
      <c r="N264">
        <v>45.8</v>
      </c>
      <c r="O264">
        <v>68.849999999999994</v>
      </c>
      <c r="P264" s="21">
        <v>5299.6719000000003</v>
      </c>
    </row>
    <row r="265" spans="7:16" x14ac:dyDescent="0.15">
      <c r="G265" s="11">
        <v>264</v>
      </c>
      <c r="H265" s="10" t="s">
        <v>1633</v>
      </c>
      <c r="I265" t="s">
        <v>1634</v>
      </c>
      <c r="J265" t="s">
        <v>1688</v>
      </c>
      <c r="K265">
        <v>13.96</v>
      </c>
      <c r="L265" s="20">
        <v>0</v>
      </c>
      <c r="M265">
        <v>114.64999999999999</v>
      </c>
      <c r="N265">
        <v>77.099999999999994</v>
      </c>
      <c r="O265">
        <v>37.549999999999997</v>
      </c>
      <c r="P265" s="21">
        <v>80.562399999999997</v>
      </c>
    </row>
    <row r="266" spans="7:16" x14ac:dyDescent="0.15">
      <c r="G266" s="11">
        <v>265</v>
      </c>
      <c r="H266" s="10" t="s">
        <v>639</v>
      </c>
      <c r="I266" t="s">
        <v>260</v>
      </c>
      <c r="J266" t="s">
        <v>870</v>
      </c>
      <c r="K266">
        <v>5.88</v>
      </c>
      <c r="L266" s="20">
        <v>-0.22</v>
      </c>
      <c r="M266">
        <v>114.37</v>
      </c>
      <c r="N266">
        <v>37.700000000000003</v>
      </c>
      <c r="O266">
        <v>76.67</v>
      </c>
      <c r="P266" s="21">
        <v>38.131999999999998</v>
      </c>
    </row>
    <row r="267" spans="7:16" x14ac:dyDescent="0.15">
      <c r="G267" s="11">
        <v>266</v>
      </c>
      <c r="H267" s="10" t="s">
        <v>632</v>
      </c>
      <c r="I267" t="s">
        <v>911</v>
      </c>
      <c r="J267" t="s">
        <v>870</v>
      </c>
      <c r="K267">
        <v>7.81</v>
      </c>
      <c r="L267" s="20">
        <v>-0.12</v>
      </c>
      <c r="M267">
        <v>114.22999999999999</v>
      </c>
      <c r="N267">
        <v>50.36</v>
      </c>
      <c r="O267">
        <v>63.87</v>
      </c>
      <c r="P267" s="21">
        <v>195.8749</v>
      </c>
    </row>
    <row r="268" spans="7:16" x14ac:dyDescent="0.15">
      <c r="G268" s="11">
        <v>267</v>
      </c>
      <c r="H268" s="10" t="s">
        <v>691</v>
      </c>
      <c r="I268" t="s">
        <v>899</v>
      </c>
      <c r="J268" t="s">
        <v>870</v>
      </c>
      <c r="K268">
        <v>5.94</v>
      </c>
      <c r="L268" s="20">
        <v>-0.21</v>
      </c>
      <c r="M268">
        <v>113.94</v>
      </c>
      <c r="N268">
        <v>38.69</v>
      </c>
      <c r="O268">
        <v>75.25</v>
      </c>
      <c r="P268" s="21">
        <v>154.8527588</v>
      </c>
    </row>
    <row r="269" spans="7:16" x14ac:dyDescent="0.15">
      <c r="G269" s="11">
        <v>268</v>
      </c>
      <c r="H269" s="10" t="s">
        <v>1655</v>
      </c>
      <c r="I269" t="s">
        <v>1656</v>
      </c>
      <c r="J269" t="s">
        <v>1688</v>
      </c>
      <c r="K269">
        <v>13.2</v>
      </c>
      <c r="L269" s="20">
        <v>0</v>
      </c>
      <c r="M269">
        <v>113.79999999999998</v>
      </c>
      <c r="N269">
        <v>75.819999999999993</v>
      </c>
      <c r="O269">
        <v>37.979999999999997</v>
      </c>
      <c r="P269" s="21">
        <v>19573.036800000002</v>
      </c>
    </row>
    <row r="270" spans="7:16" x14ac:dyDescent="0.15">
      <c r="G270" s="11">
        <v>269</v>
      </c>
      <c r="H270" s="10" t="s">
        <v>633</v>
      </c>
      <c r="I270" t="s">
        <v>1134</v>
      </c>
      <c r="J270" t="s">
        <v>870</v>
      </c>
      <c r="K270">
        <v>8.31</v>
      </c>
      <c r="L270" s="20">
        <v>-0.11</v>
      </c>
      <c r="M270">
        <v>113.66</v>
      </c>
      <c r="N270">
        <v>54.34</v>
      </c>
      <c r="O270">
        <v>59.32</v>
      </c>
      <c r="P270" s="21">
        <v>6076.3055999999997</v>
      </c>
    </row>
    <row r="271" spans="7:16" x14ac:dyDescent="0.15">
      <c r="G271" s="11">
        <v>270</v>
      </c>
      <c r="H271" s="10" t="s">
        <v>624</v>
      </c>
      <c r="I271" t="s">
        <v>1012</v>
      </c>
      <c r="J271" t="s">
        <v>870</v>
      </c>
      <c r="K271">
        <v>12.27</v>
      </c>
      <c r="L271" s="20">
        <v>0</v>
      </c>
      <c r="M271">
        <v>113.52</v>
      </c>
      <c r="N271">
        <v>72.69</v>
      </c>
      <c r="O271">
        <v>40.83</v>
      </c>
      <c r="P271" s="21">
        <v>1938.1360199999999</v>
      </c>
    </row>
    <row r="272" spans="7:16" x14ac:dyDescent="0.15">
      <c r="G272" s="11">
        <v>271</v>
      </c>
      <c r="H272" s="10" t="s">
        <v>667</v>
      </c>
      <c r="I272" t="s">
        <v>1260</v>
      </c>
      <c r="J272" t="s">
        <v>1251</v>
      </c>
      <c r="K272">
        <v>1.57</v>
      </c>
      <c r="L272" s="20">
        <v>-0.74</v>
      </c>
      <c r="M272">
        <v>113.50999999999999</v>
      </c>
      <c r="N272">
        <v>19.63</v>
      </c>
      <c r="O272">
        <v>93.88</v>
      </c>
      <c r="P272" s="21">
        <v>115.10603970000001</v>
      </c>
    </row>
    <row r="273" spans="7:16" x14ac:dyDescent="0.15">
      <c r="G273" s="11">
        <v>272</v>
      </c>
      <c r="H273" s="10" t="s">
        <v>689</v>
      </c>
      <c r="I273" t="s">
        <v>1039</v>
      </c>
      <c r="J273" t="s">
        <v>870</v>
      </c>
      <c r="K273">
        <v>6.55</v>
      </c>
      <c r="L273" s="20">
        <v>-0.17</v>
      </c>
      <c r="M273">
        <v>113.37</v>
      </c>
      <c r="N273">
        <v>40.97</v>
      </c>
      <c r="O273">
        <v>72.400000000000006</v>
      </c>
      <c r="P273" s="21">
        <v>4864.3855999999996</v>
      </c>
    </row>
    <row r="274" spans="7:16" x14ac:dyDescent="0.15">
      <c r="G274" s="11">
        <v>273</v>
      </c>
      <c r="H274" s="10" t="s">
        <v>1383</v>
      </c>
      <c r="I274" t="s">
        <v>1384</v>
      </c>
      <c r="J274" t="s">
        <v>1688</v>
      </c>
      <c r="K274">
        <v>28.93</v>
      </c>
      <c r="L274" s="20">
        <v>0.24</v>
      </c>
      <c r="M274">
        <v>113.37</v>
      </c>
      <c r="N274">
        <v>99.15</v>
      </c>
      <c r="O274">
        <v>14.22</v>
      </c>
      <c r="P274" s="21">
        <v>758.03920000000005</v>
      </c>
    </row>
    <row r="275" spans="7:16" x14ac:dyDescent="0.15">
      <c r="G275" s="11">
        <v>274</v>
      </c>
      <c r="H275" s="10" t="s">
        <v>706</v>
      </c>
      <c r="I275" t="s">
        <v>983</v>
      </c>
      <c r="J275" t="s">
        <v>870</v>
      </c>
      <c r="K275">
        <v>5.15</v>
      </c>
      <c r="L275" s="20">
        <v>-0.25</v>
      </c>
      <c r="M275">
        <v>113.09</v>
      </c>
      <c r="N275">
        <v>34.85</v>
      </c>
      <c r="O275">
        <v>78.239999999999995</v>
      </c>
      <c r="P275" s="21">
        <v>342.9649</v>
      </c>
    </row>
    <row r="276" spans="7:16" x14ac:dyDescent="0.15">
      <c r="G276" s="11">
        <v>275</v>
      </c>
      <c r="H276" s="10" t="s">
        <v>1465</v>
      </c>
      <c r="I276" t="s">
        <v>1466</v>
      </c>
      <c r="J276" t="s">
        <v>1688</v>
      </c>
      <c r="K276">
        <v>14.01</v>
      </c>
      <c r="L276" s="20">
        <v>0</v>
      </c>
      <c r="M276">
        <v>112.94</v>
      </c>
      <c r="N276">
        <v>77.38</v>
      </c>
      <c r="O276">
        <v>35.56</v>
      </c>
      <c r="P276" s="21">
        <v>2119.0160059</v>
      </c>
    </row>
    <row r="277" spans="7:16" x14ac:dyDescent="0.15">
      <c r="G277" s="11">
        <v>276</v>
      </c>
      <c r="H277" s="10" t="s">
        <v>575</v>
      </c>
      <c r="I277" t="s">
        <v>1313</v>
      </c>
      <c r="J277" t="s">
        <v>1288</v>
      </c>
      <c r="K277">
        <v>1.32</v>
      </c>
      <c r="L277" s="20">
        <v>-0.83</v>
      </c>
      <c r="M277">
        <v>112.66</v>
      </c>
      <c r="N277">
        <v>18.21</v>
      </c>
      <c r="O277">
        <v>94.45</v>
      </c>
      <c r="P277" s="21">
        <v>41304.446600000003</v>
      </c>
    </row>
    <row r="278" spans="7:16" x14ac:dyDescent="0.15">
      <c r="G278" s="11">
        <v>277</v>
      </c>
      <c r="H278" s="10" t="s">
        <v>1675</v>
      </c>
      <c r="I278" t="s">
        <v>1676</v>
      </c>
      <c r="J278" t="s">
        <v>1688</v>
      </c>
      <c r="K278">
        <v>12.98</v>
      </c>
      <c r="L278" s="20">
        <v>0</v>
      </c>
      <c r="M278">
        <v>112.52000000000001</v>
      </c>
      <c r="N278">
        <v>74.680000000000007</v>
      </c>
      <c r="O278">
        <v>37.840000000000003</v>
      </c>
      <c r="P278" s="21">
        <v>1264.4018000000001</v>
      </c>
    </row>
    <row r="279" spans="7:16" x14ac:dyDescent="0.15">
      <c r="G279" s="11">
        <v>278</v>
      </c>
      <c r="H279" s="10" t="s">
        <v>663</v>
      </c>
      <c r="I279" t="s">
        <v>1080</v>
      </c>
      <c r="J279" t="s">
        <v>870</v>
      </c>
      <c r="K279">
        <v>13.1</v>
      </c>
      <c r="L279" s="20">
        <v>0</v>
      </c>
      <c r="M279">
        <v>112.38</v>
      </c>
      <c r="N279">
        <v>75.25</v>
      </c>
      <c r="O279">
        <v>37.130000000000003</v>
      </c>
      <c r="P279" s="21">
        <v>2181.0909999999999</v>
      </c>
    </row>
    <row r="280" spans="7:16" x14ac:dyDescent="0.15">
      <c r="G280" s="11">
        <v>279</v>
      </c>
      <c r="H280" s="10" t="s">
        <v>494</v>
      </c>
      <c r="I280" t="s">
        <v>1128</v>
      </c>
      <c r="J280" t="s">
        <v>870</v>
      </c>
      <c r="K280">
        <v>28.94</v>
      </c>
      <c r="L280" s="20">
        <v>0.26</v>
      </c>
      <c r="M280">
        <v>112.37</v>
      </c>
      <c r="N280">
        <v>99.43</v>
      </c>
      <c r="O280">
        <v>12.94</v>
      </c>
      <c r="P280" s="21">
        <v>11276.470633200001</v>
      </c>
    </row>
    <row r="281" spans="7:16" x14ac:dyDescent="0.15">
      <c r="G281" s="11">
        <v>280</v>
      </c>
      <c r="H281" s="10" t="s">
        <v>471</v>
      </c>
      <c r="I281" t="s">
        <v>939</v>
      </c>
      <c r="J281" t="s">
        <v>870</v>
      </c>
      <c r="K281">
        <v>8.01</v>
      </c>
      <c r="L281" s="20">
        <v>-0.11</v>
      </c>
      <c r="M281">
        <v>112.23</v>
      </c>
      <c r="N281">
        <v>51.92</v>
      </c>
      <c r="O281">
        <v>60.31</v>
      </c>
      <c r="P281" s="21">
        <v>732.50360999999998</v>
      </c>
    </row>
    <row r="282" spans="7:16" x14ac:dyDescent="0.15">
      <c r="G282" s="11">
        <v>281</v>
      </c>
      <c r="H282" s="10" t="s">
        <v>1498</v>
      </c>
      <c r="I282" t="s">
        <v>1499</v>
      </c>
      <c r="J282" t="s">
        <v>1688</v>
      </c>
      <c r="K282">
        <v>1.1399999999999999</v>
      </c>
      <c r="L282" s="20">
        <v>-0.83</v>
      </c>
      <c r="M282">
        <v>112.09</v>
      </c>
      <c r="N282">
        <v>17.78</v>
      </c>
      <c r="O282">
        <v>94.31</v>
      </c>
      <c r="P282" s="21">
        <v>1073.8435999999999</v>
      </c>
    </row>
    <row r="283" spans="7:16" x14ac:dyDescent="0.15">
      <c r="G283" s="11">
        <v>282</v>
      </c>
      <c r="H283" s="10" t="s">
        <v>473</v>
      </c>
      <c r="I283" t="s">
        <v>1092</v>
      </c>
      <c r="J283" t="s">
        <v>870</v>
      </c>
      <c r="K283">
        <v>22.73</v>
      </c>
      <c r="L283" s="20">
        <v>0.18</v>
      </c>
      <c r="M283">
        <v>112.09</v>
      </c>
      <c r="N283">
        <v>94.17</v>
      </c>
      <c r="O283">
        <v>17.920000000000002</v>
      </c>
      <c r="P283" s="21">
        <v>1124.6241</v>
      </c>
    </row>
    <row r="284" spans="7:16" x14ac:dyDescent="0.15">
      <c r="G284" s="11">
        <v>283</v>
      </c>
      <c r="H284" s="10" t="s">
        <v>615</v>
      </c>
      <c r="I284" t="s">
        <v>1142</v>
      </c>
      <c r="J284" t="s">
        <v>870</v>
      </c>
      <c r="K284">
        <v>5.13</v>
      </c>
      <c r="L284" s="20">
        <v>-0.24</v>
      </c>
      <c r="M284">
        <v>111.81</v>
      </c>
      <c r="N284">
        <v>34.71</v>
      </c>
      <c r="O284">
        <v>77.099999999999994</v>
      </c>
      <c r="P284" s="21">
        <v>11304.112198700001</v>
      </c>
    </row>
    <row r="285" spans="7:16" x14ac:dyDescent="0.15">
      <c r="G285" s="11">
        <v>284</v>
      </c>
      <c r="H285" s="10" t="s">
        <v>1478</v>
      </c>
      <c r="I285" t="s">
        <v>1479</v>
      </c>
      <c r="J285" t="s">
        <v>1688</v>
      </c>
      <c r="K285">
        <v>13.73</v>
      </c>
      <c r="L285" s="20">
        <v>0</v>
      </c>
      <c r="M285">
        <v>111.81</v>
      </c>
      <c r="N285">
        <v>76.67</v>
      </c>
      <c r="O285">
        <v>35.14</v>
      </c>
      <c r="P285" s="21">
        <v>200.30986000000001</v>
      </c>
    </row>
    <row r="286" spans="7:16" x14ac:dyDescent="0.15">
      <c r="G286" s="11">
        <v>285</v>
      </c>
      <c r="H286" s="10" t="s">
        <v>448</v>
      </c>
      <c r="I286" t="s">
        <v>842</v>
      </c>
      <c r="J286" t="s">
        <v>833</v>
      </c>
      <c r="K286">
        <v>1.78</v>
      </c>
      <c r="L286" s="20">
        <v>-0.53</v>
      </c>
      <c r="M286">
        <v>111.66</v>
      </c>
      <c r="N286">
        <v>21.05</v>
      </c>
      <c r="O286">
        <v>90.61</v>
      </c>
      <c r="P286" s="21">
        <v>32.130610400000002</v>
      </c>
    </row>
    <row r="287" spans="7:16" x14ac:dyDescent="0.15">
      <c r="G287" s="11">
        <v>286</v>
      </c>
      <c r="H287" s="10" t="s">
        <v>1403</v>
      </c>
      <c r="I287" t="s">
        <v>1404</v>
      </c>
      <c r="J287" t="s">
        <v>1688</v>
      </c>
      <c r="K287">
        <v>11.53</v>
      </c>
      <c r="L287" s="20">
        <v>0</v>
      </c>
      <c r="M287">
        <v>111.24</v>
      </c>
      <c r="N287">
        <v>71.27</v>
      </c>
      <c r="O287">
        <v>39.97</v>
      </c>
      <c r="P287" s="21">
        <v>197.43457000000001</v>
      </c>
    </row>
    <row r="288" spans="7:16" x14ac:dyDescent="0.15">
      <c r="G288" s="11">
        <v>287</v>
      </c>
      <c r="H288" s="10" t="s">
        <v>1417</v>
      </c>
      <c r="I288" t="s">
        <v>1418</v>
      </c>
      <c r="J288" t="s">
        <v>1688</v>
      </c>
      <c r="K288">
        <v>4.93</v>
      </c>
      <c r="L288" s="20">
        <v>-0.24</v>
      </c>
      <c r="M288">
        <v>110.81</v>
      </c>
      <c r="N288">
        <v>33.29</v>
      </c>
      <c r="O288">
        <v>77.52</v>
      </c>
      <c r="P288" s="21">
        <v>1698.0939000000001</v>
      </c>
    </row>
    <row r="289" spans="7:16" x14ac:dyDescent="0.15">
      <c r="G289" s="11">
        <v>288</v>
      </c>
      <c r="H289" s="10" t="s">
        <v>623</v>
      </c>
      <c r="I289" t="s">
        <v>1130</v>
      </c>
      <c r="J289" t="s">
        <v>870</v>
      </c>
      <c r="K289">
        <v>6.85</v>
      </c>
      <c r="L289" s="20">
        <v>-0.14000000000000001</v>
      </c>
      <c r="M289">
        <v>110.38000000000001</v>
      </c>
      <c r="N289">
        <v>43.95</v>
      </c>
      <c r="O289">
        <v>66.430000000000007</v>
      </c>
      <c r="P289" s="21">
        <v>6233.0162712000001</v>
      </c>
    </row>
    <row r="290" spans="7:16" x14ac:dyDescent="0.15">
      <c r="G290" s="11">
        <v>289</v>
      </c>
      <c r="H290" s="10" t="s">
        <v>537</v>
      </c>
      <c r="I290" t="s">
        <v>1068</v>
      </c>
      <c r="J290" t="s">
        <v>870</v>
      </c>
      <c r="K290">
        <v>13.13</v>
      </c>
      <c r="L290" s="20">
        <v>0</v>
      </c>
      <c r="M290">
        <v>110.24000000000001</v>
      </c>
      <c r="N290">
        <v>75.39</v>
      </c>
      <c r="O290">
        <v>34.85</v>
      </c>
      <c r="P290" s="21">
        <v>1438.6046128</v>
      </c>
    </row>
    <row r="291" spans="7:16" x14ac:dyDescent="0.15">
      <c r="G291" s="11">
        <v>290</v>
      </c>
      <c r="H291" s="10" t="s">
        <v>1492</v>
      </c>
      <c r="I291" t="s">
        <v>1493</v>
      </c>
      <c r="J291" t="s">
        <v>1688</v>
      </c>
      <c r="K291">
        <v>23.31</v>
      </c>
      <c r="L291" s="20">
        <v>0.23</v>
      </c>
      <c r="M291">
        <v>109.53</v>
      </c>
      <c r="N291">
        <v>94.74</v>
      </c>
      <c r="O291">
        <v>14.79</v>
      </c>
      <c r="P291" s="21">
        <v>97.494762499999993</v>
      </c>
    </row>
    <row r="292" spans="7:16" x14ac:dyDescent="0.15">
      <c r="G292" s="11">
        <v>291</v>
      </c>
      <c r="H292" s="10" t="s">
        <v>1480</v>
      </c>
      <c r="I292" t="s">
        <v>1481</v>
      </c>
      <c r="J292" t="s">
        <v>1688</v>
      </c>
      <c r="K292">
        <v>10.49</v>
      </c>
      <c r="L292" s="20">
        <v>0</v>
      </c>
      <c r="M292">
        <v>108.96000000000001</v>
      </c>
      <c r="N292">
        <v>67.28</v>
      </c>
      <c r="O292">
        <v>41.68</v>
      </c>
      <c r="P292" s="21">
        <v>56.148419999999994</v>
      </c>
    </row>
    <row r="293" spans="7:16" x14ac:dyDescent="0.15">
      <c r="G293" s="11">
        <v>292</v>
      </c>
      <c r="H293" s="10" t="s">
        <v>652</v>
      </c>
      <c r="I293" t="s">
        <v>880</v>
      </c>
      <c r="J293" t="s">
        <v>870</v>
      </c>
      <c r="K293">
        <v>5.64</v>
      </c>
      <c r="L293" s="20">
        <v>-0.18</v>
      </c>
      <c r="M293">
        <v>108.96000000000001</v>
      </c>
      <c r="N293">
        <v>35.99</v>
      </c>
      <c r="O293">
        <v>72.97</v>
      </c>
      <c r="P293" s="21">
        <v>171.8124</v>
      </c>
    </row>
    <row r="294" spans="7:16" x14ac:dyDescent="0.15">
      <c r="G294" s="11">
        <v>293</v>
      </c>
      <c r="H294" s="10" t="s">
        <v>1427</v>
      </c>
      <c r="I294" t="s">
        <v>1428</v>
      </c>
      <c r="J294" t="s">
        <v>1688</v>
      </c>
      <c r="K294">
        <v>6.79</v>
      </c>
      <c r="L294" s="20">
        <v>-0.13</v>
      </c>
      <c r="M294">
        <v>108.82000000000001</v>
      </c>
      <c r="N294">
        <v>43.67</v>
      </c>
      <c r="O294">
        <v>65.150000000000006</v>
      </c>
      <c r="P294" s="21">
        <v>624.54844000000003</v>
      </c>
    </row>
    <row r="295" spans="7:16" x14ac:dyDescent="0.15">
      <c r="G295" s="11">
        <v>294</v>
      </c>
      <c r="H295" s="10" t="s">
        <v>1327</v>
      </c>
      <c r="I295" t="s">
        <v>1328</v>
      </c>
      <c r="J295" t="s">
        <v>1688</v>
      </c>
      <c r="K295">
        <v>12.54</v>
      </c>
      <c r="L295" s="20">
        <v>0</v>
      </c>
      <c r="M295">
        <v>108.82000000000001</v>
      </c>
      <c r="N295">
        <v>73.12</v>
      </c>
      <c r="O295">
        <v>35.700000000000003</v>
      </c>
      <c r="P295" s="21">
        <v>306.81380000000001</v>
      </c>
    </row>
    <row r="296" spans="7:16" x14ac:dyDescent="0.15">
      <c r="G296" s="11">
        <v>295</v>
      </c>
      <c r="H296" s="10" t="s">
        <v>1524</v>
      </c>
      <c r="I296" t="s">
        <v>1525</v>
      </c>
      <c r="J296" t="s">
        <v>1688</v>
      </c>
      <c r="K296">
        <v>22.9</v>
      </c>
      <c r="L296" s="20">
        <v>0.24</v>
      </c>
      <c r="M296">
        <v>108.68</v>
      </c>
      <c r="N296">
        <v>94.31</v>
      </c>
      <c r="O296">
        <v>14.37</v>
      </c>
      <c r="P296" s="21">
        <v>101.00291999999999</v>
      </c>
    </row>
    <row r="297" spans="7:16" x14ac:dyDescent="0.15">
      <c r="G297" s="11">
        <v>296</v>
      </c>
      <c r="H297" s="10" t="s">
        <v>504</v>
      </c>
      <c r="I297" t="s">
        <v>896</v>
      </c>
      <c r="J297" t="s">
        <v>870</v>
      </c>
      <c r="K297">
        <v>2.68</v>
      </c>
      <c r="L297" s="20">
        <v>-0.31</v>
      </c>
      <c r="M297">
        <v>108.53</v>
      </c>
      <c r="N297">
        <v>25.32</v>
      </c>
      <c r="O297">
        <v>83.21</v>
      </c>
      <c r="P297" s="21">
        <v>315.96350000000001</v>
      </c>
    </row>
    <row r="298" spans="7:16" x14ac:dyDescent="0.15">
      <c r="G298" s="11">
        <v>297</v>
      </c>
      <c r="H298" s="10" t="s">
        <v>601</v>
      </c>
      <c r="I298" t="s">
        <v>960</v>
      </c>
      <c r="J298" t="s">
        <v>870</v>
      </c>
      <c r="K298">
        <v>12.61</v>
      </c>
      <c r="L298" s="20">
        <v>0</v>
      </c>
      <c r="M298">
        <v>108.25</v>
      </c>
      <c r="N298">
        <v>73.260000000000005</v>
      </c>
      <c r="O298">
        <v>34.99</v>
      </c>
      <c r="P298" s="21">
        <v>914.38635999999997</v>
      </c>
    </row>
    <row r="299" spans="7:16" x14ac:dyDescent="0.15">
      <c r="G299" s="11">
        <v>298</v>
      </c>
      <c r="H299" s="10" t="s">
        <v>1647</v>
      </c>
      <c r="I299" t="s">
        <v>1648</v>
      </c>
      <c r="J299" t="s">
        <v>1688</v>
      </c>
      <c r="K299">
        <v>12.81</v>
      </c>
      <c r="L299" s="20">
        <v>0</v>
      </c>
      <c r="M299">
        <v>108.25</v>
      </c>
      <c r="N299">
        <v>73.540000000000006</v>
      </c>
      <c r="O299">
        <v>34.71</v>
      </c>
      <c r="P299" s="21">
        <v>6018.5547999999999</v>
      </c>
    </row>
    <row r="300" spans="7:16" x14ac:dyDescent="0.15">
      <c r="G300" s="11">
        <v>299</v>
      </c>
      <c r="H300" s="10" t="s">
        <v>730</v>
      </c>
      <c r="I300" t="s">
        <v>936</v>
      </c>
      <c r="J300" t="s">
        <v>870</v>
      </c>
      <c r="K300">
        <v>11.18</v>
      </c>
      <c r="L300" s="20">
        <v>0</v>
      </c>
      <c r="M300">
        <v>108.10999999999999</v>
      </c>
      <c r="N300">
        <v>69.989999999999995</v>
      </c>
      <c r="O300">
        <v>38.119999999999997</v>
      </c>
      <c r="P300" s="21">
        <v>530.23760000000004</v>
      </c>
    </row>
    <row r="301" spans="7:16" x14ac:dyDescent="0.15">
      <c r="G301" s="11">
        <v>300</v>
      </c>
      <c r="H301" s="10" t="s">
        <v>324</v>
      </c>
      <c r="I301" t="s">
        <v>1370</v>
      </c>
      <c r="J301" t="s">
        <v>1688</v>
      </c>
      <c r="K301">
        <v>0.84</v>
      </c>
      <c r="L301" s="20">
        <v>-0.53</v>
      </c>
      <c r="M301">
        <v>107.97</v>
      </c>
      <c r="N301">
        <v>17.07</v>
      </c>
      <c r="O301">
        <v>90.9</v>
      </c>
      <c r="P301" s="21">
        <v>3755.3744999999999</v>
      </c>
    </row>
    <row r="302" spans="7:16" x14ac:dyDescent="0.15">
      <c r="G302" s="11">
        <v>301</v>
      </c>
      <c r="H302" s="10" t="s">
        <v>556</v>
      </c>
      <c r="I302" t="s">
        <v>1175</v>
      </c>
      <c r="J302" t="s">
        <v>870</v>
      </c>
      <c r="K302">
        <v>14.52</v>
      </c>
      <c r="L302" s="20">
        <v>0.1</v>
      </c>
      <c r="M302">
        <v>107.96</v>
      </c>
      <c r="N302">
        <v>79.94</v>
      </c>
      <c r="O302">
        <v>28.02</v>
      </c>
      <c r="P302" s="21">
        <v>80353.1397</v>
      </c>
    </row>
    <row r="303" spans="7:16" x14ac:dyDescent="0.15">
      <c r="G303" s="11">
        <v>302</v>
      </c>
      <c r="H303" s="10" t="s">
        <v>403</v>
      </c>
      <c r="I303" t="s">
        <v>949</v>
      </c>
      <c r="J303" t="s">
        <v>870</v>
      </c>
      <c r="K303">
        <v>4.1100000000000003</v>
      </c>
      <c r="L303" s="20">
        <v>-0.22</v>
      </c>
      <c r="M303">
        <v>107.53999999999999</v>
      </c>
      <c r="N303">
        <v>31.15</v>
      </c>
      <c r="O303">
        <v>76.39</v>
      </c>
      <c r="P303" s="21">
        <v>771.39520000000005</v>
      </c>
    </row>
    <row r="304" spans="7:16" x14ac:dyDescent="0.15">
      <c r="G304" s="11">
        <v>303</v>
      </c>
      <c r="H304" s="10" t="s">
        <v>416</v>
      </c>
      <c r="I304" t="s">
        <v>882</v>
      </c>
      <c r="J304" t="s">
        <v>870</v>
      </c>
      <c r="K304">
        <v>8</v>
      </c>
      <c r="L304" s="20">
        <v>-0.08</v>
      </c>
      <c r="M304">
        <v>107.4</v>
      </c>
      <c r="N304">
        <v>51.64</v>
      </c>
      <c r="O304">
        <v>55.76</v>
      </c>
      <c r="P304" s="21">
        <v>25.58831</v>
      </c>
    </row>
    <row r="305" spans="7:16" x14ac:dyDescent="0.15">
      <c r="G305" s="11">
        <v>304</v>
      </c>
      <c r="H305" s="10" t="s">
        <v>578</v>
      </c>
      <c r="I305" t="s">
        <v>1138</v>
      </c>
      <c r="J305" t="s">
        <v>870</v>
      </c>
      <c r="K305">
        <v>17.760000000000002</v>
      </c>
      <c r="L305" s="20">
        <v>0.14000000000000001</v>
      </c>
      <c r="M305">
        <v>107.11</v>
      </c>
      <c r="N305">
        <v>85.35</v>
      </c>
      <c r="O305">
        <v>21.76</v>
      </c>
      <c r="P305" s="21">
        <v>14139.424800000001</v>
      </c>
    </row>
    <row r="306" spans="7:16" x14ac:dyDescent="0.15">
      <c r="G306" s="11">
        <v>305</v>
      </c>
      <c r="H306" s="10" t="s">
        <v>330</v>
      </c>
      <c r="I306" t="s">
        <v>1371</v>
      </c>
      <c r="J306" t="s">
        <v>1688</v>
      </c>
      <c r="K306">
        <v>0.57999999999999996</v>
      </c>
      <c r="L306" s="20">
        <v>-0.53</v>
      </c>
      <c r="M306">
        <v>106.97</v>
      </c>
      <c r="N306">
        <v>15.93</v>
      </c>
      <c r="O306">
        <v>91.04</v>
      </c>
      <c r="P306" s="21">
        <v>2464.8573000000001</v>
      </c>
    </row>
    <row r="307" spans="7:16" x14ac:dyDescent="0.15">
      <c r="G307" s="11">
        <v>306</v>
      </c>
      <c r="H307" s="10" t="s">
        <v>500</v>
      </c>
      <c r="I307" t="s">
        <v>1114</v>
      </c>
      <c r="J307" t="s">
        <v>870</v>
      </c>
      <c r="K307">
        <v>10.41</v>
      </c>
      <c r="L307" s="20">
        <v>0</v>
      </c>
      <c r="M307">
        <v>106.82</v>
      </c>
      <c r="N307">
        <v>66.709999999999994</v>
      </c>
      <c r="O307">
        <v>40.11</v>
      </c>
      <c r="P307" s="21">
        <v>10979.4215575</v>
      </c>
    </row>
    <row r="308" spans="7:16" x14ac:dyDescent="0.15">
      <c r="G308" s="11">
        <v>307</v>
      </c>
      <c r="H308" s="10" t="s">
        <v>607</v>
      </c>
      <c r="I308" t="s">
        <v>1147</v>
      </c>
      <c r="J308" t="s">
        <v>870</v>
      </c>
      <c r="K308">
        <v>13.14</v>
      </c>
      <c r="L308" s="20">
        <v>0.02</v>
      </c>
      <c r="M308">
        <v>106.82</v>
      </c>
      <c r="N308">
        <v>75.53</v>
      </c>
      <c r="O308">
        <v>31.29</v>
      </c>
      <c r="P308" s="21">
        <v>9108.4529643999995</v>
      </c>
    </row>
    <row r="309" spans="7:16" x14ac:dyDescent="0.15">
      <c r="G309" s="11">
        <v>308</v>
      </c>
      <c r="H309" s="10" t="s">
        <v>735</v>
      </c>
      <c r="I309" t="s">
        <v>1035</v>
      </c>
      <c r="J309" t="s">
        <v>870</v>
      </c>
      <c r="K309">
        <v>10.38</v>
      </c>
      <c r="L309" s="20">
        <v>0</v>
      </c>
      <c r="M309">
        <v>106.69</v>
      </c>
      <c r="N309">
        <v>66.290000000000006</v>
      </c>
      <c r="O309">
        <v>40.4</v>
      </c>
      <c r="P309" s="21">
        <v>1147.0522527000001</v>
      </c>
    </row>
    <row r="310" spans="7:16" x14ac:dyDescent="0.15">
      <c r="G310" s="11">
        <v>309</v>
      </c>
      <c r="H310" s="10" t="s">
        <v>315</v>
      </c>
      <c r="I310" t="s">
        <v>1349</v>
      </c>
      <c r="J310" t="s">
        <v>1688</v>
      </c>
      <c r="K310">
        <v>0.3</v>
      </c>
      <c r="L310" s="20">
        <v>-0.7</v>
      </c>
      <c r="M310">
        <v>106.53999999999999</v>
      </c>
      <c r="N310">
        <v>12.94</v>
      </c>
      <c r="O310">
        <v>93.6</v>
      </c>
      <c r="P310" s="21">
        <v>691.94850999999994</v>
      </c>
    </row>
    <row r="311" spans="7:16" x14ac:dyDescent="0.15">
      <c r="G311" s="11">
        <v>310</v>
      </c>
      <c r="H311" s="10" t="s">
        <v>1665</v>
      </c>
      <c r="I311" t="s">
        <v>1666</v>
      </c>
      <c r="J311" t="s">
        <v>1688</v>
      </c>
      <c r="K311">
        <v>6.95</v>
      </c>
      <c r="L311" s="20">
        <v>-0.12</v>
      </c>
      <c r="M311">
        <v>106.4</v>
      </c>
      <c r="N311">
        <v>44.52</v>
      </c>
      <c r="O311">
        <v>61.88</v>
      </c>
      <c r="P311" s="21">
        <v>13622.108899999999</v>
      </c>
    </row>
    <row r="312" spans="7:16" x14ac:dyDescent="0.15">
      <c r="G312" s="11">
        <v>311</v>
      </c>
      <c r="H312" s="10" t="s">
        <v>646</v>
      </c>
      <c r="I312" t="s">
        <v>1000</v>
      </c>
      <c r="J312" t="s">
        <v>870</v>
      </c>
      <c r="K312">
        <v>14.56</v>
      </c>
      <c r="L312" s="20">
        <v>0.11</v>
      </c>
      <c r="M312">
        <v>106.26</v>
      </c>
      <c r="N312">
        <v>80.23</v>
      </c>
      <c r="O312">
        <v>26.03</v>
      </c>
      <c r="P312" s="21">
        <v>810.50920999999994</v>
      </c>
    </row>
    <row r="313" spans="7:16" x14ac:dyDescent="0.15">
      <c r="G313" s="11">
        <v>312</v>
      </c>
      <c r="H313" s="10" t="s">
        <v>449</v>
      </c>
      <c r="I313" t="s">
        <v>912</v>
      </c>
      <c r="J313" t="s">
        <v>870</v>
      </c>
      <c r="K313">
        <v>8.06</v>
      </c>
      <c r="L313" s="20">
        <v>-7.0000000000000007E-2</v>
      </c>
      <c r="M313">
        <v>106.26</v>
      </c>
      <c r="N313">
        <v>52.77</v>
      </c>
      <c r="O313">
        <v>53.49</v>
      </c>
      <c r="P313" s="21">
        <v>405.37439000000001</v>
      </c>
    </row>
    <row r="314" spans="7:16" x14ac:dyDescent="0.15">
      <c r="G314" s="11">
        <v>313</v>
      </c>
      <c r="H314" s="10" t="s">
        <v>409</v>
      </c>
      <c r="I314" t="s">
        <v>1133</v>
      </c>
      <c r="J314" t="s">
        <v>870</v>
      </c>
      <c r="K314">
        <v>23.93</v>
      </c>
      <c r="L314" s="20">
        <v>0.31</v>
      </c>
      <c r="M314">
        <v>106.25999999999999</v>
      </c>
      <c r="N314">
        <v>95.02</v>
      </c>
      <c r="O314">
        <v>11.24</v>
      </c>
      <c r="P314" s="21">
        <v>9356.0855085999992</v>
      </c>
    </row>
    <row r="315" spans="7:16" x14ac:dyDescent="0.15">
      <c r="G315" s="11">
        <v>314</v>
      </c>
      <c r="H315" s="10" t="s">
        <v>673</v>
      </c>
      <c r="I315" t="s">
        <v>1050</v>
      </c>
      <c r="J315" t="s">
        <v>870</v>
      </c>
      <c r="K315">
        <v>5.89</v>
      </c>
      <c r="L315" s="20">
        <v>-0.14000000000000001</v>
      </c>
      <c r="M315">
        <v>105.69</v>
      </c>
      <c r="N315">
        <v>38.26</v>
      </c>
      <c r="O315">
        <v>67.430000000000007</v>
      </c>
      <c r="P315" s="21">
        <v>1098.9241999999999</v>
      </c>
    </row>
    <row r="316" spans="7:16" x14ac:dyDescent="0.15">
      <c r="G316" s="11">
        <v>315</v>
      </c>
      <c r="H316" s="10" t="s">
        <v>497</v>
      </c>
      <c r="I316" t="s">
        <v>1161</v>
      </c>
      <c r="J316" t="s">
        <v>870</v>
      </c>
      <c r="K316">
        <v>10.4</v>
      </c>
      <c r="L316" s="20">
        <v>0</v>
      </c>
      <c r="M316">
        <v>105.69</v>
      </c>
      <c r="N316">
        <v>66.430000000000007</v>
      </c>
      <c r="O316">
        <v>39.26</v>
      </c>
      <c r="P316" s="21">
        <v>36051.650351599994</v>
      </c>
    </row>
    <row r="317" spans="7:16" x14ac:dyDescent="0.15">
      <c r="G317" s="11">
        <v>316</v>
      </c>
      <c r="H317" s="10" t="s">
        <v>1659</v>
      </c>
      <c r="I317" t="s">
        <v>1660</v>
      </c>
      <c r="J317" t="s">
        <v>1688</v>
      </c>
      <c r="K317">
        <v>17.05</v>
      </c>
      <c r="L317" s="20">
        <v>0.14000000000000001</v>
      </c>
      <c r="M317">
        <v>105.55</v>
      </c>
      <c r="N317">
        <v>84.64</v>
      </c>
      <c r="O317">
        <v>20.91</v>
      </c>
      <c r="P317" s="21">
        <v>108.18219999999999</v>
      </c>
    </row>
    <row r="318" spans="7:16" x14ac:dyDescent="0.15">
      <c r="G318" s="11">
        <v>317</v>
      </c>
      <c r="H318" s="10" t="s">
        <v>1277</v>
      </c>
      <c r="I318" t="s">
        <v>1278</v>
      </c>
      <c r="J318" t="s">
        <v>870</v>
      </c>
      <c r="K318">
        <v>6.25</v>
      </c>
      <c r="L318" s="20">
        <v>-0.13</v>
      </c>
      <c r="M318">
        <v>105.55</v>
      </c>
      <c r="N318">
        <v>39.97</v>
      </c>
      <c r="O318">
        <v>65.58</v>
      </c>
      <c r="P318" s="21">
        <v>644.25469999999996</v>
      </c>
    </row>
    <row r="319" spans="7:16" x14ac:dyDescent="0.15">
      <c r="G319" s="11">
        <v>318</v>
      </c>
      <c r="H319" s="10" t="s">
        <v>577</v>
      </c>
      <c r="I319" t="s">
        <v>964</v>
      </c>
      <c r="J319" t="s">
        <v>870</v>
      </c>
      <c r="K319">
        <v>20.53</v>
      </c>
      <c r="L319" s="20">
        <v>0.23</v>
      </c>
      <c r="M319">
        <v>105.27</v>
      </c>
      <c r="N319">
        <v>90.33</v>
      </c>
      <c r="O319">
        <v>14.94</v>
      </c>
      <c r="P319" s="21">
        <v>1436.9826</v>
      </c>
    </row>
    <row r="320" spans="7:16" x14ac:dyDescent="0.15">
      <c r="G320" s="11">
        <v>319</v>
      </c>
      <c r="H320" s="10" t="s">
        <v>477</v>
      </c>
      <c r="I320" t="s">
        <v>1025</v>
      </c>
      <c r="J320" t="s">
        <v>870</v>
      </c>
      <c r="K320">
        <v>6.63</v>
      </c>
      <c r="L320" s="20">
        <v>-0.12</v>
      </c>
      <c r="M320">
        <v>104.69</v>
      </c>
      <c r="N320">
        <v>41.39</v>
      </c>
      <c r="O320">
        <v>63.3</v>
      </c>
      <c r="P320" s="21">
        <v>1970.0098</v>
      </c>
    </row>
    <row r="321" spans="7:16" x14ac:dyDescent="0.15">
      <c r="G321" s="11">
        <v>320</v>
      </c>
      <c r="H321" s="10" t="s">
        <v>313</v>
      </c>
      <c r="I321" t="s">
        <v>1382</v>
      </c>
      <c r="J321" t="s">
        <v>1688</v>
      </c>
      <c r="K321">
        <v>0.53</v>
      </c>
      <c r="L321" s="20">
        <v>-0.45</v>
      </c>
      <c r="M321">
        <v>104.55</v>
      </c>
      <c r="N321">
        <v>15.5</v>
      </c>
      <c r="O321">
        <v>89.05</v>
      </c>
      <c r="P321" s="21">
        <v>1446.1004499999999</v>
      </c>
    </row>
    <row r="322" spans="7:16" x14ac:dyDescent="0.15">
      <c r="G322" s="11">
        <v>321</v>
      </c>
      <c r="H322" s="10" t="s">
        <v>431</v>
      </c>
      <c r="I322" t="s">
        <v>267</v>
      </c>
      <c r="J322" t="s">
        <v>870</v>
      </c>
      <c r="K322">
        <v>12.98</v>
      </c>
      <c r="L322" s="20">
        <v>7.0000000000000007E-2</v>
      </c>
      <c r="M322">
        <v>104.41000000000001</v>
      </c>
      <c r="N322">
        <v>74.540000000000006</v>
      </c>
      <c r="O322">
        <v>29.87</v>
      </c>
      <c r="P322" s="21">
        <v>102.3057</v>
      </c>
    </row>
    <row r="323" spans="7:16" x14ac:dyDescent="0.15">
      <c r="G323" s="11">
        <v>322</v>
      </c>
      <c r="H323" s="10" t="s">
        <v>1570</v>
      </c>
      <c r="I323" t="s">
        <v>1571</v>
      </c>
      <c r="J323" t="s">
        <v>1688</v>
      </c>
      <c r="K323">
        <v>10.28</v>
      </c>
      <c r="L323" s="20">
        <v>0</v>
      </c>
      <c r="M323">
        <v>104.27000000000001</v>
      </c>
      <c r="N323">
        <v>65.150000000000006</v>
      </c>
      <c r="O323">
        <v>39.119999999999997</v>
      </c>
      <c r="P323" s="21">
        <v>1360.6938</v>
      </c>
    </row>
    <row r="324" spans="7:16" x14ac:dyDescent="0.15">
      <c r="G324" s="11">
        <v>323</v>
      </c>
      <c r="H324" s="10" t="s">
        <v>616</v>
      </c>
      <c r="I324" t="s">
        <v>946</v>
      </c>
      <c r="J324" t="s">
        <v>870</v>
      </c>
      <c r="K324">
        <v>7.58</v>
      </c>
      <c r="L324" s="20">
        <v>-0.08</v>
      </c>
      <c r="M324">
        <v>104.27</v>
      </c>
      <c r="N324">
        <v>49.36</v>
      </c>
      <c r="O324">
        <v>54.91</v>
      </c>
      <c r="P324" s="21">
        <v>461.30180000000001</v>
      </c>
    </row>
    <row r="325" spans="7:16" x14ac:dyDescent="0.15">
      <c r="G325" s="11">
        <v>324</v>
      </c>
      <c r="H325" s="10" t="s">
        <v>489</v>
      </c>
      <c r="I325" t="s">
        <v>872</v>
      </c>
      <c r="J325" t="s">
        <v>870</v>
      </c>
      <c r="K325">
        <v>7.58</v>
      </c>
      <c r="L325" s="20">
        <v>-0.08</v>
      </c>
      <c r="M325">
        <v>104.27</v>
      </c>
      <c r="N325">
        <v>49.22</v>
      </c>
      <c r="O325">
        <v>55.05</v>
      </c>
      <c r="P325" s="21">
        <v>107.155</v>
      </c>
    </row>
    <row r="326" spans="7:16" x14ac:dyDescent="0.15">
      <c r="G326" s="11">
        <v>325</v>
      </c>
      <c r="H326" s="10" t="s">
        <v>357</v>
      </c>
      <c r="I326" t="s">
        <v>1256</v>
      </c>
      <c r="J326" t="s">
        <v>1251</v>
      </c>
      <c r="K326">
        <v>21.38</v>
      </c>
      <c r="L326" s="20">
        <v>0.28000000000000003</v>
      </c>
      <c r="M326">
        <v>104.27</v>
      </c>
      <c r="N326">
        <v>92.32</v>
      </c>
      <c r="O326">
        <v>11.95</v>
      </c>
      <c r="P326" s="21">
        <v>59.378903599999994</v>
      </c>
    </row>
    <row r="327" spans="7:16" x14ac:dyDescent="0.15">
      <c r="G327" s="11">
        <v>326</v>
      </c>
      <c r="H327" s="10" t="s">
        <v>454</v>
      </c>
      <c r="I327" t="s">
        <v>1164</v>
      </c>
      <c r="J327" t="s">
        <v>870</v>
      </c>
      <c r="K327">
        <v>14.32</v>
      </c>
      <c r="L327" s="20">
        <v>0.11</v>
      </c>
      <c r="M327">
        <v>104.27</v>
      </c>
      <c r="N327">
        <v>78.52</v>
      </c>
      <c r="O327">
        <v>25.75</v>
      </c>
      <c r="P327" s="21">
        <v>26386.084800000001</v>
      </c>
    </row>
    <row r="328" spans="7:16" x14ac:dyDescent="0.15">
      <c r="G328" s="11">
        <v>327</v>
      </c>
      <c r="H328" s="10" t="s">
        <v>744</v>
      </c>
      <c r="I328" t="s">
        <v>947</v>
      </c>
      <c r="J328" t="s">
        <v>870</v>
      </c>
      <c r="K328">
        <v>3.4</v>
      </c>
      <c r="L328" s="20">
        <v>-0.23</v>
      </c>
      <c r="M328">
        <v>104.26</v>
      </c>
      <c r="N328">
        <v>27.45</v>
      </c>
      <c r="O328">
        <v>76.81</v>
      </c>
      <c r="P328" s="21">
        <v>72.024100000000004</v>
      </c>
    </row>
    <row r="329" spans="7:16" x14ac:dyDescent="0.15">
      <c r="G329" s="11">
        <v>328</v>
      </c>
      <c r="H329" s="10" t="s">
        <v>1283</v>
      </c>
      <c r="I329" t="s">
        <v>1284</v>
      </c>
      <c r="J329" t="s">
        <v>870</v>
      </c>
      <c r="K329">
        <v>-0.1</v>
      </c>
      <c r="L329" s="20">
        <v>-2.5099999999999998</v>
      </c>
      <c r="M329">
        <v>104.12</v>
      </c>
      <c r="N329">
        <v>7.82</v>
      </c>
      <c r="O329">
        <v>96.3</v>
      </c>
      <c r="P329" s="21">
        <v>4043.3434200000002</v>
      </c>
    </row>
    <row r="330" spans="7:16" x14ac:dyDescent="0.15">
      <c r="G330" s="11">
        <v>329</v>
      </c>
      <c r="H330" s="10" t="s">
        <v>351</v>
      </c>
      <c r="I330" t="s">
        <v>867</v>
      </c>
      <c r="J330" t="s">
        <v>833</v>
      </c>
      <c r="K330">
        <v>-0.39</v>
      </c>
      <c r="L330" s="20">
        <v>-3.95</v>
      </c>
      <c r="M330">
        <v>103.98</v>
      </c>
      <c r="N330">
        <v>6.4</v>
      </c>
      <c r="O330">
        <v>97.58</v>
      </c>
      <c r="P330" s="21">
        <v>264.53620000000001</v>
      </c>
    </row>
    <row r="331" spans="7:16" x14ac:dyDescent="0.15">
      <c r="G331" s="11">
        <v>330</v>
      </c>
      <c r="H331" s="10" t="s">
        <v>1564</v>
      </c>
      <c r="I331" t="s">
        <v>1565</v>
      </c>
      <c r="J331" t="s">
        <v>1688</v>
      </c>
      <c r="K331">
        <v>14.19</v>
      </c>
      <c r="L331" s="20">
        <v>0.11</v>
      </c>
      <c r="M331">
        <v>103.84</v>
      </c>
      <c r="N331">
        <v>77.95</v>
      </c>
      <c r="O331">
        <v>25.89</v>
      </c>
      <c r="P331" s="21">
        <v>103.2092</v>
      </c>
    </row>
    <row r="332" spans="7:16" x14ac:dyDescent="0.15">
      <c r="G332" s="11">
        <v>331</v>
      </c>
      <c r="H332" s="10" t="s">
        <v>1281</v>
      </c>
      <c r="I332" t="s">
        <v>1282</v>
      </c>
      <c r="J332" t="s">
        <v>870</v>
      </c>
      <c r="K332">
        <v>0.12</v>
      </c>
      <c r="L332" s="20">
        <v>-0.62</v>
      </c>
      <c r="M332">
        <v>103.83999999999999</v>
      </c>
      <c r="N332">
        <v>11.38</v>
      </c>
      <c r="O332">
        <v>92.46</v>
      </c>
      <c r="P332" s="21">
        <v>1498.6686</v>
      </c>
    </row>
    <row r="333" spans="7:16" x14ac:dyDescent="0.15">
      <c r="G333" s="11">
        <v>332</v>
      </c>
      <c r="H333" s="10" t="s">
        <v>565</v>
      </c>
      <c r="I333" t="s">
        <v>1299</v>
      </c>
      <c r="J333" t="s">
        <v>1288</v>
      </c>
      <c r="K333">
        <v>6.42</v>
      </c>
      <c r="L333" s="20">
        <v>-0.12</v>
      </c>
      <c r="M333">
        <v>103.69999999999999</v>
      </c>
      <c r="N333">
        <v>40.26</v>
      </c>
      <c r="O333">
        <v>63.44</v>
      </c>
      <c r="P333" s="21">
        <v>1320.3291999999999</v>
      </c>
    </row>
    <row r="334" spans="7:16" x14ac:dyDescent="0.15">
      <c r="G334" s="11">
        <v>333</v>
      </c>
      <c r="H334" s="10" t="s">
        <v>528</v>
      </c>
      <c r="I334" t="s">
        <v>1100</v>
      </c>
      <c r="J334" t="s">
        <v>870</v>
      </c>
      <c r="K334">
        <v>22.43</v>
      </c>
      <c r="L334" s="20">
        <v>0.42</v>
      </c>
      <c r="M334">
        <v>103.13</v>
      </c>
      <c r="N334">
        <v>93.6</v>
      </c>
      <c r="O334">
        <v>9.5299999999999994</v>
      </c>
      <c r="P334" s="21">
        <v>7980.5504000000001</v>
      </c>
    </row>
    <row r="335" spans="7:16" x14ac:dyDescent="0.15">
      <c r="G335" s="11">
        <v>334</v>
      </c>
      <c r="H335" s="10" t="s">
        <v>451</v>
      </c>
      <c r="I335" t="s">
        <v>1018</v>
      </c>
      <c r="J335" t="s">
        <v>870</v>
      </c>
      <c r="K335">
        <v>20.78</v>
      </c>
      <c r="L335" s="20">
        <v>0.28999999999999998</v>
      </c>
      <c r="M335">
        <v>102.99000000000001</v>
      </c>
      <c r="N335">
        <v>91.18</v>
      </c>
      <c r="O335">
        <v>11.81</v>
      </c>
      <c r="P335" s="21">
        <v>2370.4355100000002</v>
      </c>
    </row>
    <row r="336" spans="7:16" x14ac:dyDescent="0.15">
      <c r="G336" s="11">
        <v>335</v>
      </c>
      <c r="H336" s="10" t="s">
        <v>1610</v>
      </c>
      <c r="I336" t="s">
        <v>1611</v>
      </c>
      <c r="J336" t="s">
        <v>1688</v>
      </c>
      <c r="K336">
        <v>6.15</v>
      </c>
      <c r="L336" s="20">
        <v>-0.12</v>
      </c>
      <c r="M336">
        <v>102.85</v>
      </c>
      <c r="N336">
        <v>39.69</v>
      </c>
      <c r="O336">
        <v>63.16</v>
      </c>
      <c r="P336" s="21">
        <v>89.122100000000003</v>
      </c>
    </row>
    <row r="337" spans="7:16" x14ac:dyDescent="0.15">
      <c r="G337" s="11">
        <v>336</v>
      </c>
      <c r="H337" s="10" t="s">
        <v>1502</v>
      </c>
      <c r="I337" t="s">
        <v>1503</v>
      </c>
      <c r="J337" t="s">
        <v>1688</v>
      </c>
      <c r="K337">
        <v>20.47</v>
      </c>
      <c r="L337" s="20">
        <v>0.26</v>
      </c>
      <c r="M337">
        <v>102.84</v>
      </c>
      <c r="N337">
        <v>90.18</v>
      </c>
      <c r="O337">
        <v>12.66</v>
      </c>
      <c r="P337" s="21">
        <v>172.5258</v>
      </c>
    </row>
    <row r="338" spans="7:16" x14ac:dyDescent="0.15">
      <c r="G338" s="11">
        <v>337</v>
      </c>
      <c r="H338" s="10" t="s">
        <v>565</v>
      </c>
      <c r="I338" t="s">
        <v>1007</v>
      </c>
      <c r="J338" t="s">
        <v>870</v>
      </c>
      <c r="K338">
        <v>6.42</v>
      </c>
      <c r="L338" s="20">
        <v>-0.12</v>
      </c>
      <c r="M338">
        <v>102.84</v>
      </c>
      <c r="N338">
        <v>40.54</v>
      </c>
      <c r="O338">
        <v>62.3</v>
      </c>
      <c r="P338" s="21">
        <v>1320.3291999999999</v>
      </c>
    </row>
    <row r="339" spans="7:16" x14ac:dyDescent="0.15">
      <c r="G339" s="11">
        <v>338</v>
      </c>
      <c r="H339" s="10" t="s">
        <v>1356</v>
      </c>
      <c r="I339" t="s">
        <v>1357</v>
      </c>
      <c r="J339" t="s">
        <v>1688</v>
      </c>
      <c r="K339">
        <v>1.94</v>
      </c>
      <c r="L339" s="20">
        <v>-0.28000000000000003</v>
      </c>
      <c r="M339">
        <v>102.84</v>
      </c>
      <c r="N339">
        <v>21.76</v>
      </c>
      <c r="O339">
        <v>81.08</v>
      </c>
      <c r="P339" s="21">
        <v>772.77359999999999</v>
      </c>
    </row>
    <row r="340" spans="7:16" x14ac:dyDescent="0.15">
      <c r="G340" s="11">
        <v>339</v>
      </c>
      <c r="H340" s="10" t="s">
        <v>1405</v>
      </c>
      <c r="I340" t="s">
        <v>1406</v>
      </c>
      <c r="J340" t="s">
        <v>1688</v>
      </c>
      <c r="K340">
        <v>14.43</v>
      </c>
      <c r="L340" s="20">
        <v>0.13</v>
      </c>
      <c r="M340">
        <v>102.42</v>
      </c>
      <c r="N340">
        <v>79.09</v>
      </c>
      <c r="O340">
        <v>23.33</v>
      </c>
      <c r="P340" s="21">
        <v>287.57940000000002</v>
      </c>
    </row>
    <row r="341" spans="7:16" x14ac:dyDescent="0.15">
      <c r="G341" s="11">
        <v>340</v>
      </c>
      <c r="H341" s="10" t="s">
        <v>728</v>
      </c>
      <c r="I341" t="s">
        <v>1301</v>
      </c>
      <c r="J341" t="s">
        <v>1288</v>
      </c>
      <c r="K341">
        <v>0.92</v>
      </c>
      <c r="L341" s="20">
        <v>-0.36</v>
      </c>
      <c r="M341">
        <v>102.28</v>
      </c>
      <c r="N341">
        <v>17.64</v>
      </c>
      <c r="O341">
        <v>84.64</v>
      </c>
      <c r="P341" s="21">
        <v>1316.6311699999999</v>
      </c>
    </row>
    <row r="342" spans="7:16" x14ac:dyDescent="0.15">
      <c r="G342" s="11">
        <v>341</v>
      </c>
      <c r="H342" s="10" t="s">
        <v>1620</v>
      </c>
      <c r="I342" t="s">
        <v>1621</v>
      </c>
      <c r="J342" t="s">
        <v>1688</v>
      </c>
      <c r="K342">
        <v>0</v>
      </c>
      <c r="L342" s="20">
        <v>-0.59</v>
      </c>
      <c r="M342">
        <v>102.13</v>
      </c>
      <c r="N342">
        <v>10.24</v>
      </c>
      <c r="O342">
        <v>91.89</v>
      </c>
      <c r="P342" s="21">
        <v>2694.3026</v>
      </c>
    </row>
    <row r="343" spans="7:16" x14ac:dyDescent="0.15">
      <c r="G343" s="11">
        <v>342</v>
      </c>
      <c r="H343" s="10" t="s">
        <v>1472</v>
      </c>
      <c r="I343" t="s">
        <v>1473</v>
      </c>
      <c r="J343" t="s">
        <v>1688</v>
      </c>
      <c r="K343">
        <v>7.38</v>
      </c>
      <c r="L343" s="20">
        <v>-7.0000000000000007E-2</v>
      </c>
      <c r="M343">
        <v>101.99000000000001</v>
      </c>
      <c r="N343">
        <v>47.65</v>
      </c>
      <c r="O343">
        <v>54.34</v>
      </c>
      <c r="P343" s="21">
        <v>1417.4004</v>
      </c>
    </row>
    <row r="344" spans="7:16" x14ac:dyDescent="0.15">
      <c r="G344" s="11">
        <v>343</v>
      </c>
      <c r="H344" s="10" t="s">
        <v>576</v>
      </c>
      <c r="I344" t="s">
        <v>884</v>
      </c>
      <c r="J344" t="s">
        <v>870</v>
      </c>
      <c r="K344">
        <v>18.14</v>
      </c>
      <c r="L344" s="20">
        <v>0.2</v>
      </c>
      <c r="M344">
        <v>101.85</v>
      </c>
      <c r="N344">
        <v>85.92</v>
      </c>
      <c r="O344">
        <v>15.93</v>
      </c>
      <c r="P344" s="21">
        <v>21.5383</v>
      </c>
    </row>
    <row r="345" spans="7:16" x14ac:dyDescent="0.15">
      <c r="G345" s="11">
        <v>344</v>
      </c>
      <c r="H345" s="10" t="s">
        <v>1354</v>
      </c>
      <c r="I345" t="s">
        <v>1355</v>
      </c>
      <c r="J345" t="s">
        <v>1688</v>
      </c>
      <c r="K345">
        <v>14.5</v>
      </c>
      <c r="L345" s="20">
        <v>0.14000000000000001</v>
      </c>
      <c r="M345">
        <v>101.71</v>
      </c>
      <c r="N345">
        <v>79.52</v>
      </c>
      <c r="O345">
        <v>22.19</v>
      </c>
      <c r="P345" s="21">
        <v>610.56060000000002</v>
      </c>
    </row>
    <row r="346" spans="7:16" x14ac:dyDescent="0.15">
      <c r="G346" s="11">
        <v>345</v>
      </c>
      <c r="H346" s="10" t="s">
        <v>682</v>
      </c>
      <c r="I346" t="s">
        <v>970</v>
      </c>
      <c r="J346" t="s">
        <v>870</v>
      </c>
      <c r="K346">
        <v>19.07</v>
      </c>
      <c r="L346" s="20">
        <v>0.24</v>
      </c>
      <c r="M346">
        <v>101.56</v>
      </c>
      <c r="N346">
        <v>87.48</v>
      </c>
      <c r="O346">
        <v>14.08</v>
      </c>
      <c r="P346" s="21">
        <v>4187.1504755000005</v>
      </c>
    </row>
    <row r="347" spans="7:16" x14ac:dyDescent="0.15">
      <c r="G347" s="11">
        <v>346</v>
      </c>
      <c r="H347" s="10" t="s">
        <v>1350</v>
      </c>
      <c r="I347" t="s">
        <v>1351</v>
      </c>
      <c r="J347" t="s">
        <v>1688</v>
      </c>
      <c r="K347">
        <v>14.51</v>
      </c>
      <c r="L347" s="20">
        <v>0.14000000000000001</v>
      </c>
      <c r="M347">
        <v>101.42</v>
      </c>
      <c r="N347">
        <v>79.8</v>
      </c>
      <c r="O347">
        <v>21.62</v>
      </c>
      <c r="P347" s="21">
        <v>594.56970000000001</v>
      </c>
    </row>
    <row r="348" spans="7:16" x14ac:dyDescent="0.15">
      <c r="G348" s="11">
        <v>347</v>
      </c>
      <c r="H348" s="10" t="s">
        <v>672</v>
      </c>
      <c r="I348" t="s">
        <v>1035</v>
      </c>
      <c r="J348" t="s">
        <v>870</v>
      </c>
      <c r="K348">
        <v>10.59</v>
      </c>
      <c r="L348" s="20">
        <v>0</v>
      </c>
      <c r="M348">
        <v>101.41999999999999</v>
      </c>
      <c r="N348">
        <v>67.709999999999994</v>
      </c>
      <c r="O348">
        <v>33.71</v>
      </c>
      <c r="P348" s="21">
        <v>5728.9993999999997</v>
      </c>
    </row>
    <row r="349" spans="7:16" x14ac:dyDescent="0.15">
      <c r="G349" s="11">
        <v>348</v>
      </c>
      <c r="H349" s="10" t="s">
        <v>300</v>
      </c>
      <c r="I349" t="s">
        <v>1267</v>
      </c>
      <c r="J349" t="s">
        <v>1251</v>
      </c>
      <c r="K349">
        <v>21.48</v>
      </c>
      <c r="L349" s="20">
        <v>0.51</v>
      </c>
      <c r="M349">
        <v>101.13999999999999</v>
      </c>
      <c r="N349">
        <v>92.46</v>
      </c>
      <c r="O349">
        <v>8.68</v>
      </c>
      <c r="P349" s="21">
        <v>524.49638470000002</v>
      </c>
    </row>
    <row r="350" spans="7:16" x14ac:dyDescent="0.15">
      <c r="G350" s="11">
        <v>349</v>
      </c>
      <c r="H350" s="10" t="s">
        <v>832</v>
      </c>
      <c r="I350" t="s">
        <v>831</v>
      </c>
      <c r="J350" t="s">
        <v>1688</v>
      </c>
      <c r="K350">
        <v>0.37</v>
      </c>
      <c r="L350" s="20">
        <v>-0.4</v>
      </c>
      <c r="M350">
        <v>100.86</v>
      </c>
      <c r="N350">
        <v>13.8</v>
      </c>
      <c r="O350">
        <v>87.06</v>
      </c>
      <c r="P350" s="21">
        <v>323.52082889999997</v>
      </c>
    </row>
    <row r="351" spans="7:16" x14ac:dyDescent="0.15">
      <c r="G351" s="11">
        <v>350</v>
      </c>
      <c r="H351" s="10" t="s">
        <v>645</v>
      </c>
      <c r="I351" t="s">
        <v>1179</v>
      </c>
      <c r="J351" t="s">
        <v>870</v>
      </c>
      <c r="K351">
        <v>13.15</v>
      </c>
      <c r="L351" s="20">
        <v>0.12</v>
      </c>
      <c r="M351">
        <v>100.57000000000001</v>
      </c>
      <c r="N351">
        <v>75.680000000000007</v>
      </c>
      <c r="O351">
        <v>24.89</v>
      </c>
      <c r="P351" s="21">
        <v>88989.329800000007</v>
      </c>
    </row>
    <row r="352" spans="7:16" x14ac:dyDescent="0.15">
      <c r="G352" s="11">
        <v>351</v>
      </c>
      <c r="H352" s="10" t="s">
        <v>658</v>
      </c>
      <c r="I352" t="s">
        <v>1090</v>
      </c>
      <c r="J352" t="s">
        <v>870</v>
      </c>
      <c r="K352">
        <v>12.91</v>
      </c>
      <c r="L352" s="20">
        <v>0.11</v>
      </c>
      <c r="M352">
        <v>100.42</v>
      </c>
      <c r="N352">
        <v>74.25</v>
      </c>
      <c r="O352">
        <v>26.17</v>
      </c>
      <c r="P352" s="21">
        <v>2244.0859</v>
      </c>
    </row>
    <row r="353" spans="7:16" x14ac:dyDescent="0.15">
      <c r="G353" s="11">
        <v>352</v>
      </c>
      <c r="H353" s="10" t="s">
        <v>470</v>
      </c>
      <c r="I353" t="s">
        <v>938</v>
      </c>
      <c r="J353" t="s">
        <v>870</v>
      </c>
      <c r="K353">
        <v>6.56</v>
      </c>
      <c r="L353" s="20">
        <v>-0.1</v>
      </c>
      <c r="M353">
        <v>100.28</v>
      </c>
      <c r="N353">
        <v>41.11</v>
      </c>
      <c r="O353">
        <v>59.17</v>
      </c>
      <c r="P353" s="21">
        <v>230.04779550000001</v>
      </c>
    </row>
    <row r="354" spans="7:16" x14ac:dyDescent="0.15">
      <c r="G354" s="11">
        <v>353</v>
      </c>
      <c r="H354" s="10" t="s">
        <v>363</v>
      </c>
      <c r="I354" t="s">
        <v>1037</v>
      </c>
      <c r="J354" t="s">
        <v>870</v>
      </c>
      <c r="K354">
        <v>10.11</v>
      </c>
      <c r="L354" s="20">
        <v>0</v>
      </c>
      <c r="M354">
        <v>100.15</v>
      </c>
      <c r="N354">
        <v>63.73</v>
      </c>
      <c r="O354">
        <v>36.42</v>
      </c>
      <c r="P354" s="21">
        <v>1149.9080297</v>
      </c>
    </row>
    <row r="355" spans="7:16" x14ac:dyDescent="0.15">
      <c r="G355" s="11">
        <v>354</v>
      </c>
      <c r="H355" s="10" t="s">
        <v>1526</v>
      </c>
      <c r="I355" t="s">
        <v>1527</v>
      </c>
      <c r="J355" t="s">
        <v>1688</v>
      </c>
      <c r="K355">
        <v>1.5</v>
      </c>
      <c r="L355" s="20">
        <v>-0.28000000000000003</v>
      </c>
      <c r="M355">
        <v>100.14</v>
      </c>
      <c r="N355">
        <v>19.2</v>
      </c>
      <c r="O355">
        <v>80.94</v>
      </c>
      <c r="P355" s="21">
        <v>832.27707029999999</v>
      </c>
    </row>
    <row r="356" spans="7:16" x14ac:dyDescent="0.15">
      <c r="G356" s="11">
        <v>355</v>
      </c>
      <c r="H356" s="10" t="s">
        <v>606</v>
      </c>
      <c r="I356" t="s">
        <v>1098</v>
      </c>
      <c r="J356" t="s">
        <v>870</v>
      </c>
      <c r="K356">
        <v>12.48</v>
      </c>
      <c r="L356" s="20">
        <v>0.1</v>
      </c>
      <c r="M356">
        <v>100</v>
      </c>
      <c r="N356">
        <v>72.83</v>
      </c>
      <c r="O356">
        <v>27.17</v>
      </c>
      <c r="P356" s="21">
        <v>1453.6559</v>
      </c>
    </row>
    <row r="357" spans="7:16" x14ac:dyDescent="0.15">
      <c r="G357" s="11">
        <v>356</v>
      </c>
      <c r="H357" s="10" t="s">
        <v>708</v>
      </c>
      <c r="I357" t="s">
        <v>1078</v>
      </c>
      <c r="J357" t="s">
        <v>870</v>
      </c>
      <c r="K357">
        <v>3.14</v>
      </c>
      <c r="L357" s="20">
        <v>-0.18</v>
      </c>
      <c r="M357">
        <v>100</v>
      </c>
      <c r="N357">
        <v>26.46</v>
      </c>
      <c r="O357">
        <v>73.540000000000006</v>
      </c>
      <c r="P357" s="21">
        <v>1963.9754</v>
      </c>
    </row>
    <row r="358" spans="7:16" x14ac:dyDescent="0.15">
      <c r="G358" s="11">
        <v>357</v>
      </c>
      <c r="H358" s="10" t="s">
        <v>323</v>
      </c>
      <c r="I358" t="s">
        <v>869</v>
      </c>
      <c r="J358" t="s">
        <v>868</v>
      </c>
      <c r="K358">
        <v>0.06</v>
      </c>
      <c r="L358" s="20">
        <v>-0.44</v>
      </c>
      <c r="M358">
        <v>99.86</v>
      </c>
      <c r="N358">
        <v>11.24</v>
      </c>
      <c r="O358">
        <v>88.62</v>
      </c>
      <c r="P358" s="21">
        <v>144.93305989999999</v>
      </c>
    </row>
    <row r="359" spans="7:16" x14ac:dyDescent="0.15">
      <c r="G359" s="11">
        <v>358</v>
      </c>
      <c r="H359" s="10" t="s">
        <v>483</v>
      </c>
      <c r="I359" t="s">
        <v>924</v>
      </c>
      <c r="J359" t="s">
        <v>870</v>
      </c>
      <c r="K359">
        <v>5.07</v>
      </c>
      <c r="L359" s="20">
        <v>-0.13</v>
      </c>
      <c r="M359">
        <v>99.72</v>
      </c>
      <c r="N359">
        <v>34</v>
      </c>
      <c r="O359">
        <v>65.72</v>
      </c>
      <c r="P359" s="21">
        <v>778.63019999999995</v>
      </c>
    </row>
    <row r="360" spans="7:16" x14ac:dyDescent="0.15">
      <c r="G360" s="11">
        <v>359</v>
      </c>
      <c r="H360" s="10" t="s">
        <v>292</v>
      </c>
      <c r="I360" t="s">
        <v>258</v>
      </c>
      <c r="J360" t="s">
        <v>1251</v>
      </c>
      <c r="K360">
        <v>21</v>
      </c>
      <c r="L360" s="20">
        <v>0.6</v>
      </c>
      <c r="M360">
        <v>99.15</v>
      </c>
      <c r="N360">
        <v>91.61</v>
      </c>
      <c r="O360">
        <v>7.54</v>
      </c>
      <c r="P360" s="21">
        <v>113.57309050000001</v>
      </c>
    </row>
    <row r="361" spans="7:16" x14ac:dyDescent="0.15">
      <c r="G361" s="11">
        <v>360</v>
      </c>
      <c r="H361" s="10" t="s">
        <v>1425</v>
      </c>
      <c r="I361" t="s">
        <v>1426</v>
      </c>
      <c r="J361" t="s">
        <v>1688</v>
      </c>
      <c r="K361">
        <v>10.220000000000001</v>
      </c>
      <c r="L361" s="20">
        <v>0</v>
      </c>
      <c r="M361">
        <v>99.14</v>
      </c>
      <c r="N361">
        <v>64.86</v>
      </c>
      <c r="O361">
        <v>34.28</v>
      </c>
      <c r="P361" s="21">
        <v>98.225999999999999</v>
      </c>
    </row>
    <row r="362" spans="7:16" x14ac:dyDescent="0.15">
      <c r="G362" s="11">
        <v>361</v>
      </c>
      <c r="H362" s="10" t="s">
        <v>1592</v>
      </c>
      <c r="I362" t="s">
        <v>1593</v>
      </c>
      <c r="J362" t="s">
        <v>1688</v>
      </c>
      <c r="K362">
        <v>-0.18</v>
      </c>
      <c r="L362" s="20">
        <v>-0.56999999999999995</v>
      </c>
      <c r="M362">
        <v>99.01</v>
      </c>
      <c r="N362">
        <v>7.4</v>
      </c>
      <c r="O362">
        <v>91.61</v>
      </c>
      <c r="P362" s="21">
        <v>522.81791969999995</v>
      </c>
    </row>
    <row r="363" spans="7:16" x14ac:dyDescent="0.15">
      <c r="G363" s="11">
        <v>362</v>
      </c>
      <c r="H363" s="10" t="s">
        <v>1490</v>
      </c>
      <c r="I363" t="s">
        <v>1491</v>
      </c>
      <c r="J363" t="s">
        <v>1688</v>
      </c>
      <c r="K363">
        <v>13.71</v>
      </c>
      <c r="L363" s="20">
        <v>0.14000000000000001</v>
      </c>
      <c r="M363">
        <v>98.72</v>
      </c>
      <c r="N363">
        <v>76.39</v>
      </c>
      <c r="O363">
        <v>22.33</v>
      </c>
      <c r="P363" s="21">
        <v>215.1498114</v>
      </c>
    </row>
    <row r="364" spans="7:16" x14ac:dyDescent="0.15">
      <c r="G364" s="11">
        <v>363</v>
      </c>
      <c r="H364" s="10" t="s">
        <v>475</v>
      </c>
      <c r="I364" t="s">
        <v>980</v>
      </c>
      <c r="J364" t="s">
        <v>870</v>
      </c>
      <c r="K364">
        <v>11.69</v>
      </c>
      <c r="L364" s="20">
        <v>0.11</v>
      </c>
      <c r="M364">
        <v>98.72</v>
      </c>
      <c r="N364">
        <v>72.12</v>
      </c>
      <c r="O364">
        <v>26.6</v>
      </c>
      <c r="P364" s="21">
        <v>4414.2087499999998</v>
      </c>
    </row>
    <row r="365" spans="7:16" x14ac:dyDescent="0.15">
      <c r="G365" s="11">
        <v>364</v>
      </c>
      <c r="H365" s="10" t="s">
        <v>600</v>
      </c>
      <c r="I365" t="s">
        <v>1069</v>
      </c>
      <c r="J365" t="s">
        <v>870</v>
      </c>
      <c r="K365">
        <v>7.47</v>
      </c>
      <c r="L365" s="20">
        <v>0</v>
      </c>
      <c r="M365">
        <v>98.58</v>
      </c>
      <c r="N365">
        <v>48.51</v>
      </c>
      <c r="O365">
        <v>50.07</v>
      </c>
      <c r="P365" s="21">
        <v>1880.266973</v>
      </c>
    </row>
    <row r="366" spans="7:16" x14ac:dyDescent="0.15">
      <c r="G366" s="11">
        <v>365</v>
      </c>
      <c r="H366" s="10" t="s">
        <v>1393</v>
      </c>
      <c r="I366" t="s">
        <v>1394</v>
      </c>
      <c r="J366" t="s">
        <v>1688</v>
      </c>
      <c r="K366">
        <v>13.97</v>
      </c>
      <c r="L366" s="20">
        <v>0.14000000000000001</v>
      </c>
      <c r="M366">
        <v>98.58</v>
      </c>
      <c r="N366">
        <v>77.239999999999995</v>
      </c>
      <c r="O366">
        <v>21.34</v>
      </c>
      <c r="P366" s="21">
        <v>852.08546999999987</v>
      </c>
    </row>
    <row r="367" spans="7:16" x14ac:dyDescent="0.15">
      <c r="G367" s="11">
        <v>366</v>
      </c>
      <c r="H367" s="10" t="s">
        <v>625</v>
      </c>
      <c r="I367" t="s">
        <v>977</v>
      </c>
      <c r="J367" t="s">
        <v>870</v>
      </c>
      <c r="K367">
        <v>7.39</v>
      </c>
      <c r="L367" s="20">
        <v>0</v>
      </c>
      <c r="M367">
        <v>98.15</v>
      </c>
      <c r="N367">
        <v>47.94</v>
      </c>
      <c r="O367">
        <v>50.21</v>
      </c>
      <c r="P367" s="21">
        <v>1103.8305</v>
      </c>
    </row>
    <row r="368" spans="7:16" x14ac:dyDescent="0.15">
      <c r="G368" s="11">
        <v>367</v>
      </c>
      <c r="H368" s="10" t="s">
        <v>635</v>
      </c>
      <c r="I368" t="s">
        <v>1309</v>
      </c>
      <c r="J368" t="s">
        <v>1288</v>
      </c>
      <c r="K368">
        <v>10.09</v>
      </c>
      <c r="L368" s="20">
        <v>0</v>
      </c>
      <c r="M368">
        <v>98.15</v>
      </c>
      <c r="N368">
        <v>63.58</v>
      </c>
      <c r="O368">
        <v>34.57</v>
      </c>
      <c r="P368" s="21">
        <v>7336.2018181999993</v>
      </c>
    </row>
    <row r="369" spans="7:16" x14ac:dyDescent="0.15">
      <c r="G369" s="11">
        <v>368</v>
      </c>
      <c r="H369" s="10" t="s">
        <v>397</v>
      </c>
      <c r="I369" t="s">
        <v>979</v>
      </c>
      <c r="J369" t="s">
        <v>870</v>
      </c>
      <c r="K369">
        <v>2.2000000000000002</v>
      </c>
      <c r="L369" s="20">
        <v>-0.2</v>
      </c>
      <c r="M369">
        <v>98.149999999999991</v>
      </c>
      <c r="N369">
        <v>23.33</v>
      </c>
      <c r="O369">
        <v>74.819999999999993</v>
      </c>
      <c r="P369" s="21">
        <v>1602.2084</v>
      </c>
    </row>
    <row r="370" spans="7:16" x14ac:dyDescent="0.15">
      <c r="G370" s="11">
        <v>369</v>
      </c>
      <c r="H370" s="10" t="s">
        <v>690</v>
      </c>
      <c r="I370" t="s">
        <v>261</v>
      </c>
      <c r="J370" t="s">
        <v>870</v>
      </c>
      <c r="K370">
        <v>3.11</v>
      </c>
      <c r="L370" s="20">
        <v>-0.17</v>
      </c>
      <c r="M370">
        <v>97.58</v>
      </c>
      <c r="N370">
        <v>26.17</v>
      </c>
      <c r="O370">
        <v>71.41</v>
      </c>
      <c r="P370" s="21">
        <v>2739.8503000000001</v>
      </c>
    </row>
    <row r="371" spans="7:16" x14ac:dyDescent="0.15">
      <c r="G371" s="11">
        <v>370</v>
      </c>
      <c r="H371" s="10" t="s">
        <v>574</v>
      </c>
      <c r="I371" t="s">
        <v>1150</v>
      </c>
      <c r="J371" t="s">
        <v>870</v>
      </c>
      <c r="K371">
        <v>14.51</v>
      </c>
      <c r="L371" s="20">
        <v>0.19</v>
      </c>
      <c r="M371">
        <v>97.44</v>
      </c>
      <c r="N371">
        <v>79.66</v>
      </c>
      <c r="O371">
        <v>17.78</v>
      </c>
      <c r="P371" s="21">
        <v>17589.098000000002</v>
      </c>
    </row>
    <row r="372" spans="7:16" x14ac:dyDescent="0.15">
      <c r="G372" s="11">
        <v>371</v>
      </c>
      <c r="H372" s="10" t="s">
        <v>1578</v>
      </c>
      <c r="I372" t="s">
        <v>1579</v>
      </c>
      <c r="J372" t="s">
        <v>1688</v>
      </c>
      <c r="K372">
        <v>-0.02</v>
      </c>
      <c r="L372" s="20">
        <v>-0.47</v>
      </c>
      <c r="M372">
        <v>97.44</v>
      </c>
      <c r="N372">
        <v>8.25</v>
      </c>
      <c r="O372">
        <v>89.19</v>
      </c>
      <c r="P372" s="21">
        <v>1949.5986</v>
      </c>
    </row>
    <row r="373" spans="7:16" x14ac:dyDescent="0.15">
      <c r="G373" s="11">
        <v>372</v>
      </c>
      <c r="H373" s="10" t="s">
        <v>704</v>
      </c>
      <c r="I373" t="s">
        <v>1154</v>
      </c>
      <c r="J373" t="s">
        <v>870</v>
      </c>
      <c r="K373">
        <v>2.5</v>
      </c>
      <c r="L373" s="20">
        <v>-0.17</v>
      </c>
      <c r="M373">
        <v>97.3</v>
      </c>
      <c r="N373">
        <v>24.61</v>
      </c>
      <c r="O373">
        <v>72.69</v>
      </c>
      <c r="P373" s="21">
        <v>11547.9231</v>
      </c>
    </row>
    <row r="374" spans="7:16" x14ac:dyDescent="0.15">
      <c r="G374" s="11">
        <v>373</v>
      </c>
      <c r="H374" s="10" t="s">
        <v>668</v>
      </c>
      <c r="I374" t="s">
        <v>1176</v>
      </c>
      <c r="J374" t="s">
        <v>870</v>
      </c>
      <c r="K374">
        <v>5.1100000000000003</v>
      </c>
      <c r="L374" s="20">
        <v>-0.12</v>
      </c>
      <c r="M374">
        <v>97.15</v>
      </c>
      <c r="N374">
        <v>34.28</v>
      </c>
      <c r="O374">
        <v>62.87</v>
      </c>
      <c r="P374" s="21">
        <v>106338.16680000001</v>
      </c>
    </row>
    <row r="375" spans="7:16" x14ac:dyDescent="0.15">
      <c r="G375" s="11">
        <v>374</v>
      </c>
      <c r="H375" s="10" t="s">
        <v>450</v>
      </c>
      <c r="I375" t="s">
        <v>1153</v>
      </c>
      <c r="J375" t="s">
        <v>870</v>
      </c>
      <c r="K375">
        <v>18.21</v>
      </c>
      <c r="L375" s="20">
        <v>0.33</v>
      </c>
      <c r="M375">
        <v>97.15</v>
      </c>
      <c r="N375">
        <v>86.2</v>
      </c>
      <c r="O375">
        <v>10.95</v>
      </c>
      <c r="P375" s="21">
        <v>21815.5906</v>
      </c>
    </row>
    <row r="376" spans="7:16" x14ac:dyDescent="0.15">
      <c r="G376" s="11">
        <v>375</v>
      </c>
      <c r="H376" s="10" t="s">
        <v>714</v>
      </c>
      <c r="I376" t="s">
        <v>1170</v>
      </c>
      <c r="J376" t="s">
        <v>870</v>
      </c>
      <c r="K376">
        <v>4.66</v>
      </c>
      <c r="L376" s="20">
        <v>-0.13</v>
      </c>
      <c r="M376">
        <v>97.02</v>
      </c>
      <c r="N376">
        <v>32.72</v>
      </c>
      <c r="O376">
        <v>64.3</v>
      </c>
      <c r="P376" s="21">
        <v>57293.547200000001</v>
      </c>
    </row>
    <row r="377" spans="7:16" x14ac:dyDescent="0.15">
      <c r="G377" s="11">
        <v>376</v>
      </c>
      <c r="H377" s="10" t="s">
        <v>619</v>
      </c>
      <c r="I377" t="s">
        <v>876</v>
      </c>
      <c r="J377" t="s">
        <v>870</v>
      </c>
      <c r="K377">
        <v>-0.31</v>
      </c>
      <c r="L377" s="20">
        <v>-0.49</v>
      </c>
      <c r="M377">
        <v>97.01</v>
      </c>
      <c r="N377">
        <v>6.83</v>
      </c>
      <c r="O377">
        <v>90.18</v>
      </c>
      <c r="P377" s="21">
        <v>126.20204</v>
      </c>
    </row>
    <row r="378" spans="7:16" x14ac:dyDescent="0.15">
      <c r="G378" s="11">
        <v>377</v>
      </c>
      <c r="H378" s="10" t="s">
        <v>640</v>
      </c>
      <c r="I378" t="s">
        <v>1045</v>
      </c>
      <c r="J378" t="s">
        <v>870</v>
      </c>
      <c r="K378">
        <v>9.06</v>
      </c>
      <c r="L378" s="20">
        <v>0</v>
      </c>
      <c r="M378">
        <v>96.72999999999999</v>
      </c>
      <c r="N378">
        <v>57.04</v>
      </c>
      <c r="O378">
        <v>39.69</v>
      </c>
      <c r="P378" s="21">
        <v>1194.5159000000001</v>
      </c>
    </row>
    <row r="379" spans="7:16" x14ac:dyDescent="0.15">
      <c r="G379" s="11">
        <v>378</v>
      </c>
      <c r="H379" s="10" t="s">
        <v>526</v>
      </c>
      <c r="I379" t="s">
        <v>886</v>
      </c>
      <c r="J379" t="s">
        <v>870</v>
      </c>
      <c r="K379">
        <v>10.01</v>
      </c>
      <c r="L379" s="20">
        <v>0</v>
      </c>
      <c r="M379">
        <v>96.59</v>
      </c>
      <c r="N379">
        <v>62.59</v>
      </c>
      <c r="O379">
        <v>34</v>
      </c>
      <c r="P379" s="21">
        <v>60.6583264</v>
      </c>
    </row>
    <row r="380" spans="7:16" x14ac:dyDescent="0.15">
      <c r="G380" s="11">
        <v>379</v>
      </c>
      <c r="H380" s="10" t="s">
        <v>1669</v>
      </c>
      <c r="I380" t="s">
        <v>1670</v>
      </c>
      <c r="J380" t="s">
        <v>1688</v>
      </c>
      <c r="K380">
        <v>10</v>
      </c>
      <c r="L380" s="20">
        <v>0</v>
      </c>
      <c r="M380">
        <v>96.59</v>
      </c>
      <c r="N380">
        <v>62.45</v>
      </c>
      <c r="O380">
        <v>34.14</v>
      </c>
      <c r="P380" s="21">
        <v>2293.7863000000002</v>
      </c>
    </row>
    <row r="381" spans="7:16" x14ac:dyDescent="0.15">
      <c r="G381" s="11">
        <v>380</v>
      </c>
      <c r="H381" s="10" t="s">
        <v>404</v>
      </c>
      <c r="I381" t="s">
        <v>1049</v>
      </c>
      <c r="J381" t="s">
        <v>870</v>
      </c>
      <c r="K381">
        <v>10.08</v>
      </c>
      <c r="L381" s="20">
        <v>0</v>
      </c>
      <c r="M381">
        <v>96.58</v>
      </c>
      <c r="N381">
        <v>63.44</v>
      </c>
      <c r="O381">
        <v>33.14</v>
      </c>
      <c r="P381" s="21">
        <v>1655.6638</v>
      </c>
    </row>
    <row r="382" spans="7:16" x14ac:dyDescent="0.15">
      <c r="G382" s="11">
        <v>381</v>
      </c>
      <c r="H382" s="10" t="s">
        <v>534</v>
      </c>
      <c r="I382" t="s">
        <v>1093</v>
      </c>
      <c r="J382" t="s">
        <v>870</v>
      </c>
      <c r="K382">
        <v>7.15</v>
      </c>
      <c r="L382" s="20">
        <v>0</v>
      </c>
      <c r="M382">
        <v>96.16</v>
      </c>
      <c r="N382">
        <v>46.37</v>
      </c>
      <c r="O382">
        <v>49.79</v>
      </c>
      <c r="P382" s="21">
        <v>3655.6647372000002</v>
      </c>
    </row>
    <row r="383" spans="7:16" x14ac:dyDescent="0.15">
      <c r="G383" s="11">
        <v>382</v>
      </c>
      <c r="H383" s="10" t="s">
        <v>1572</v>
      </c>
      <c r="I383" t="s">
        <v>1573</v>
      </c>
      <c r="J383" t="s">
        <v>1688</v>
      </c>
      <c r="K383">
        <v>1.28</v>
      </c>
      <c r="L383" s="20">
        <v>-0.25</v>
      </c>
      <c r="M383">
        <v>96.01</v>
      </c>
      <c r="N383">
        <v>17.920000000000002</v>
      </c>
      <c r="O383">
        <v>78.09</v>
      </c>
      <c r="P383" s="21">
        <v>142.02520000000001</v>
      </c>
    </row>
    <row r="384" spans="7:16" x14ac:dyDescent="0.15">
      <c r="G384" s="11">
        <v>383</v>
      </c>
      <c r="H384" s="10" t="s">
        <v>464</v>
      </c>
      <c r="I384" t="s">
        <v>908</v>
      </c>
      <c r="J384" t="s">
        <v>870</v>
      </c>
      <c r="K384">
        <v>4.4000000000000004</v>
      </c>
      <c r="L384" s="20">
        <v>-0.12</v>
      </c>
      <c r="M384">
        <v>95.88</v>
      </c>
      <c r="N384">
        <v>32.15</v>
      </c>
      <c r="O384">
        <v>63.73</v>
      </c>
      <c r="P384" s="21">
        <v>58.718200000000003</v>
      </c>
    </row>
    <row r="385" spans="7:16" x14ac:dyDescent="0.15">
      <c r="G385" s="11">
        <v>384</v>
      </c>
      <c r="H385" s="10" t="s">
        <v>737</v>
      </c>
      <c r="I385" t="s">
        <v>1104</v>
      </c>
      <c r="J385" t="s">
        <v>870</v>
      </c>
      <c r="K385">
        <v>8.7799999999999994</v>
      </c>
      <c r="L385" s="20">
        <v>0</v>
      </c>
      <c r="M385">
        <v>95.87</v>
      </c>
      <c r="N385">
        <v>56.33</v>
      </c>
      <c r="O385">
        <v>39.54</v>
      </c>
      <c r="P385" s="21">
        <v>4745.0964604999999</v>
      </c>
    </row>
    <row r="386" spans="7:16" x14ac:dyDescent="0.15">
      <c r="G386" s="11">
        <v>385</v>
      </c>
      <c r="H386" s="10" t="s">
        <v>297</v>
      </c>
      <c r="I386" t="s">
        <v>1253</v>
      </c>
      <c r="J386" t="s">
        <v>1251</v>
      </c>
      <c r="K386">
        <v>19.96</v>
      </c>
      <c r="L386" s="20">
        <v>0.75</v>
      </c>
      <c r="M386">
        <v>95.73</v>
      </c>
      <c r="N386">
        <v>89.33</v>
      </c>
      <c r="O386">
        <v>6.4</v>
      </c>
      <c r="P386" s="21">
        <v>106.179903</v>
      </c>
    </row>
    <row r="387" spans="7:16" x14ac:dyDescent="0.15">
      <c r="G387" s="11">
        <v>386</v>
      </c>
      <c r="H387" s="10" t="s">
        <v>529</v>
      </c>
      <c r="I387" t="s">
        <v>900</v>
      </c>
      <c r="J387" t="s">
        <v>870</v>
      </c>
      <c r="K387">
        <v>3.35</v>
      </c>
      <c r="L387" s="20">
        <v>-0.14000000000000001</v>
      </c>
      <c r="M387">
        <v>95.59</v>
      </c>
      <c r="N387">
        <v>27.31</v>
      </c>
      <c r="O387">
        <v>68.28</v>
      </c>
      <c r="P387" s="21">
        <v>138.09719999999999</v>
      </c>
    </row>
    <row r="388" spans="7:16" x14ac:dyDescent="0.15">
      <c r="G388" s="11">
        <v>387</v>
      </c>
      <c r="H388" s="10" t="s">
        <v>1385</v>
      </c>
      <c r="I388" t="s">
        <v>1386</v>
      </c>
      <c r="J388" t="s">
        <v>1688</v>
      </c>
      <c r="K388">
        <v>3.62</v>
      </c>
      <c r="L388" s="20">
        <v>-0.13</v>
      </c>
      <c r="M388">
        <v>95.45</v>
      </c>
      <c r="N388">
        <v>29.59</v>
      </c>
      <c r="O388">
        <v>65.86</v>
      </c>
      <c r="P388" s="21">
        <v>2606.9609</v>
      </c>
    </row>
    <row r="389" spans="7:16" x14ac:dyDescent="0.15">
      <c r="G389" s="11">
        <v>388</v>
      </c>
      <c r="H389" s="10" t="s">
        <v>1534</v>
      </c>
      <c r="I389" t="s">
        <v>1535</v>
      </c>
      <c r="J389" t="s">
        <v>1688</v>
      </c>
      <c r="K389">
        <v>10.37</v>
      </c>
      <c r="L389" s="20">
        <v>0.08</v>
      </c>
      <c r="M389">
        <v>95.3</v>
      </c>
      <c r="N389">
        <v>66</v>
      </c>
      <c r="O389">
        <v>29.3</v>
      </c>
      <c r="P389" s="21">
        <v>1940.8853999999999</v>
      </c>
    </row>
    <row r="390" spans="7:16" x14ac:dyDescent="0.15">
      <c r="G390" s="11">
        <v>389</v>
      </c>
      <c r="H390" s="10" t="s">
        <v>702</v>
      </c>
      <c r="I390" t="s">
        <v>1014</v>
      </c>
      <c r="J390" t="s">
        <v>870</v>
      </c>
      <c r="K390">
        <v>6.94</v>
      </c>
      <c r="L390" s="20">
        <v>0</v>
      </c>
      <c r="M390">
        <v>95.16</v>
      </c>
      <c r="N390">
        <v>44.24</v>
      </c>
      <c r="O390">
        <v>50.92</v>
      </c>
      <c r="P390" s="21">
        <v>510.95895999999999</v>
      </c>
    </row>
    <row r="391" spans="7:16" x14ac:dyDescent="0.15">
      <c r="G391" s="11">
        <v>390</v>
      </c>
      <c r="H391" s="10" t="s">
        <v>1552</v>
      </c>
      <c r="I391" t="s">
        <v>1553</v>
      </c>
      <c r="J391" t="s">
        <v>1688</v>
      </c>
      <c r="K391">
        <v>10.79</v>
      </c>
      <c r="L391" s="20">
        <v>0.11</v>
      </c>
      <c r="M391">
        <v>95.16</v>
      </c>
      <c r="N391">
        <v>68.42</v>
      </c>
      <c r="O391">
        <v>26.74</v>
      </c>
      <c r="P391" s="21">
        <v>3448.3540521</v>
      </c>
    </row>
    <row r="392" spans="7:16" x14ac:dyDescent="0.15">
      <c r="G392" s="11">
        <v>391</v>
      </c>
      <c r="H392" s="10" t="s">
        <v>490</v>
      </c>
      <c r="I392" t="s">
        <v>1158</v>
      </c>
      <c r="J392" t="s">
        <v>870</v>
      </c>
      <c r="K392">
        <v>15.52</v>
      </c>
      <c r="L392" s="20">
        <v>0.27</v>
      </c>
      <c r="M392">
        <v>95.02000000000001</v>
      </c>
      <c r="N392">
        <v>82.79</v>
      </c>
      <c r="O392">
        <v>12.23</v>
      </c>
      <c r="P392" s="21">
        <v>44166.260154400006</v>
      </c>
    </row>
    <row r="393" spans="7:16" x14ac:dyDescent="0.15">
      <c r="G393" s="11">
        <v>392</v>
      </c>
      <c r="H393" s="10" t="s">
        <v>774</v>
      </c>
      <c r="I393" t="s">
        <v>1214</v>
      </c>
      <c r="J393" t="s">
        <v>1213</v>
      </c>
      <c r="K393">
        <v>20.57</v>
      </c>
      <c r="L393" s="20">
        <v>1.69</v>
      </c>
      <c r="M393">
        <v>95.02</v>
      </c>
      <c r="N393">
        <v>90.61</v>
      </c>
      <c r="O393">
        <v>4.41</v>
      </c>
      <c r="P393" s="21">
        <v>1274.4589509</v>
      </c>
    </row>
    <row r="394" spans="7:16" x14ac:dyDescent="0.15">
      <c r="G394" s="11">
        <v>393</v>
      </c>
      <c r="H394" s="10" t="s">
        <v>637</v>
      </c>
      <c r="I394" t="s">
        <v>1079</v>
      </c>
      <c r="J394" t="s">
        <v>870</v>
      </c>
      <c r="K394">
        <v>11.33</v>
      </c>
      <c r="L394" s="20">
        <v>0.12</v>
      </c>
      <c r="M394">
        <v>94.72999999999999</v>
      </c>
      <c r="N394">
        <v>70.41</v>
      </c>
      <c r="O394">
        <v>24.32</v>
      </c>
      <c r="P394" s="21">
        <v>3175.3537999999999</v>
      </c>
    </row>
    <row r="395" spans="7:16" x14ac:dyDescent="0.15">
      <c r="G395" s="11">
        <v>394</v>
      </c>
      <c r="H395" s="10" t="s">
        <v>455</v>
      </c>
      <c r="I395" t="s">
        <v>1110</v>
      </c>
      <c r="J395" t="s">
        <v>870</v>
      </c>
      <c r="K395">
        <v>15.42</v>
      </c>
      <c r="L395" s="20">
        <v>0.28000000000000003</v>
      </c>
      <c r="M395">
        <v>94.59</v>
      </c>
      <c r="N395">
        <v>82.5</v>
      </c>
      <c r="O395">
        <v>12.09</v>
      </c>
      <c r="P395" s="21">
        <v>4918.6882750000004</v>
      </c>
    </row>
    <row r="396" spans="7:16" x14ac:dyDescent="0.15">
      <c r="G396" s="11">
        <v>395</v>
      </c>
      <c r="H396" s="10" t="s">
        <v>592</v>
      </c>
      <c r="I396" t="s">
        <v>1034</v>
      </c>
      <c r="J396" t="s">
        <v>870</v>
      </c>
      <c r="K396">
        <v>9.7899999999999991</v>
      </c>
      <c r="L396" s="20">
        <v>0</v>
      </c>
      <c r="M396">
        <v>94.31</v>
      </c>
      <c r="N396">
        <v>61.02</v>
      </c>
      <c r="O396">
        <v>33.29</v>
      </c>
      <c r="P396" s="21">
        <v>2325.5792000000001</v>
      </c>
    </row>
    <row r="397" spans="7:16" x14ac:dyDescent="0.15">
      <c r="G397" s="11">
        <v>396</v>
      </c>
      <c r="H397" s="10" t="s">
        <v>558</v>
      </c>
      <c r="I397" t="s">
        <v>1056</v>
      </c>
      <c r="J397" t="s">
        <v>870</v>
      </c>
      <c r="K397">
        <v>7.48</v>
      </c>
      <c r="L397" s="20">
        <v>0</v>
      </c>
      <c r="M397">
        <v>94.17</v>
      </c>
      <c r="N397">
        <v>48.65</v>
      </c>
      <c r="O397">
        <v>45.52</v>
      </c>
      <c r="P397" s="21">
        <v>3573.4625999999998</v>
      </c>
    </row>
    <row r="398" spans="7:16" x14ac:dyDescent="0.15">
      <c r="G398" s="11">
        <v>397</v>
      </c>
      <c r="H398" s="10" t="s">
        <v>288</v>
      </c>
      <c r="I398" t="s">
        <v>1215</v>
      </c>
      <c r="J398" t="s">
        <v>1213</v>
      </c>
      <c r="K398">
        <v>17.98</v>
      </c>
      <c r="L398" s="20">
        <v>0.53</v>
      </c>
      <c r="M398">
        <v>94.16</v>
      </c>
      <c r="N398">
        <v>85.63</v>
      </c>
      <c r="O398">
        <v>8.5299999999999994</v>
      </c>
      <c r="P398" s="21">
        <v>6028.0823802000004</v>
      </c>
    </row>
    <row r="399" spans="7:16" x14ac:dyDescent="0.15">
      <c r="G399" s="11">
        <v>398</v>
      </c>
      <c r="H399" s="10" t="s">
        <v>1667</v>
      </c>
      <c r="I399" t="s">
        <v>1668</v>
      </c>
      <c r="J399" t="s">
        <v>1688</v>
      </c>
      <c r="K399">
        <v>1.28</v>
      </c>
      <c r="L399" s="20">
        <v>-0.22</v>
      </c>
      <c r="M399">
        <v>93.889999999999986</v>
      </c>
      <c r="N399">
        <v>18.07</v>
      </c>
      <c r="O399">
        <v>75.819999999999993</v>
      </c>
      <c r="P399" s="21">
        <v>2342.1858000000002</v>
      </c>
    </row>
    <row r="400" spans="7:16" x14ac:dyDescent="0.15">
      <c r="G400" s="11">
        <v>399</v>
      </c>
      <c r="H400" s="10" t="s">
        <v>748</v>
      </c>
      <c r="I400" t="s">
        <v>1140</v>
      </c>
      <c r="J400" t="s">
        <v>870</v>
      </c>
      <c r="K400">
        <v>3.53</v>
      </c>
      <c r="L400" s="20">
        <v>-0.13</v>
      </c>
      <c r="M400">
        <v>93.88000000000001</v>
      </c>
      <c r="N400">
        <v>28.59</v>
      </c>
      <c r="O400">
        <v>65.290000000000006</v>
      </c>
      <c r="P400" s="21">
        <v>7697.5695099999994</v>
      </c>
    </row>
    <row r="401" spans="7:16" x14ac:dyDescent="0.15">
      <c r="G401" s="11">
        <v>400</v>
      </c>
      <c r="H401" s="10" t="s">
        <v>677</v>
      </c>
      <c r="I401" t="s">
        <v>1012</v>
      </c>
      <c r="J401" t="s">
        <v>870</v>
      </c>
      <c r="K401">
        <v>12.54</v>
      </c>
      <c r="L401" s="20">
        <v>0.15</v>
      </c>
      <c r="M401">
        <v>93.74</v>
      </c>
      <c r="N401">
        <v>72.97</v>
      </c>
      <c r="O401">
        <v>20.77</v>
      </c>
      <c r="P401" s="21">
        <v>2382.7359000000001</v>
      </c>
    </row>
    <row r="402" spans="7:16" x14ac:dyDescent="0.15">
      <c r="G402" s="11">
        <v>401</v>
      </c>
      <c r="H402" s="10" t="s">
        <v>1661</v>
      </c>
      <c r="I402" t="s">
        <v>1662</v>
      </c>
      <c r="J402" t="s">
        <v>1688</v>
      </c>
      <c r="K402">
        <v>15.32</v>
      </c>
      <c r="L402" s="20">
        <v>0.28999999999999998</v>
      </c>
      <c r="M402">
        <v>93.74</v>
      </c>
      <c r="N402">
        <v>82.08</v>
      </c>
      <c r="O402">
        <v>11.66</v>
      </c>
      <c r="P402" s="21">
        <v>666.52269999999999</v>
      </c>
    </row>
    <row r="403" spans="7:16" x14ac:dyDescent="0.15">
      <c r="G403" s="11">
        <v>402</v>
      </c>
      <c r="H403" s="10" t="s">
        <v>523</v>
      </c>
      <c r="I403" t="s">
        <v>1053</v>
      </c>
      <c r="J403" t="s">
        <v>870</v>
      </c>
      <c r="K403">
        <v>11.64</v>
      </c>
      <c r="L403" s="20">
        <v>0.14000000000000001</v>
      </c>
      <c r="M403">
        <v>93.6</v>
      </c>
      <c r="N403">
        <v>71.69</v>
      </c>
      <c r="O403">
        <v>21.91</v>
      </c>
      <c r="P403" s="21">
        <v>2261.7584999999999</v>
      </c>
    </row>
    <row r="404" spans="7:16" x14ac:dyDescent="0.15">
      <c r="G404" s="11">
        <v>403</v>
      </c>
      <c r="H404" s="10" t="s">
        <v>697</v>
      </c>
      <c r="I404" t="s">
        <v>1052</v>
      </c>
      <c r="J404" t="s">
        <v>870</v>
      </c>
      <c r="K404">
        <v>3.54</v>
      </c>
      <c r="L404" s="20">
        <v>-0.13</v>
      </c>
      <c r="M404">
        <v>93.31</v>
      </c>
      <c r="N404">
        <v>28.73</v>
      </c>
      <c r="O404">
        <v>64.58</v>
      </c>
      <c r="P404" s="21">
        <v>1360.18</v>
      </c>
    </row>
    <row r="405" spans="7:16" x14ac:dyDescent="0.15">
      <c r="G405" s="11">
        <v>404</v>
      </c>
      <c r="H405" s="10" t="s">
        <v>466</v>
      </c>
      <c r="I405" t="s">
        <v>1075</v>
      </c>
      <c r="J405" t="s">
        <v>870</v>
      </c>
      <c r="K405">
        <v>15.37</v>
      </c>
      <c r="L405" s="20">
        <v>0.35</v>
      </c>
      <c r="M405">
        <v>93.17</v>
      </c>
      <c r="N405">
        <v>82.36</v>
      </c>
      <c r="O405">
        <v>10.81</v>
      </c>
      <c r="P405" s="21">
        <v>3379.3941500000001</v>
      </c>
    </row>
    <row r="406" spans="7:16" x14ac:dyDescent="0.15">
      <c r="G406" s="11">
        <v>405</v>
      </c>
      <c r="H406" s="10" t="s">
        <v>644</v>
      </c>
      <c r="I406" t="s">
        <v>1143</v>
      </c>
      <c r="J406" t="s">
        <v>870</v>
      </c>
      <c r="K406">
        <v>6.69</v>
      </c>
      <c r="L406" s="20">
        <v>0</v>
      </c>
      <c r="M406">
        <v>93.03</v>
      </c>
      <c r="N406">
        <v>42.67</v>
      </c>
      <c r="O406">
        <v>50.36</v>
      </c>
      <c r="P406" s="21">
        <v>17117.121599999999</v>
      </c>
    </row>
    <row r="407" spans="7:16" x14ac:dyDescent="0.15">
      <c r="G407" s="11">
        <v>406</v>
      </c>
      <c r="H407" s="10" t="s">
        <v>561</v>
      </c>
      <c r="I407" t="s">
        <v>956</v>
      </c>
      <c r="J407" t="s">
        <v>870</v>
      </c>
      <c r="K407">
        <v>9.4700000000000006</v>
      </c>
      <c r="L407" s="20">
        <v>0</v>
      </c>
      <c r="M407">
        <v>93.03</v>
      </c>
      <c r="N407">
        <v>59.46</v>
      </c>
      <c r="O407">
        <v>33.57</v>
      </c>
      <c r="P407" s="21">
        <v>1234.0699</v>
      </c>
    </row>
    <row r="408" spans="7:16" x14ac:dyDescent="0.15">
      <c r="G408" s="11">
        <v>407</v>
      </c>
      <c r="H408" s="10" t="s">
        <v>361</v>
      </c>
      <c r="I408" t="s">
        <v>918</v>
      </c>
      <c r="J408" t="s">
        <v>870</v>
      </c>
      <c r="K408">
        <v>1.96</v>
      </c>
      <c r="L408" s="20">
        <v>-0.16</v>
      </c>
      <c r="M408">
        <v>92.89</v>
      </c>
      <c r="N408">
        <v>22.05</v>
      </c>
      <c r="O408">
        <v>70.84</v>
      </c>
      <c r="P408" s="21">
        <v>290.43419999999998</v>
      </c>
    </row>
    <row r="409" spans="7:16" x14ac:dyDescent="0.15">
      <c r="G409" s="11">
        <v>408</v>
      </c>
      <c r="H409" s="10" t="s">
        <v>1558</v>
      </c>
      <c r="I409" t="s">
        <v>1559</v>
      </c>
      <c r="J409" t="s">
        <v>1688</v>
      </c>
      <c r="K409">
        <v>6.68</v>
      </c>
      <c r="L409" s="20">
        <v>0</v>
      </c>
      <c r="M409">
        <v>92.89</v>
      </c>
      <c r="N409">
        <v>42.39</v>
      </c>
      <c r="O409">
        <v>50.5</v>
      </c>
      <c r="P409" s="21">
        <v>163.47013799999999</v>
      </c>
    </row>
    <row r="410" spans="7:16" x14ac:dyDescent="0.15">
      <c r="G410" s="11">
        <v>409</v>
      </c>
      <c r="H410" s="10" t="s">
        <v>1474</v>
      </c>
      <c r="I410" t="s">
        <v>1475</v>
      </c>
      <c r="J410" t="s">
        <v>1688</v>
      </c>
      <c r="K410">
        <v>14.98</v>
      </c>
      <c r="L410" s="20">
        <v>0.28999999999999998</v>
      </c>
      <c r="M410">
        <v>92.46</v>
      </c>
      <c r="N410">
        <v>80.94</v>
      </c>
      <c r="O410">
        <v>11.52</v>
      </c>
      <c r="P410" s="21">
        <v>189.48296999999999</v>
      </c>
    </row>
    <row r="411" spans="7:16" x14ac:dyDescent="0.15">
      <c r="G411" s="11">
        <v>410</v>
      </c>
      <c r="H411" s="10" t="s">
        <v>1482</v>
      </c>
      <c r="I411" t="s">
        <v>1483</v>
      </c>
      <c r="J411" t="s">
        <v>1688</v>
      </c>
      <c r="K411">
        <v>13.24</v>
      </c>
      <c r="L411" s="20">
        <v>0.2</v>
      </c>
      <c r="M411">
        <v>92.32</v>
      </c>
      <c r="N411">
        <v>76.099999999999994</v>
      </c>
      <c r="O411">
        <v>16.22</v>
      </c>
      <c r="P411" s="21">
        <v>29.912299999999998</v>
      </c>
    </row>
    <row r="412" spans="7:16" x14ac:dyDescent="0.15">
      <c r="G412" s="11">
        <v>411</v>
      </c>
      <c r="H412" s="10" t="s">
        <v>502</v>
      </c>
      <c r="I412" t="s">
        <v>1206</v>
      </c>
      <c r="J412" t="s">
        <v>1198</v>
      </c>
      <c r="K412">
        <v>-12.97</v>
      </c>
      <c r="L412" s="20">
        <v>-0.59</v>
      </c>
      <c r="M412">
        <v>92.17</v>
      </c>
      <c r="N412">
        <v>0.14000000000000001</v>
      </c>
      <c r="O412">
        <v>92.03</v>
      </c>
      <c r="P412" s="21">
        <v>88.538089999999997</v>
      </c>
    </row>
    <row r="413" spans="7:16" x14ac:dyDescent="0.15">
      <c r="G413" s="11">
        <v>412</v>
      </c>
      <c r="H413" s="10" t="s">
        <v>1321</v>
      </c>
      <c r="I413" t="s">
        <v>1322</v>
      </c>
      <c r="J413" t="s">
        <v>1688</v>
      </c>
      <c r="K413">
        <v>0</v>
      </c>
      <c r="L413" s="20">
        <v>-0.31</v>
      </c>
      <c r="M413">
        <v>91.889999999999986</v>
      </c>
      <c r="N413">
        <v>8.82</v>
      </c>
      <c r="O413">
        <v>83.07</v>
      </c>
      <c r="P413" s="21">
        <v>18565.7736</v>
      </c>
    </row>
    <row r="414" spans="7:16" x14ac:dyDescent="0.15">
      <c r="G414" s="11">
        <v>413</v>
      </c>
      <c r="H414" s="10" t="s">
        <v>717</v>
      </c>
      <c r="I414" t="s">
        <v>1005</v>
      </c>
      <c r="J414" t="s">
        <v>870</v>
      </c>
      <c r="K414">
        <v>5.86</v>
      </c>
      <c r="L414" s="20">
        <v>-7.0000000000000007E-2</v>
      </c>
      <c r="M414">
        <v>91.889999999999986</v>
      </c>
      <c r="N414">
        <v>37.409999999999997</v>
      </c>
      <c r="O414">
        <v>54.48</v>
      </c>
      <c r="P414" s="21">
        <v>2012.4784</v>
      </c>
    </row>
    <row r="415" spans="7:16" x14ac:dyDescent="0.15">
      <c r="G415" s="11">
        <v>414</v>
      </c>
      <c r="H415" s="10" t="s">
        <v>1358</v>
      </c>
      <c r="I415" t="s">
        <v>1359</v>
      </c>
      <c r="J415" t="s">
        <v>1688</v>
      </c>
      <c r="K415">
        <v>6.53</v>
      </c>
      <c r="L415" s="20">
        <v>0</v>
      </c>
      <c r="M415">
        <v>91.61</v>
      </c>
      <c r="N415">
        <v>40.83</v>
      </c>
      <c r="O415">
        <v>50.78</v>
      </c>
      <c r="P415" s="21">
        <v>415.72415599999999</v>
      </c>
    </row>
    <row r="416" spans="7:16" x14ac:dyDescent="0.15">
      <c r="G416" s="11">
        <v>415</v>
      </c>
      <c r="H416" s="10" t="s">
        <v>411</v>
      </c>
      <c r="I416" t="s">
        <v>952</v>
      </c>
      <c r="J416" t="s">
        <v>870</v>
      </c>
      <c r="K416">
        <v>8.06</v>
      </c>
      <c r="L416" s="20">
        <v>0</v>
      </c>
      <c r="M416">
        <v>91.32</v>
      </c>
      <c r="N416">
        <v>52.49</v>
      </c>
      <c r="O416">
        <v>38.83</v>
      </c>
      <c r="P416" s="21">
        <v>356.3216468</v>
      </c>
    </row>
    <row r="417" spans="7:16" x14ac:dyDescent="0.15">
      <c r="G417" s="11">
        <v>416</v>
      </c>
      <c r="H417" s="10" t="s">
        <v>742</v>
      </c>
      <c r="I417" t="s">
        <v>1312</v>
      </c>
      <c r="J417" t="s">
        <v>1288</v>
      </c>
      <c r="K417">
        <v>6.45</v>
      </c>
      <c r="L417" s="20">
        <v>0</v>
      </c>
      <c r="M417">
        <v>91.32</v>
      </c>
      <c r="N417">
        <v>40.68</v>
      </c>
      <c r="O417">
        <v>50.64</v>
      </c>
      <c r="P417" s="21">
        <v>79402.290707399996</v>
      </c>
    </row>
    <row r="418" spans="7:16" x14ac:dyDescent="0.15">
      <c r="G418" s="11">
        <v>417</v>
      </c>
      <c r="H418" s="10" t="s">
        <v>1645</v>
      </c>
      <c r="I418" t="s">
        <v>1646</v>
      </c>
      <c r="J418" t="s">
        <v>1688</v>
      </c>
      <c r="K418">
        <v>3.16</v>
      </c>
      <c r="L418" s="20">
        <v>-0.13</v>
      </c>
      <c r="M418">
        <v>91.179999999999993</v>
      </c>
      <c r="N418">
        <v>26.74</v>
      </c>
      <c r="O418">
        <v>64.44</v>
      </c>
      <c r="P418" s="21">
        <v>2080.6765</v>
      </c>
    </row>
    <row r="419" spans="7:16" x14ac:dyDescent="0.15">
      <c r="G419" s="11">
        <v>418</v>
      </c>
      <c r="H419" s="10" t="s">
        <v>698</v>
      </c>
      <c r="I419" t="s">
        <v>971</v>
      </c>
      <c r="J419" t="s">
        <v>870</v>
      </c>
      <c r="K419">
        <v>3.52</v>
      </c>
      <c r="L419" s="20">
        <v>-0.12</v>
      </c>
      <c r="M419">
        <v>90.9</v>
      </c>
      <c r="N419">
        <v>28.31</v>
      </c>
      <c r="O419">
        <v>62.59</v>
      </c>
      <c r="P419" s="21">
        <v>278.02879999999999</v>
      </c>
    </row>
    <row r="420" spans="7:16" x14ac:dyDescent="0.15">
      <c r="G420" s="11">
        <v>419</v>
      </c>
      <c r="H420" s="10" t="s">
        <v>660</v>
      </c>
      <c r="I420" t="s">
        <v>1152</v>
      </c>
      <c r="J420" t="s">
        <v>870</v>
      </c>
      <c r="K420">
        <v>5.91</v>
      </c>
      <c r="L420" s="20">
        <v>-0.05</v>
      </c>
      <c r="M420">
        <v>90.9</v>
      </c>
      <c r="N420">
        <v>38.549999999999997</v>
      </c>
      <c r="O420">
        <v>52.35</v>
      </c>
      <c r="P420" s="21">
        <v>15290.380800000001</v>
      </c>
    </row>
    <row r="421" spans="7:16" x14ac:dyDescent="0.15">
      <c r="G421" s="11">
        <v>420</v>
      </c>
      <c r="H421" s="10" t="s">
        <v>468</v>
      </c>
      <c r="I421" t="s">
        <v>1177</v>
      </c>
      <c r="J421" t="s">
        <v>870</v>
      </c>
      <c r="K421">
        <v>8.7799999999999994</v>
      </c>
      <c r="L421" s="20">
        <v>0</v>
      </c>
      <c r="M421">
        <v>90.89</v>
      </c>
      <c r="N421">
        <v>56.47</v>
      </c>
      <c r="O421">
        <v>34.42</v>
      </c>
      <c r="P421" s="21">
        <v>76614.816649699991</v>
      </c>
    </row>
    <row r="422" spans="7:16" x14ac:dyDescent="0.15">
      <c r="G422" s="11">
        <v>421</v>
      </c>
      <c r="H422" s="10" t="s">
        <v>1516</v>
      </c>
      <c r="I422" t="s">
        <v>1517</v>
      </c>
      <c r="J422" t="s">
        <v>1688</v>
      </c>
      <c r="K422">
        <v>9.2899999999999991</v>
      </c>
      <c r="L422" s="20">
        <v>0</v>
      </c>
      <c r="M422">
        <v>90.89</v>
      </c>
      <c r="N422">
        <v>58.32</v>
      </c>
      <c r="O422">
        <v>32.57</v>
      </c>
      <c r="P422" s="21">
        <v>842.85119999999995</v>
      </c>
    </row>
    <row r="423" spans="7:16" x14ac:dyDescent="0.15">
      <c r="G423" s="11">
        <v>422</v>
      </c>
      <c r="H423" s="10" t="s">
        <v>1323</v>
      </c>
      <c r="I423" t="s">
        <v>1324</v>
      </c>
      <c r="J423" t="s">
        <v>1688</v>
      </c>
      <c r="K423">
        <v>0</v>
      </c>
      <c r="L423" s="20">
        <v>-0.31</v>
      </c>
      <c r="M423">
        <v>90.89</v>
      </c>
      <c r="N423">
        <v>8.39</v>
      </c>
      <c r="O423">
        <v>82.5</v>
      </c>
      <c r="P423" s="21">
        <v>25698.969799999999</v>
      </c>
    </row>
    <row r="424" spans="7:16" x14ac:dyDescent="0.15">
      <c r="G424" s="11">
        <v>423</v>
      </c>
      <c r="H424" s="10" t="s">
        <v>659</v>
      </c>
      <c r="I424" t="s">
        <v>259</v>
      </c>
      <c r="J424" t="s">
        <v>1242</v>
      </c>
      <c r="K424">
        <v>18.05</v>
      </c>
      <c r="L424" s="20">
        <v>1.32</v>
      </c>
      <c r="M424">
        <v>90.76</v>
      </c>
      <c r="N424">
        <v>85.78</v>
      </c>
      <c r="O424">
        <v>4.9800000000000004</v>
      </c>
      <c r="P424" s="21">
        <v>96.445976899999991</v>
      </c>
    </row>
    <row r="425" spans="7:16" x14ac:dyDescent="0.15">
      <c r="G425" s="11">
        <v>424</v>
      </c>
      <c r="H425" s="10" t="s">
        <v>654</v>
      </c>
      <c r="I425" t="s">
        <v>1108</v>
      </c>
      <c r="J425" t="s">
        <v>870</v>
      </c>
      <c r="K425">
        <v>0.3</v>
      </c>
      <c r="L425" s="20">
        <v>-0.25</v>
      </c>
      <c r="M425">
        <v>90.61</v>
      </c>
      <c r="N425">
        <v>12.8</v>
      </c>
      <c r="O425">
        <v>77.81</v>
      </c>
      <c r="P425" s="21">
        <v>6013.0814</v>
      </c>
    </row>
    <row r="426" spans="7:16" x14ac:dyDescent="0.15">
      <c r="G426" s="11">
        <v>425</v>
      </c>
      <c r="H426" s="10" t="s">
        <v>1588</v>
      </c>
      <c r="I426" t="s">
        <v>1589</v>
      </c>
      <c r="J426" t="s">
        <v>1688</v>
      </c>
      <c r="K426">
        <v>-0.08</v>
      </c>
      <c r="L426" s="20">
        <v>-0.31</v>
      </c>
      <c r="M426">
        <v>90.47</v>
      </c>
      <c r="N426">
        <v>8.11</v>
      </c>
      <c r="O426">
        <v>82.36</v>
      </c>
      <c r="P426" s="21">
        <v>965.01579590000006</v>
      </c>
    </row>
    <row r="427" spans="7:16" x14ac:dyDescent="0.15">
      <c r="G427" s="11">
        <v>426</v>
      </c>
      <c r="H427" s="10" t="s">
        <v>752</v>
      </c>
      <c r="I427" t="s">
        <v>1076</v>
      </c>
      <c r="J427" t="s">
        <v>870</v>
      </c>
      <c r="K427">
        <v>3.41</v>
      </c>
      <c r="L427" s="20">
        <v>-0.12</v>
      </c>
      <c r="M427">
        <v>90.33</v>
      </c>
      <c r="N427">
        <v>27.6</v>
      </c>
      <c r="O427">
        <v>62.73</v>
      </c>
      <c r="P427" s="21">
        <v>2215.5097700000001</v>
      </c>
    </row>
    <row r="428" spans="7:16" x14ac:dyDescent="0.15">
      <c r="G428" s="11">
        <v>427</v>
      </c>
      <c r="H428" s="10" t="s">
        <v>543</v>
      </c>
      <c r="I428" t="s">
        <v>1160</v>
      </c>
      <c r="J428" t="s">
        <v>870</v>
      </c>
      <c r="K428">
        <v>14.53</v>
      </c>
      <c r="L428" s="20">
        <v>0.39</v>
      </c>
      <c r="M428">
        <v>90.19</v>
      </c>
      <c r="N428">
        <v>80.09</v>
      </c>
      <c r="O428">
        <v>10.1</v>
      </c>
      <c r="P428" s="21">
        <v>33782.241699999999</v>
      </c>
    </row>
    <row r="429" spans="7:16" x14ac:dyDescent="0.15">
      <c r="G429" s="11">
        <v>428</v>
      </c>
      <c r="H429" s="10" t="s">
        <v>1544</v>
      </c>
      <c r="I429" t="s">
        <v>1545</v>
      </c>
      <c r="J429" t="s">
        <v>1688</v>
      </c>
      <c r="K429">
        <v>9.1300000000000008</v>
      </c>
      <c r="L429" s="20">
        <v>0</v>
      </c>
      <c r="M429">
        <v>90.18</v>
      </c>
      <c r="N429">
        <v>57.18</v>
      </c>
      <c r="O429">
        <v>33</v>
      </c>
      <c r="P429" s="21">
        <v>1738.6271199999999</v>
      </c>
    </row>
    <row r="430" spans="7:16" x14ac:dyDescent="0.15">
      <c r="G430" s="11">
        <v>429</v>
      </c>
      <c r="H430" s="10" t="s">
        <v>738</v>
      </c>
      <c r="I430" t="s">
        <v>1076</v>
      </c>
      <c r="J430" t="s">
        <v>870</v>
      </c>
      <c r="K430">
        <v>3.51</v>
      </c>
      <c r="L430" s="20">
        <v>-0.12</v>
      </c>
      <c r="M430">
        <v>89.91</v>
      </c>
      <c r="N430">
        <v>28.17</v>
      </c>
      <c r="O430">
        <v>61.74</v>
      </c>
      <c r="P430" s="21">
        <v>62624.282800000001</v>
      </c>
    </row>
    <row r="431" spans="7:16" x14ac:dyDescent="0.15">
      <c r="G431" s="11">
        <v>430</v>
      </c>
      <c r="H431" s="10" t="s">
        <v>550</v>
      </c>
      <c r="I431" t="s">
        <v>1060</v>
      </c>
      <c r="J431" t="s">
        <v>870</v>
      </c>
      <c r="K431">
        <v>0.46</v>
      </c>
      <c r="L431" s="20">
        <v>-0.21</v>
      </c>
      <c r="M431">
        <v>89.75</v>
      </c>
      <c r="N431">
        <v>14.22</v>
      </c>
      <c r="O431">
        <v>75.53</v>
      </c>
      <c r="P431" s="21">
        <v>1503.3025</v>
      </c>
    </row>
    <row r="432" spans="7:16" x14ac:dyDescent="0.15">
      <c r="G432" s="11">
        <v>431</v>
      </c>
      <c r="H432" s="10" t="s">
        <v>1594</v>
      </c>
      <c r="I432" t="s">
        <v>1595</v>
      </c>
      <c r="J432" t="s">
        <v>1688</v>
      </c>
      <c r="K432">
        <v>10.37</v>
      </c>
      <c r="L432" s="20">
        <v>0.13</v>
      </c>
      <c r="M432">
        <v>89.62</v>
      </c>
      <c r="N432">
        <v>65.58</v>
      </c>
      <c r="O432">
        <v>24.04</v>
      </c>
      <c r="P432" s="21">
        <v>3999.1794</v>
      </c>
    </row>
    <row r="433" spans="7:16" x14ac:dyDescent="0.15">
      <c r="G433" s="11">
        <v>432</v>
      </c>
      <c r="H433" s="10" t="s">
        <v>648</v>
      </c>
      <c r="I433" t="s">
        <v>1165</v>
      </c>
      <c r="J433" t="s">
        <v>870</v>
      </c>
      <c r="K433">
        <v>5.55</v>
      </c>
      <c r="L433" s="20">
        <v>-7.0000000000000007E-2</v>
      </c>
      <c r="M433">
        <v>89.47</v>
      </c>
      <c r="N433">
        <v>35.42</v>
      </c>
      <c r="O433">
        <v>54.05</v>
      </c>
      <c r="P433" s="21">
        <v>55567.024172000005</v>
      </c>
    </row>
    <row r="434" spans="7:16" x14ac:dyDescent="0.15">
      <c r="G434" s="11">
        <v>433</v>
      </c>
      <c r="H434" s="10" t="s">
        <v>422</v>
      </c>
      <c r="I434" t="s">
        <v>1019</v>
      </c>
      <c r="J434" t="s">
        <v>870</v>
      </c>
      <c r="K434">
        <v>5.53</v>
      </c>
      <c r="L434" s="20">
        <v>-7.0000000000000007E-2</v>
      </c>
      <c r="M434">
        <v>89.050000000000011</v>
      </c>
      <c r="N434">
        <v>35.28</v>
      </c>
      <c r="O434">
        <v>53.77</v>
      </c>
      <c r="P434" s="21">
        <v>1883.1561999999999</v>
      </c>
    </row>
    <row r="435" spans="7:16" x14ac:dyDescent="0.15">
      <c r="G435" s="11">
        <v>434</v>
      </c>
      <c r="H435" s="10" t="s">
        <v>417</v>
      </c>
      <c r="I435" t="s">
        <v>985</v>
      </c>
      <c r="J435" t="s">
        <v>870</v>
      </c>
      <c r="K435">
        <v>3.93</v>
      </c>
      <c r="L435" s="20">
        <v>-0.1</v>
      </c>
      <c r="M435">
        <v>89.039999999999992</v>
      </c>
      <c r="N435">
        <v>30.58</v>
      </c>
      <c r="O435">
        <v>58.46</v>
      </c>
      <c r="P435" s="21">
        <v>32200.406200000001</v>
      </c>
    </row>
    <row r="436" spans="7:16" x14ac:dyDescent="0.15">
      <c r="G436" s="11">
        <v>435</v>
      </c>
      <c r="H436" s="10" t="s">
        <v>1496</v>
      </c>
      <c r="I436" t="s">
        <v>1497</v>
      </c>
      <c r="J436" t="s">
        <v>1688</v>
      </c>
      <c r="K436">
        <v>2.37</v>
      </c>
      <c r="L436" s="20">
        <v>-0.13</v>
      </c>
      <c r="M436">
        <v>88.91</v>
      </c>
      <c r="N436">
        <v>23.9</v>
      </c>
      <c r="O436">
        <v>65.010000000000005</v>
      </c>
      <c r="P436" s="21">
        <v>227.71134849999999</v>
      </c>
    </row>
    <row r="437" spans="7:16" x14ac:dyDescent="0.15">
      <c r="G437" s="11">
        <v>436</v>
      </c>
      <c r="H437" s="10" t="s">
        <v>287</v>
      </c>
      <c r="I437" t="s">
        <v>24</v>
      </c>
      <c r="J437" t="s">
        <v>1213</v>
      </c>
      <c r="K437">
        <v>16.899999999999999</v>
      </c>
      <c r="L437" s="20">
        <v>1.72</v>
      </c>
      <c r="M437">
        <v>88.77</v>
      </c>
      <c r="N437">
        <v>84.5</v>
      </c>
      <c r="O437">
        <v>4.2699999999999996</v>
      </c>
      <c r="P437" s="21">
        <v>88.99588</v>
      </c>
    </row>
    <row r="438" spans="7:16" x14ac:dyDescent="0.15">
      <c r="G438" s="11">
        <v>437</v>
      </c>
      <c r="H438" s="10" t="s">
        <v>378</v>
      </c>
      <c r="I438" t="s">
        <v>906</v>
      </c>
      <c r="J438" t="s">
        <v>870</v>
      </c>
      <c r="K438">
        <v>1.56</v>
      </c>
      <c r="L438" s="20">
        <v>-0.15</v>
      </c>
      <c r="M438">
        <v>88.759999999999991</v>
      </c>
      <c r="N438">
        <v>19.489999999999998</v>
      </c>
      <c r="O438">
        <v>69.27</v>
      </c>
      <c r="P438" s="21">
        <v>76.583770000000001</v>
      </c>
    </row>
    <row r="439" spans="7:16" x14ac:dyDescent="0.15">
      <c r="G439" s="11">
        <v>438</v>
      </c>
      <c r="H439" s="10" t="s">
        <v>1395</v>
      </c>
      <c r="I439" t="s">
        <v>1396</v>
      </c>
      <c r="J439" t="s">
        <v>1688</v>
      </c>
      <c r="K439">
        <v>14.46</v>
      </c>
      <c r="L439" s="20">
        <v>0.46</v>
      </c>
      <c r="M439">
        <v>88.48</v>
      </c>
      <c r="N439">
        <v>79.23</v>
      </c>
      <c r="O439">
        <v>9.25</v>
      </c>
      <c r="P439" s="21">
        <v>364.65980000000002</v>
      </c>
    </row>
    <row r="440" spans="7:16" x14ac:dyDescent="0.15">
      <c r="G440" s="11">
        <v>439</v>
      </c>
      <c r="H440" s="10" t="s">
        <v>621</v>
      </c>
      <c r="I440" t="s">
        <v>907</v>
      </c>
      <c r="J440" t="s">
        <v>870</v>
      </c>
      <c r="K440">
        <v>4.33</v>
      </c>
      <c r="L440" s="20">
        <v>-0.09</v>
      </c>
      <c r="M440">
        <v>88.47</v>
      </c>
      <c r="N440">
        <v>31.86</v>
      </c>
      <c r="O440">
        <v>56.61</v>
      </c>
      <c r="P440" s="21">
        <v>262.41059999999999</v>
      </c>
    </row>
    <row r="441" spans="7:16" x14ac:dyDescent="0.15">
      <c r="G441" s="11">
        <v>440</v>
      </c>
      <c r="H441" s="10" t="s">
        <v>700</v>
      </c>
      <c r="I441" t="s">
        <v>1181</v>
      </c>
      <c r="J441" t="s">
        <v>870</v>
      </c>
      <c r="K441">
        <v>5.1100000000000003</v>
      </c>
      <c r="L441" s="20">
        <v>-7.0000000000000007E-2</v>
      </c>
      <c r="M441">
        <v>88.33</v>
      </c>
      <c r="N441">
        <v>34.42</v>
      </c>
      <c r="O441">
        <v>53.91</v>
      </c>
      <c r="P441" s="21">
        <v>222853.75810000001</v>
      </c>
    </row>
    <row r="442" spans="7:16" x14ac:dyDescent="0.15">
      <c r="G442" s="11">
        <v>441</v>
      </c>
      <c r="H442" s="10" t="s">
        <v>580</v>
      </c>
      <c r="I442" t="s">
        <v>1040</v>
      </c>
      <c r="J442" t="s">
        <v>870</v>
      </c>
      <c r="K442">
        <v>8.49</v>
      </c>
      <c r="L442" s="20">
        <v>0</v>
      </c>
      <c r="M442">
        <v>88.19</v>
      </c>
      <c r="N442">
        <v>55.33</v>
      </c>
      <c r="O442">
        <v>32.86</v>
      </c>
      <c r="P442" s="21">
        <v>2640.84431</v>
      </c>
    </row>
    <row r="443" spans="7:16" x14ac:dyDescent="0.15">
      <c r="G443" s="11">
        <v>442</v>
      </c>
      <c r="H443" s="10" t="s">
        <v>1435</v>
      </c>
      <c r="I443" t="s">
        <v>1436</v>
      </c>
      <c r="J443" t="s">
        <v>1688</v>
      </c>
      <c r="K443">
        <v>6.72</v>
      </c>
      <c r="L443" s="20">
        <v>0</v>
      </c>
      <c r="M443">
        <v>88.050000000000011</v>
      </c>
      <c r="N443">
        <v>43.24</v>
      </c>
      <c r="O443">
        <v>44.81</v>
      </c>
      <c r="P443" s="21">
        <v>181.66720000000001</v>
      </c>
    </row>
    <row r="444" spans="7:16" x14ac:dyDescent="0.15">
      <c r="G444" s="11">
        <v>443</v>
      </c>
      <c r="H444" s="10" t="s">
        <v>650</v>
      </c>
      <c r="I444" t="s">
        <v>910</v>
      </c>
      <c r="J444" t="s">
        <v>870</v>
      </c>
      <c r="K444">
        <v>0.19</v>
      </c>
      <c r="L444" s="20">
        <v>-0.22</v>
      </c>
      <c r="M444">
        <v>87.91</v>
      </c>
      <c r="N444">
        <v>11.95</v>
      </c>
      <c r="O444">
        <v>75.959999999999994</v>
      </c>
      <c r="P444" s="21">
        <v>142.66726</v>
      </c>
    </row>
    <row r="445" spans="7:16" x14ac:dyDescent="0.15">
      <c r="G445" s="11">
        <v>444</v>
      </c>
      <c r="H445" s="10" t="s">
        <v>662</v>
      </c>
      <c r="I445" t="s">
        <v>1122</v>
      </c>
      <c r="J445" t="s">
        <v>870</v>
      </c>
      <c r="K445">
        <v>3.52</v>
      </c>
      <c r="L445" s="20">
        <v>-0.11</v>
      </c>
      <c r="M445">
        <v>87.91</v>
      </c>
      <c r="N445">
        <v>28.45</v>
      </c>
      <c r="O445">
        <v>59.46</v>
      </c>
      <c r="P445" s="21">
        <v>6558.9549999999999</v>
      </c>
    </row>
    <row r="446" spans="7:16" x14ac:dyDescent="0.15">
      <c r="G446" s="11">
        <v>445</v>
      </c>
      <c r="H446" s="10" t="s">
        <v>1469</v>
      </c>
      <c r="I446" t="s">
        <v>1470</v>
      </c>
      <c r="J446" t="s">
        <v>1688</v>
      </c>
      <c r="K446">
        <v>3.12</v>
      </c>
      <c r="L446" s="20">
        <v>-0.12</v>
      </c>
      <c r="M446">
        <v>87.91</v>
      </c>
      <c r="N446">
        <v>26.32</v>
      </c>
      <c r="O446">
        <v>61.59</v>
      </c>
      <c r="P446" s="21">
        <v>660.43179999999995</v>
      </c>
    </row>
    <row r="447" spans="7:16" x14ac:dyDescent="0.15">
      <c r="G447" s="11">
        <v>446</v>
      </c>
      <c r="H447" s="10" t="s">
        <v>736</v>
      </c>
      <c r="I447" t="s">
        <v>1300</v>
      </c>
      <c r="J447" t="s">
        <v>1288</v>
      </c>
      <c r="K447">
        <v>3.54</v>
      </c>
      <c r="L447" s="20">
        <v>-0.1</v>
      </c>
      <c r="M447">
        <v>87.77</v>
      </c>
      <c r="N447">
        <v>28.88</v>
      </c>
      <c r="O447">
        <v>58.89</v>
      </c>
      <c r="P447" s="21">
        <v>606.6653</v>
      </c>
    </row>
    <row r="448" spans="7:16" x14ac:dyDescent="0.15">
      <c r="G448" s="11">
        <v>447</v>
      </c>
      <c r="H448" s="10" t="s">
        <v>359</v>
      </c>
      <c r="I448" t="s">
        <v>1217</v>
      </c>
      <c r="J448" t="s">
        <v>1213</v>
      </c>
      <c r="K448">
        <v>15.34</v>
      </c>
      <c r="L448" s="20">
        <v>1.3</v>
      </c>
      <c r="M448">
        <v>87.48</v>
      </c>
      <c r="N448">
        <v>82.22</v>
      </c>
      <c r="O448">
        <v>5.26</v>
      </c>
      <c r="P448" s="21">
        <v>160.53969219999999</v>
      </c>
    </row>
    <row r="449" spans="7:16" x14ac:dyDescent="0.15">
      <c r="G449" s="11">
        <v>448</v>
      </c>
      <c r="H449" s="10" t="s">
        <v>713</v>
      </c>
      <c r="I449" t="s">
        <v>1169</v>
      </c>
      <c r="J449" t="s">
        <v>870</v>
      </c>
      <c r="K449">
        <v>5.0199999999999996</v>
      </c>
      <c r="L449" s="20">
        <v>-0.05</v>
      </c>
      <c r="M449">
        <v>86.77000000000001</v>
      </c>
      <c r="N449">
        <v>33.71</v>
      </c>
      <c r="O449">
        <v>53.06</v>
      </c>
      <c r="P449" s="21">
        <v>48243.076000000001</v>
      </c>
    </row>
    <row r="450" spans="7:16" x14ac:dyDescent="0.15">
      <c r="G450" s="11">
        <v>449</v>
      </c>
      <c r="H450" s="10" t="s">
        <v>1317</v>
      </c>
      <c r="I450" t="s">
        <v>1318</v>
      </c>
      <c r="J450" t="s">
        <v>870</v>
      </c>
      <c r="K450">
        <v>0.46</v>
      </c>
      <c r="L450" s="20">
        <v>-0.17</v>
      </c>
      <c r="M450">
        <v>86.350000000000009</v>
      </c>
      <c r="N450">
        <v>14.37</v>
      </c>
      <c r="O450">
        <v>71.98</v>
      </c>
      <c r="P450" s="21">
        <v>47.0901</v>
      </c>
    </row>
    <row r="451" spans="7:16" x14ac:dyDescent="0.15">
      <c r="G451" s="11">
        <v>450</v>
      </c>
      <c r="H451" s="10" t="s">
        <v>548</v>
      </c>
      <c r="I451" t="s">
        <v>1178</v>
      </c>
      <c r="J451" t="s">
        <v>870</v>
      </c>
      <c r="K451">
        <v>8.09</v>
      </c>
      <c r="L451" s="20">
        <v>0</v>
      </c>
      <c r="M451">
        <v>86.35</v>
      </c>
      <c r="N451">
        <v>52.92</v>
      </c>
      <c r="O451">
        <v>33.43</v>
      </c>
      <c r="P451" s="21">
        <v>105215.8839438</v>
      </c>
    </row>
    <row r="452" spans="7:16" x14ac:dyDescent="0.15">
      <c r="G452" s="11">
        <v>451</v>
      </c>
      <c r="H452" s="10" t="s">
        <v>505</v>
      </c>
      <c r="I452" t="s">
        <v>1013</v>
      </c>
      <c r="J452" t="s">
        <v>870</v>
      </c>
      <c r="K452">
        <v>12.84</v>
      </c>
      <c r="L452" s="20">
        <v>0.26</v>
      </c>
      <c r="M452">
        <v>86.21</v>
      </c>
      <c r="N452">
        <v>73.83</v>
      </c>
      <c r="O452">
        <v>12.38</v>
      </c>
      <c r="P452" s="21">
        <v>1589.9478999999999</v>
      </c>
    </row>
    <row r="453" spans="7:16" x14ac:dyDescent="0.15">
      <c r="G453" s="11">
        <v>452</v>
      </c>
      <c r="H453" s="10" t="s">
        <v>573</v>
      </c>
      <c r="I453" t="s">
        <v>931</v>
      </c>
      <c r="J453" t="s">
        <v>870</v>
      </c>
      <c r="K453">
        <v>6.65</v>
      </c>
      <c r="L453" s="20">
        <v>0</v>
      </c>
      <c r="M453">
        <v>86.2</v>
      </c>
      <c r="N453">
        <v>41.82</v>
      </c>
      <c r="O453">
        <v>44.38</v>
      </c>
      <c r="P453" s="21">
        <v>227.02412000000001</v>
      </c>
    </row>
    <row r="454" spans="7:16" x14ac:dyDescent="0.15">
      <c r="G454" s="11">
        <v>453</v>
      </c>
      <c r="H454" s="10" t="s">
        <v>629</v>
      </c>
      <c r="I454" t="s">
        <v>1047</v>
      </c>
      <c r="J454" t="s">
        <v>870</v>
      </c>
      <c r="K454">
        <v>1.7</v>
      </c>
      <c r="L454" s="20">
        <v>-0.13</v>
      </c>
      <c r="M454">
        <v>85.77000000000001</v>
      </c>
      <c r="N454">
        <v>20.34</v>
      </c>
      <c r="O454">
        <v>65.430000000000007</v>
      </c>
      <c r="P454" s="21">
        <v>1934.9545000000001</v>
      </c>
    </row>
    <row r="455" spans="7:16" x14ac:dyDescent="0.15">
      <c r="G455" s="11">
        <v>454</v>
      </c>
      <c r="H455" s="10" t="s">
        <v>1550</v>
      </c>
      <c r="I455" t="s">
        <v>1551</v>
      </c>
      <c r="J455" t="s">
        <v>1688</v>
      </c>
      <c r="K455">
        <v>-1.66</v>
      </c>
      <c r="L455" s="20">
        <v>-0.31</v>
      </c>
      <c r="M455">
        <v>85.64</v>
      </c>
      <c r="N455">
        <v>3.56</v>
      </c>
      <c r="O455">
        <v>82.08</v>
      </c>
      <c r="P455" s="21">
        <v>693.56290000000001</v>
      </c>
    </row>
    <row r="456" spans="7:16" x14ac:dyDescent="0.15">
      <c r="G456" s="11">
        <v>455</v>
      </c>
      <c r="H456" s="10" t="s">
        <v>544</v>
      </c>
      <c r="I456" t="s">
        <v>928</v>
      </c>
      <c r="J456" t="s">
        <v>870</v>
      </c>
      <c r="K456">
        <v>7.72</v>
      </c>
      <c r="L456" s="20">
        <v>0</v>
      </c>
      <c r="M456">
        <v>85.35</v>
      </c>
      <c r="N456">
        <v>50.07</v>
      </c>
      <c r="O456">
        <v>35.28</v>
      </c>
      <c r="P456" s="21">
        <v>186.27237</v>
      </c>
    </row>
    <row r="457" spans="7:16" x14ac:dyDescent="0.15">
      <c r="G457" s="11">
        <v>456</v>
      </c>
      <c r="H457" s="10" t="s">
        <v>1612</v>
      </c>
      <c r="I457" t="s">
        <v>1613</v>
      </c>
      <c r="J457" t="s">
        <v>1688</v>
      </c>
      <c r="K457">
        <v>6.08</v>
      </c>
      <c r="L457" s="20">
        <v>0</v>
      </c>
      <c r="M457">
        <v>85.35</v>
      </c>
      <c r="N457">
        <v>39.4</v>
      </c>
      <c r="O457">
        <v>45.95</v>
      </c>
      <c r="P457" s="21">
        <v>764.93539999999996</v>
      </c>
    </row>
    <row r="458" spans="7:16" x14ac:dyDescent="0.15">
      <c r="G458" s="11">
        <v>457</v>
      </c>
      <c r="H458" s="10" t="s">
        <v>377</v>
      </c>
      <c r="I458" t="s">
        <v>1155</v>
      </c>
      <c r="J458" t="s">
        <v>870</v>
      </c>
      <c r="K458">
        <v>10.37</v>
      </c>
      <c r="L458" s="20">
        <v>0.17</v>
      </c>
      <c r="M458">
        <v>85.210000000000008</v>
      </c>
      <c r="N458">
        <v>65.86</v>
      </c>
      <c r="O458">
        <v>19.350000000000001</v>
      </c>
      <c r="P458" s="21">
        <v>24454.481936299999</v>
      </c>
    </row>
    <row r="459" spans="7:16" x14ac:dyDescent="0.15">
      <c r="G459" s="11">
        <v>458</v>
      </c>
      <c r="H459" s="10" t="s">
        <v>302</v>
      </c>
      <c r="I459" t="s">
        <v>812</v>
      </c>
      <c r="J459" t="s">
        <v>870</v>
      </c>
      <c r="K459">
        <v>-4.54</v>
      </c>
      <c r="L459" s="20">
        <v>-0.31</v>
      </c>
      <c r="M459">
        <v>84.92</v>
      </c>
      <c r="N459">
        <v>1.99</v>
      </c>
      <c r="O459">
        <v>82.93</v>
      </c>
      <c r="P459" s="21">
        <v>7703.2407900000007</v>
      </c>
    </row>
    <row r="460" spans="7:16" x14ac:dyDescent="0.15">
      <c r="G460" s="11">
        <v>459</v>
      </c>
      <c r="H460" s="10" t="s">
        <v>773</v>
      </c>
      <c r="I460" t="s">
        <v>16</v>
      </c>
      <c r="J460" t="s">
        <v>1213</v>
      </c>
      <c r="K460">
        <v>15.27</v>
      </c>
      <c r="L460" s="20">
        <v>2.59</v>
      </c>
      <c r="M460">
        <v>84.77000000000001</v>
      </c>
      <c r="N460">
        <v>81.93</v>
      </c>
      <c r="O460">
        <v>2.84</v>
      </c>
      <c r="P460" s="21">
        <v>654.96239060000005</v>
      </c>
    </row>
    <row r="461" spans="7:16" x14ac:dyDescent="0.15">
      <c r="G461" s="11">
        <v>460</v>
      </c>
      <c r="H461" s="10" t="s">
        <v>685</v>
      </c>
      <c r="I461" t="s">
        <v>1071</v>
      </c>
      <c r="J461" t="s">
        <v>870</v>
      </c>
      <c r="K461">
        <v>3.18</v>
      </c>
      <c r="L461" s="20">
        <v>-0.09</v>
      </c>
      <c r="M461">
        <v>84.5</v>
      </c>
      <c r="N461">
        <v>27.03</v>
      </c>
      <c r="O461">
        <v>57.47</v>
      </c>
      <c r="P461" s="21">
        <v>1712.1638</v>
      </c>
    </row>
    <row r="462" spans="7:16" x14ac:dyDescent="0.15">
      <c r="G462" s="11">
        <v>461</v>
      </c>
      <c r="H462" t="s">
        <v>731</v>
      </c>
      <c r="I462" t="s">
        <v>1032</v>
      </c>
      <c r="J462" t="s">
        <v>870</v>
      </c>
      <c r="K462">
        <v>-1.61</v>
      </c>
      <c r="L462" s="20">
        <v>-0.27</v>
      </c>
      <c r="M462">
        <v>84.350000000000009</v>
      </c>
      <c r="N462">
        <v>3.84</v>
      </c>
      <c r="O462">
        <v>80.510000000000005</v>
      </c>
      <c r="P462" s="21">
        <v>1463.797</v>
      </c>
    </row>
    <row r="463" spans="7:16" x14ac:dyDescent="0.15">
      <c r="G463" s="11">
        <v>462</v>
      </c>
      <c r="H463" t="s">
        <v>1364</v>
      </c>
      <c r="I463" t="s">
        <v>1365</v>
      </c>
      <c r="J463" t="s">
        <v>1688</v>
      </c>
      <c r="K463">
        <v>0</v>
      </c>
      <c r="L463" s="20">
        <v>-0.21</v>
      </c>
      <c r="M463">
        <v>84.21</v>
      </c>
      <c r="N463">
        <v>9.1</v>
      </c>
      <c r="O463">
        <v>75.11</v>
      </c>
      <c r="P463" s="21">
        <v>896.43675040000005</v>
      </c>
    </row>
    <row r="464" spans="7:16" x14ac:dyDescent="0.15">
      <c r="G464" s="11">
        <v>463</v>
      </c>
      <c r="H464" t="s">
        <v>775</v>
      </c>
      <c r="I464" t="s">
        <v>1216</v>
      </c>
      <c r="J464" t="s">
        <v>1213</v>
      </c>
      <c r="K464">
        <v>14.99</v>
      </c>
      <c r="L464" s="20">
        <v>2.56</v>
      </c>
      <c r="M464">
        <v>84.07</v>
      </c>
      <c r="N464">
        <v>81.08</v>
      </c>
      <c r="O464">
        <v>2.99</v>
      </c>
      <c r="P464" s="21">
        <v>851.01138479999997</v>
      </c>
    </row>
    <row r="465" spans="7:16" x14ac:dyDescent="0.15">
      <c r="G465" s="11">
        <v>464</v>
      </c>
      <c r="H465" t="s">
        <v>519</v>
      </c>
      <c r="I465" t="s">
        <v>980</v>
      </c>
      <c r="J465" t="s">
        <v>870</v>
      </c>
      <c r="K465">
        <v>9.8800000000000008</v>
      </c>
      <c r="L465" s="20">
        <v>0.14000000000000001</v>
      </c>
      <c r="M465">
        <v>83.93</v>
      </c>
      <c r="N465">
        <v>61.88</v>
      </c>
      <c r="O465">
        <v>22.05</v>
      </c>
      <c r="P465" s="21">
        <v>759.14949999999999</v>
      </c>
    </row>
    <row r="466" spans="7:16" x14ac:dyDescent="0.15">
      <c r="G466" s="11">
        <v>465</v>
      </c>
      <c r="H466" t="s">
        <v>542</v>
      </c>
      <c r="I466" t="s">
        <v>1073</v>
      </c>
      <c r="J466" t="s">
        <v>870</v>
      </c>
      <c r="K466">
        <v>8.11</v>
      </c>
      <c r="L466" s="20">
        <v>0.04</v>
      </c>
      <c r="M466">
        <v>83.93</v>
      </c>
      <c r="N466">
        <v>53.2</v>
      </c>
      <c r="O466">
        <v>30.73</v>
      </c>
      <c r="P466" s="21">
        <v>2012.22667</v>
      </c>
    </row>
    <row r="467" spans="7:16" x14ac:dyDescent="0.15">
      <c r="G467" s="11">
        <v>466</v>
      </c>
      <c r="H467" t="s">
        <v>778</v>
      </c>
      <c r="I467" t="s">
        <v>1212</v>
      </c>
      <c r="J467" t="s">
        <v>1213</v>
      </c>
      <c r="K467">
        <v>15.06</v>
      </c>
      <c r="L467" s="20">
        <v>2.76</v>
      </c>
      <c r="M467">
        <v>83.79</v>
      </c>
      <c r="N467">
        <v>81.37</v>
      </c>
      <c r="O467">
        <v>2.42</v>
      </c>
      <c r="P467" s="21">
        <v>756.04449999999997</v>
      </c>
    </row>
    <row r="468" spans="7:16" x14ac:dyDescent="0.15">
      <c r="G468" s="11">
        <v>467</v>
      </c>
      <c r="H468" t="s">
        <v>535</v>
      </c>
      <c r="I468" t="s">
        <v>1011</v>
      </c>
      <c r="J468" t="s">
        <v>870</v>
      </c>
      <c r="K468">
        <v>6.65</v>
      </c>
      <c r="L468" s="20">
        <v>0</v>
      </c>
      <c r="M468">
        <v>83.78</v>
      </c>
      <c r="N468">
        <v>41.96</v>
      </c>
      <c r="O468">
        <v>41.82</v>
      </c>
      <c r="P468" s="21">
        <v>14907.917531600002</v>
      </c>
    </row>
    <row r="469" spans="7:16" x14ac:dyDescent="0.15">
      <c r="G469" s="11">
        <v>468</v>
      </c>
      <c r="H469" t="s">
        <v>1649</v>
      </c>
      <c r="I469" t="s">
        <v>1650</v>
      </c>
      <c r="J469" t="s">
        <v>1688</v>
      </c>
      <c r="K469">
        <v>15.01</v>
      </c>
      <c r="L469" s="20">
        <v>2.71</v>
      </c>
      <c r="M469">
        <v>83.78</v>
      </c>
      <c r="N469">
        <v>81.22</v>
      </c>
      <c r="O469">
        <v>2.56</v>
      </c>
      <c r="P469" s="21">
        <v>246.4008</v>
      </c>
    </row>
    <row r="470" spans="7:16" x14ac:dyDescent="0.15">
      <c r="G470" s="11">
        <v>469</v>
      </c>
      <c r="H470" t="s">
        <v>413</v>
      </c>
      <c r="I470" t="s">
        <v>1086</v>
      </c>
      <c r="J470" t="s">
        <v>870</v>
      </c>
      <c r="K470">
        <v>7.96</v>
      </c>
      <c r="L470" s="20">
        <v>0</v>
      </c>
      <c r="M470">
        <v>83.64</v>
      </c>
      <c r="N470">
        <v>50.92</v>
      </c>
      <c r="O470">
        <v>32.72</v>
      </c>
      <c r="P470" s="21">
        <v>3107.6767</v>
      </c>
    </row>
    <row r="471" spans="7:16" x14ac:dyDescent="0.15">
      <c r="G471" s="11">
        <v>470</v>
      </c>
      <c r="H471" t="s">
        <v>441</v>
      </c>
      <c r="I471" t="s">
        <v>1067</v>
      </c>
      <c r="J471" t="s">
        <v>870</v>
      </c>
      <c r="K471">
        <v>-0.13</v>
      </c>
      <c r="L471" s="20">
        <v>-0.22</v>
      </c>
      <c r="M471">
        <v>83.360000000000014</v>
      </c>
      <c r="N471">
        <v>7.68</v>
      </c>
      <c r="O471">
        <v>75.680000000000007</v>
      </c>
      <c r="P471" s="21">
        <v>38380.335099999997</v>
      </c>
    </row>
    <row r="472" spans="7:16" x14ac:dyDescent="0.15">
      <c r="G472" s="11">
        <v>471</v>
      </c>
      <c r="H472" t="s">
        <v>589</v>
      </c>
      <c r="I472" t="s">
        <v>1115</v>
      </c>
      <c r="J472" t="s">
        <v>870</v>
      </c>
      <c r="K472">
        <v>4.2699999999999996</v>
      </c>
      <c r="L472" s="20">
        <v>-0.03</v>
      </c>
      <c r="M472">
        <v>83.22</v>
      </c>
      <c r="N472">
        <v>31.44</v>
      </c>
      <c r="O472">
        <v>51.78</v>
      </c>
      <c r="P472" s="21">
        <v>8253.6144999999997</v>
      </c>
    </row>
    <row r="473" spans="7:16" x14ac:dyDescent="0.15">
      <c r="G473" s="11">
        <v>472</v>
      </c>
      <c r="H473" t="s">
        <v>398</v>
      </c>
      <c r="I473" t="s">
        <v>1088</v>
      </c>
      <c r="J473" t="s">
        <v>870</v>
      </c>
      <c r="K473">
        <v>10.210000000000001</v>
      </c>
      <c r="L473" s="20">
        <v>0.17</v>
      </c>
      <c r="M473">
        <v>83.21</v>
      </c>
      <c r="N473">
        <v>64.72</v>
      </c>
      <c r="O473">
        <v>18.489999999999998</v>
      </c>
      <c r="P473" s="21">
        <v>4178.4144999999999</v>
      </c>
    </row>
    <row r="474" spans="7:16" x14ac:dyDescent="0.15">
      <c r="G474" s="11">
        <v>473</v>
      </c>
      <c r="H474" t="s">
        <v>552</v>
      </c>
      <c r="I474" t="s">
        <v>903</v>
      </c>
      <c r="J474" t="s">
        <v>870</v>
      </c>
      <c r="K474">
        <v>10.95</v>
      </c>
      <c r="L474" s="20">
        <v>0.25</v>
      </c>
      <c r="M474">
        <v>83.07</v>
      </c>
      <c r="N474">
        <v>69.27</v>
      </c>
      <c r="O474">
        <v>13.8</v>
      </c>
      <c r="P474" s="21">
        <v>547.70609999999999</v>
      </c>
    </row>
    <row r="475" spans="7:16" x14ac:dyDescent="0.15">
      <c r="G475" s="11">
        <v>474</v>
      </c>
      <c r="H475" t="s">
        <v>653</v>
      </c>
      <c r="I475" t="s">
        <v>961</v>
      </c>
      <c r="J475" t="s">
        <v>870</v>
      </c>
      <c r="K475">
        <v>5.89</v>
      </c>
      <c r="L475" s="20">
        <v>0</v>
      </c>
      <c r="M475">
        <v>82.93</v>
      </c>
      <c r="N475">
        <v>37.840000000000003</v>
      </c>
      <c r="O475">
        <v>45.09</v>
      </c>
      <c r="P475" s="21">
        <v>415.19830000000002</v>
      </c>
    </row>
    <row r="476" spans="7:16" x14ac:dyDescent="0.15">
      <c r="G476" s="11">
        <v>475</v>
      </c>
      <c r="H476" t="s">
        <v>482</v>
      </c>
      <c r="I476" t="s">
        <v>1042</v>
      </c>
      <c r="J476" t="s">
        <v>870</v>
      </c>
      <c r="K476">
        <v>8.1300000000000008</v>
      </c>
      <c r="L476" s="20">
        <v>0.08</v>
      </c>
      <c r="M476">
        <v>82.65</v>
      </c>
      <c r="N476">
        <v>53.49</v>
      </c>
      <c r="O476">
        <v>29.16</v>
      </c>
      <c r="P476" s="21">
        <v>1520.7754500000001</v>
      </c>
    </row>
    <row r="477" spans="7:16" x14ac:dyDescent="0.15">
      <c r="G477" s="11">
        <v>476</v>
      </c>
      <c r="H477" t="s">
        <v>365</v>
      </c>
      <c r="I477" t="s">
        <v>1269</v>
      </c>
      <c r="J477" t="s">
        <v>1251</v>
      </c>
      <c r="K477">
        <v>10.94</v>
      </c>
      <c r="L477" s="20">
        <v>0.26</v>
      </c>
      <c r="M477">
        <v>81.929999999999993</v>
      </c>
      <c r="N477">
        <v>69.13</v>
      </c>
      <c r="O477">
        <v>12.8</v>
      </c>
      <c r="P477" s="21">
        <v>300.20051660000001</v>
      </c>
    </row>
    <row r="478" spans="7:16" x14ac:dyDescent="0.15">
      <c r="G478" s="11">
        <v>477</v>
      </c>
      <c r="H478" t="s">
        <v>683</v>
      </c>
      <c r="I478" t="s">
        <v>814</v>
      </c>
      <c r="J478" t="s">
        <v>1288</v>
      </c>
      <c r="K478">
        <v>10.17</v>
      </c>
      <c r="L478" s="20">
        <v>0.19</v>
      </c>
      <c r="M478">
        <v>81.650000000000006</v>
      </c>
      <c r="N478">
        <v>64.150000000000006</v>
      </c>
      <c r="O478">
        <v>17.5</v>
      </c>
      <c r="P478" s="21">
        <v>61941.447</v>
      </c>
    </row>
    <row r="479" spans="7:16" x14ac:dyDescent="0.15">
      <c r="G479" s="11">
        <v>478</v>
      </c>
      <c r="H479" t="s">
        <v>609</v>
      </c>
      <c r="I479" t="s">
        <v>963</v>
      </c>
      <c r="J479" t="s">
        <v>870</v>
      </c>
      <c r="K479">
        <v>7.98</v>
      </c>
      <c r="L479" s="20">
        <v>0.05</v>
      </c>
      <c r="M479">
        <v>81.650000000000006</v>
      </c>
      <c r="N479">
        <v>51.35</v>
      </c>
      <c r="O479">
        <v>30.3</v>
      </c>
      <c r="P479" s="21">
        <v>1343.17362</v>
      </c>
    </row>
    <row r="480" spans="7:16" x14ac:dyDescent="0.15">
      <c r="G480" s="11">
        <v>479</v>
      </c>
      <c r="H480" t="s">
        <v>1679</v>
      </c>
      <c r="I480" t="s">
        <v>1680</v>
      </c>
      <c r="J480" t="s">
        <v>1688</v>
      </c>
      <c r="K480">
        <v>8.16</v>
      </c>
      <c r="L480" s="20">
        <v>0.1</v>
      </c>
      <c r="M480">
        <v>81.510000000000005</v>
      </c>
      <c r="N480">
        <v>53.63</v>
      </c>
      <c r="O480">
        <v>27.88</v>
      </c>
      <c r="P480" s="21">
        <v>6638.5393000000004</v>
      </c>
    </row>
    <row r="481" spans="7:16" x14ac:dyDescent="0.15">
      <c r="G481" s="11">
        <v>480</v>
      </c>
      <c r="H481" t="s">
        <v>1362</v>
      </c>
      <c r="I481" t="s">
        <v>1363</v>
      </c>
      <c r="J481" t="s">
        <v>1688</v>
      </c>
      <c r="K481">
        <v>9.27</v>
      </c>
      <c r="L481" s="20">
        <v>0.13</v>
      </c>
      <c r="M481">
        <v>81.36</v>
      </c>
      <c r="N481">
        <v>57.89</v>
      </c>
      <c r="O481">
        <v>23.47</v>
      </c>
      <c r="P481" s="21">
        <v>803.79660000000001</v>
      </c>
    </row>
    <row r="482" spans="7:16" x14ac:dyDescent="0.15">
      <c r="G482" s="11">
        <v>481</v>
      </c>
      <c r="H482" t="s">
        <v>734</v>
      </c>
      <c r="I482" t="s">
        <v>1304</v>
      </c>
      <c r="J482" t="s">
        <v>1288</v>
      </c>
      <c r="K482">
        <v>10.119999999999999</v>
      </c>
      <c r="L482" s="20">
        <v>0.19</v>
      </c>
      <c r="M482">
        <v>81.22</v>
      </c>
      <c r="N482">
        <v>63.87</v>
      </c>
      <c r="O482">
        <v>17.350000000000001</v>
      </c>
      <c r="P482" s="21">
        <v>22572.585200000001</v>
      </c>
    </row>
    <row r="483" spans="7:16" x14ac:dyDescent="0.15">
      <c r="G483" s="11">
        <v>482</v>
      </c>
      <c r="H483" t="s">
        <v>1653</v>
      </c>
      <c r="I483" t="s">
        <v>1654</v>
      </c>
      <c r="J483" t="s">
        <v>1688</v>
      </c>
      <c r="K483">
        <v>8.4</v>
      </c>
      <c r="L483" s="20">
        <v>0.12</v>
      </c>
      <c r="M483">
        <v>80.650000000000006</v>
      </c>
      <c r="N483">
        <v>55.05</v>
      </c>
      <c r="O483">
        <v>25.6</v>
      </c>
      <c r="P483" s="21">
        <v>3102.1379999999999</v>
      </c>
    </row>
    <row r="484" spans="7:16" x14ac:dyDescent="0.15">
      <c r="G484" s="11">
        <v>483</v>
      </c>
      <c r="H484" t="s">
        <v>1663</v>
      </c>
      <c r="I484" t="s">
        <v>1664</v>
      </c>
      <c r="J484" t="s">
        <v>1688</v>
      </c>
      <c r="K484">
        <v>8.1199999999999992</v>
      </c>
      <c r="L484" s="20">
        <v>0.1</v>
      </c>
      <c r="M484">
        <v>80.37</v>
      </c>
      <c r="N484">
        <v>53.34</v>
      </c>
      <c r="O484">
        <v>27.03</v>
      </c>
      <c r="P484" s="21">
        <v>1357.5117</v>
      </c>
    </row>
    <row r="485" spans="7:16" x14ac:dyDescent="0.15">
      <c r="G485" s="11">
        <v>484</v>
      </c>
      <c r="H485" t="s">
        <v>584</v>
      </c>
      <c r="I485" t="s">
        <v>1174</v>
      </c>
      <c r="J485" t="s">
        <v>870</v>
      </c>
      <c r="K485">
        <v>5.12</v>
      </c>
      <c r="L485" s="20">
        <v>0</v>
      </c>
      <c r="M485">
        <v>79.95</v>
      </c>
      <c r="N485">
        <v>34.57</v>
      </c>
      <c r="O485">
        <v>45.38</v>
      </c>
      <c r="P485" s="21">
        <v>96482.599757599994</v>
      </c>
    </row>
    <row r="486" spans="7:16" x14ac:dyDescent="0.15">
      <c r="G486" s="11">
        <v>485</v>
      </c>
      <c r="H486" t="s">
        <v>1368</v>
      </c>
      <c r="I486" t="s">
        <v>1369</v>
      </c>
      <c r="J486" t="s">
        <v>1688</v>
      </c>
      <c r="K486">
        <v>9.3699999999999992</v>
      </c>
      <c r="L486" s="20">
        <v>0.14000000000000001</v>
      </c>
      <c r="M486">
        <v>79.94</v>
      </c>
      <c r="N486">
        <v>58.75</v>
      </c>
      <c r="O486">
        <v>21.19</v>
      </c>
      <c r="P486" s="21">
        <v>57.090899999999998</v>
      </c>
    </row>
    <row r="487" spans="7:16" x14ac:dyDescent="0.15">
      <c r="G487" s="11">
        <v>486</v>
      </c>
      <c r="H487" t="s">
        <v>643</v>
      </c>
      <c r="I487" t="s">
        <v>1041</v>
      </c>
      <c r="J487" t="s">
        <v>870</v>
      </c>
      <c r="K487">
        <v>3.15</v>
      </c>
      <c r="L487" s="20">
        <v>-0.06</v>
      </c>
      <c r="M487">
        <v>79.800000000000011</v>
      </c>
      <c r="N487">
        <v>26.6</v>
      </c>
      <c r="O487">
        <v>53.2</v>
      </c>
      <c r="P487" s="21">
        <v>1286.9009000000001</v>
      </c>
    </row>
    <row r="488" spans="7:16" x14ac:dyDescent="0.15">
      <c r="G488" s="11">
        <v>487</v>
      </c>
      <c r="H488" t="s">
        <v>678</v>
      </c>
      <c r="I488" t="s">
        <v>1139</v>
      </c>
      <c r="J488" t="s">
        <v>870</v>
      </c>
      <c r="K488">
        <v>8.02</v>
      </c>
      <c r="L488" s="20">
        <v>0.1</v>
      </c>
      <c r="M488">
        <v>79.800000000000011</v>
      </c>
      <c r="N488">
        <v>52.2</v>
      </c>
      <c r="O488">
        <v>27.6</v>
      </c>
      <c r="P488" s="21">
        <v>9866.6665300000004</v>
      </c>
    </row>
    <row r="489" spans="7:16" x14ac:dyDescent="0.15">
      <c r="G489" s="11">
        <v>488</v>
      </c>
      <c r="H489" t="s">
        <v>1442</v>
      </c>
      <c r="I489" t="s">
        <v>1443</v>
      </c>
      <c r="J489" t="s">
        <v>1688</v>
      </c>
      <c r="K489">
        <v>8.4</v>
      </c>
      <c r="L489" s="20">
        <v>0.12</v>
      </c>
      <c r="M489">
        <v>79.66</v>
      </c>
      <c r="N489">
        <v>54.91</v>
      </c>
      <c r="O489">
        <v>24.75</v>
      </c>
      <c r="P489" s="21">
        <v>1216.4245599999999</v>
      </c>
    </row>
    <row r="490" spans="7:16" x14ac:dyDescent="0.15">
      <c r="G490" s="11">
        <v>489</v>
      </c>
      <c r="H490" t="s">
        <v>680</v>
      </c>
      <c r="I490" t="s">
        <v>1180</v>
      </c>
      <c r="J490" t="s">
        <v>870</v>
      </c>
      <c r="K490">
        <v>2.52</v>
      </c>
      <c r="L490" s="20">
        <v>-7.0000000000000007E-2</v>
      </c>
      <c r="M490">
        <v>79.52000000000001</v>
      </c>
      <c r="N490">
        <v>24.75</v>
      </c>
      <c r="O490">
        <v>54.77</v>
      </c>
      <c r="P490" s="21">
        <v>148704.2432</v>
      </c>
    </row>
    <row r="491" spans="7:16" x14ac:dyDescent="0.15">
      <c r="G491" s="11">
        <v>490</v>
      </c>
      <c r="H491" t="s">
        <v>1429</v>
      </c>
      <c r="I491" t="s">
        <v>1430</v>
      </c>
      <c r="J491" t="s">
        <v>1688</v>
      </c>
      <c r="K491">
        <v>7.81</v>
      </c>
      <c r="L491" s="20">
        <v>0.09</v>
      </c>
      <c r="M491">
        <v>79.52</v>
      </c>
      <c r="N491">
        <v>50.5</v>
      </c>
      <c r="O491">
        <v>29.02</v>
      </c>
      <c r="P491" s="21">
        <v>5299.2792632999999</v>
      </c>
    </row>
    <row r="492" spans="7:16" x14ac:dyDescent="0.15">
      <c r="G492" s="11">
        <v>491</v>
      </c>
      <c r="H492" t="s">
        <v>666</v>
      </c>
      <c r="I492" t="s">
        <v>1172</v>
      </c>
      <c r="J492" t="s">
        <v>870</v>
      </c>
      <c r="K492">
        <v>5.0999999999999996</v>
      </c>
      <c r="L492" s="20">
        <v>0</v>
      </c>
      <c r="M492">
        <v>79.37</v>
      </c>
      <c r="N492">
        <v>34.14</v>
      </c>
      <c r="O492">
        <v>45.23</v>
      </c>
      <c r="P492" s="21">
        <v>73519.619900000005</v>
      </c>
    </row>
    <row r="493" spans="7:16" x14ac:dyDescent="0.15">
      <c r="G493" s="11">
        <v>492</v>
      </c>
      <c r="H493" t="s">
        <v>638</v>
      </c>
      <c r="I493" t="s">
        <v>1036</v>
      </c>
      <c r="J493" t="s">
        <v>870</v>
      </c>
      <c r="K493">
        <v>8.48</v>
      </c>
      <c r="L493" s="20">
        <v>0.13</v>
      </c>
      <c r="M493">
        <v>78.95</v>
      </c>
      <c r="N493">
        <v>55.19</v>
      </c>
      <c r="O493">
        <v>23.76</v>
      </c>
      <c r="P493" s="21">
        <v>1520.2502999999999</v>
      </c>
    </row>
    <row r="494" spans="7:16" x14ac:dyDescent="0.15">
      <c r="G494" s="11">
        <v>493</v>
      </c>
      <c r="H494" t="s">
        <v>665</v>
      </c>
      <c r="I494" t="s">
        <v>1151</v>
      </c>
      <c r="J494" t="s">
        <v>870</v>
      </c>
      <c r="K494">
        <v>1.34</v>
      </c>
      <c r="L494" s="20">
        <v>-0.11</v>
      </c>
      <c r="M494">
        <v>78.66</v>
      </c>
      <c r="N494">
        <v>18.489999999999998</v>
      </c>
      <c r="O494">
        <v>60.17</v>
      </c>
      <c r="P494" s="21">
        <v>15897.55582</v>
      </c>
    </row>
    <row r="495" spans="7:16" x14ac:dyDescent="0.15">
      <c r="G495" s="11">
        <v>494</v>
      </c>
      <c r="H495" t="s">
        <v>626</v>
      </c>
      <c r="I495" t="s">
        <v>942</v>
      </c>
      <c r="J495" t="s">
        <v>870</v>
      </c>
      <c r="K495">
        <v>9.84</v>
      </c>
      <c r="L495" s="20">
        <v>0.19</v>
      </c>
      <c r="M495">
        <v>78.52000000000001</v>
      </c>
      <c r="N495">
        <v>61.45</v>
      </c>
      <c r="O495">
        <v>17.07</v>
      </c>
      <c r="P495" s="21">
        <v>311.25599999999997</v>
      </c>
    </row>
    <row r="496" spans="7:16" x14ac:dyDescent="0.15">
      <c r="G496" s="11">
        <v>495</v>
      </c>
      <c r="H496" t="s">
        <v>1286</v>
      </c>
      <c r="I496" t="s">
        <v>1287</v>
      </c>
      <c r="J496" t="s">
        <v>1288</v>
      </c>
      <c r="K496">
        <v>7.12</v>
      </c>
      <c r="L496" s="20">
        <v>0</v>
      </c>
      <c r="M496">
        <v>78.38</v>
      </c>
      <c r="N496">
        <v>46.23</v>
      </c>
      <c r="O496">
        <v>32.15</v>
      </c>
      <c r="P496" s="21">
        <v>80.957800000000006</v>
      </c>
    </row>
    <row r="497" spans="7:16" x14ac:dyDescent="0.15">
      <c r="G497" s="11">
        <v>496</v>
      </c>
      <c r="H497" t="s">
        <v>579</v>
      </c>
      <c r="I497" t="s">
        <v>1029</v>
      </c>
      <c r="J497" t="s">
        <v>870</v>
      </c>
      <c r="K497">
        <v>9.5399999999999991</v>
      </c>
      <c r="L497" s="20">
        <v>0.18</v>
      </c>
      <c r="M497">
        <v>77.81</v>
      </c>
      <c r="N497">
        <v>59.74</v>
      </c>
      <c r="O497">
        <v>18.07</v>
      </c>
      <c r="P497" s="21">
        <v>1217.9944</v>
      </c>
    </row>
    <row r="498" spans="7:16" x14ac:dyDescent="0.15">
      <c r="G498" s="11">
        <v>497</v>
      </c>
      <c r="H498" t="s">
        <v>408</v>
      </c>
      <c r="I498" t="s">
        <v>270</v>
      </c>
      <c r="J498" t="s">
        <v>1242</v>
      </c>
      <c r="K498">
        <v>1.9</v>
      </c>
      <c r="L498" s="20">
        <v>-0.08</v>
      </c>
      <c r="M498">
        <v>77.53</v>
      </c>
      <c r="N498">
        <v>21.48</v>
      </c>
      <c r="O498">
        <v>56.05</v>
      </c>
      <c r="P498" s="21">
        <v>132.8370736</v>
      </c>
    </row>
    <row r="499" spans="7:16" x14ac:dyDescent="0.15">
      <c r="G499" s="11">
        <v>498</v>
      </c>
      <c r="H499" t="s">
        <v>345</v>
      </c>
      <c r="I499" t="s">
        <v>1057</v>
      </c>
      <c r="J499" t="s">
        <v>870</v>
      </c>
      <c r="K499">
        <v>-1.1599999999999999</v>
      </c>
      <c r="L499" s="20">
        <v>-0.17</v>
      </c>
      <c r="M499">
        <v>77.52000000000001</v>
      </c>
      <c r="N499">
        <v>5.26</v>
      </c>
      <c r="O499">
        <v>72.260000000000005</v>
      </c>
      <c r="P499" s="21">
        <v>1645.2730099999999</v>
      </c>
    </row>
    <row r="500" spans="7:16" x14ac:dyDescent="0.15">
      <c r="G500" s="11">
        <v>499</v>
      </c>
      <c r="H500" t="s">
        <v>1518</v>
      </c>
      <c r="I500" t="s">
        <v>1519</v>
      </c>
      <c r="J500" t="s">
        <v>1688</v>
      </c>
      <c r="K500">
        <v>4.54</v>
      </c>
      <c r="L500" s="20">
        <v>0</v>
      </c>
      <c r="M500">
        <v>77.38</v>
      </c>
      <c r="N500">
        <v>32.43</v>
      </c>
      <c r="O500">
        <v>44.95</v>
      </c>
      <c r="P500" s="21">
        <v>406.6388</v>
      </c>
    </row>
    <row r="501" spans="7:16" x14ac:dyDescent="0.15">
      <c r="G501" s="11">
        <v>500</v>
      </c>
      <c r="H501" t="s">
        <v>335</v>
      </c>
      <c r="I501" t="s">
        <v>1146</v>
      </c>
      <c r="J501" t="s">
        <v>870</v>
      </c>
      <c r="K501">
        <v>0.85</v>
      </c>
      <c r="L501" s="20">
        <v>-0.11</v>
      </c>
      <c r="M501">
        <v>77.240000000000009</v>
      </c>
      <c r="N501">
        <v>17.21</v>
      </c>
      <c r="O501">
        <v>60.03</v>
      </c>
      <c r="P501" s="21">
        <v>17103.804599999999</v>
      </c>
    </row>
    <row r="502" spans="7:16" x14ac:dyDescent="0.15">
      <c r="G502" s="11">
        <v>501</v>
      </c>
      <c r="H502" t="s">
        <v>612</v>
      </c>
      <c r="I502" t="s">
        <v>1107</v>
      </c>
      <c r="J502" t="s">
        <v>870</v>
      </c>
      <c r="K502">
        <v>7.35</v>
      </c>
      <c r="L502" s="20">
        <v>0.08</v>
      </c>
      <c r="M502">
        <v>76.959999999999994</v>
      </c>
      <c r="N502">
        <v>47.37</v>
      </c>
      <c r="O502">
        <v>29.59</v>
      </c>
      <c r="P502" s="21">
        <v>2764.3724999999999</v>
      </c>
    </row>
    <row r="503" spans="7:16" x14ac:dyDescent="0.15">
      <c r="G503" s="11">
        <v>502</v>
      </c>
      <c r="H503" t="s">
        <v>743</v>
      </c>
      <c r="I503" t="s">
        <v>972</v>
      </c>
      <c r="J503" t="s">
        <v>870</v>
      </c>
      <c r="K503">
        <v>1.38</v>
      </c>
      <c r="L503" s="20">
        <v>-0.09</v>
      </c>
      <c r="M503">
        <v>76.81</v>
      </c>
      <c r="N503">
        <v>18.63</v>
      </c>
      <c r="O503">
        <v>58.18</v>
      </c>
      <c r="P503" s="21">
        <v>924.36400000000003</v>
      </c>
    </row>
    <row r="504" spans="7:16" x14ac:dyDescent="0.15">
      <c r="G504" s="11">
        <v>503</v>
      </c>
      <c r="H504" t="s">
        <v>1460</v>
      </c>
      <c r="I504" t="s">
        <v>1461</v>
      </c>
      <c r="J504" t="s">
        <v>1688</v>
      </c>
      <c r="K504">
        <v>1.84</v>
      </c>
      <c r="L504" s="20">
        <v>-0.08</v>
      </c>
      <c r="M504">
        <v>76.81</v>
      </c>
      <c r="N504">
        <v>21.19</v>
      </c>
      <c r="O504">
        <v>55.62</v>
      </c>
      <c r="P504" s="21">
        <v>3005.0623000000001</v>
      </c>
    </row>
    <row r="505" spans="7:16" x14ac:dyDescent="0.15">
      <c r="G505" s="11">
        <v>504</v>
      </c>
      <c r="H505" t="s">
        <v>760</v>
      </c>
      <c r="I505" t="s">
        <v>1066</v>
      </c>
      <c r="J505" t="s">
        <v>870</v>
      </c>
      <c r="K505">
        <v>9.76</v>
      </c>
      <c r="L505" s="20">
        <v>0.2</v>
      </c>
      <c r="M505">
        <v>76.53</v>
      </c>
      <c r="N505">
        <v>60.74</v>
      </c>
      <c r="O505">
        <v>15.79</v>
      </c>
      <c r="P505" s="21">
        <v>2020.1638699999999</v>
      </c>
    </row>
    <row r="506" spans="7:16" x14ac:dyDescent="0.15">
      <c r="G506" s="11">
        <v>505</v>
      </c>
      <c r="H506" t="s">
        <v>751</v>
      </c>
      <c r="I506" t="s">
        <v>811</v>
      </c>
      <c r="J506" t="s">
        <v>1288</v>
      </c>
      <c r="K506">
        <v>4.3600000000000003</v>
      </c>
      <c r="L506" s="20">
        <v>0</v>
      </c>
      <c r="M506">
        <v>76.53</v>
      </c>
      <c r="N506">
        <v>32.01</v>
      </c>
      <c r="O506">
        <v>44.52</v>
      </c>
      <c r="P506" s="21">
        <v>268.96109999999999</v>
      </c>
    </row>
    <row r="507" spans="7:16" x14ac:dyDescent="0.15">
      <c r="G507" s="11">
        <v>506</v>
      </c>
      <c r="H507" t="s">
        <v>511</v>
      </c>
      <c r="I507" t="s">
        <v>1455</v>
      </c>
      <c r="J507" t="s">
        <v>1688</v>
      </c>
      <c r="K507">
        <v>2.61</v>
      </c>
      <c r="L507" s="20">
        <v>-0.03</v>
      </c>
      <c r="M507">
        <v>76.53</v>
      </c>
      <c r="N507">
        <v>25.04</v>
      </c>
      <c r="O507">
        <v>51.49</v>
      </c>
      <c r="P507" s="21">
        <v>5290.9947000000002</v>
      </c>
    </row>
    <row r="508" spans="7:16" x14ac:dyDescent="0.15">
      <c r="G508" s="11">
        <v>507</v>
      </c>
      <c r="H508" t="s">
        <v>562</v>
      </c>
      <c r="I508" t="s">
        <v>1168</v>
      </c>
      <c r="J508" t="s">
        <v>870</v>
      </c>
      <c r="K508">
        <v>8.89</v>
      </c>
      <c r="L508" s="20">
        <v>0.17</v>
      </c>
      <c r="M508">
        <v>75.819999999999993</v>
      </c>
      <c r="N508">
        <v>56.76</v>
      </c>
      <c r="O508">
        <v>19.059999999999999</v>
      </c>
      <c r="P508" s="21">
        <v>25061.777999999998</v>
      </c>
    </row>
    <row r="509" spans="7:16" x14ac:dyDescent="0.15">
      <c r="G509" s="11">
        <v>508</v>
      </c>
      <c r="H509" t="s">
        <v>1451</v>
      </c>
      <c r="I509" t="s">
        <v>1452</v>
      </c>
      <c r="J509" t="s">
        <v>1688</v>
      </c>
      <c r="K509">
        <v>0.69</v>
      </c>
      <c r="L509" s="20">
        <v>-0.11</v>
      </c>
      <c r="M509">
        <v>75.81</v>
      </c>
      <c r="N509">
        <v>16.07</v>
      </c>
      <c r="O509">
        <v>59.74</v>
      </c>
      <c r="P509" s="21">
        <v>2081.2892699999998</v>
      </c>
    </row>
    <row r="510" spans="7:16" x14ac:dyDescent="0.15">
      <c r="G510" s="11">
        <v>509</v>
      </c>
      <c r="H510" t="s">
        <v>429</v>
      </c>
      <c r="I510" t="s">
        <v>1187</v>
      </c>
      <c r="J510" t="s">
        <v>1319</v>
      </c>
      <c r="K510">
        <v>4.04</v>
      </c>
      <c r="L510" s="20">
        <v>0</v>
      </c>
      <c r="M510">
        <v>75.540000000000006</v>
      </c>
      <c r="N510">
        <v>30.87</v>
      </c>
      <c r="O510">
        <v>44.67</v>
      </c>
      <c r="P510" s="21">
        <v>383.22732710000002</v>
      </c>
    </row>
    <row r="511" spans="7:16" x14ac:dyDescent="0.15">
      <c r="G511" s="11">
        <v>510</v>
      </c>
      <c r="H511" t="s">
        <v>321</v>
      </c>
      <c r="I511" t="s">
        <v>1439</v>
      </c>
      <c r="J511" t="s">
        <v>1688</v>
      </c>
      <c r="K511">
        <v>0.86</v>
      </c>
      <c r="L511" s="20">
        <v>-0.09</v>
      </c>
      <c r="M511">
        <v>75.25</v>
      </c>
      <c r="N511">
        <v>17.5</v>
      </c>
      <c r="O511">
        <v>57.75</v>
      </c>
      <c r="P511" s="21">
        <v>50.999499999999998</v>
      </c>
    </row>
    <row r="512" spans="7:16" x14ac:dyDescent="0.15">
      <c r="G512" s="11">
        <v>511</v>
      </c>
      <c r="H512" t="s">
        <v>394</v>
      </c>
      <c r="I512" t="s">
        <v>932</v>
      </c>
      <c r="J512" t="s">
        <v>870</v>
      </c>
      <c r="K512">
        <v>4.0599999999999996</v>
      </c>
      <c r="L512" s="20">
        <v>0</v>
      </c>
      <c r="M512">
        <v>75.25</v>
      </c>
      <c r="N512">
        <v>31.01</v>
      </c>
      <c r="O512">
        <v>44.24</v>
      </c>
      <c r="P512" s="21">
        <v>379.28030000000001</v>
      </c>
    </row>
    <row r="513" spans="7:16" x14ac:dyDescent="0.15">
      <c r="G513" s="11">
        <v>512</v>
      </c>
      <c r="H513" t="s">
        <v>644</v>
      </c>
      <c r="I513" t="s">
        <v>1310</v>
      </c>
      <c r="J513" t="s">
        <v>1288</v>
      </c>
      <c r="K513">
        <v>6.69</v>
      </c>
      <c r="L513" s="20">
        <v>0</v>
      </c>
      <c r="M513">
        <v>75.11</v>
      </c>
      <c r="N513">
        <v>42.82</v>
      </c>
      <c r="O513">
        <v>32.29</v>
      </c>
      <c r="P513" s="21">
        <v>17117.121599999999</v>
      </c>
    </row>
    <row r="514" spans="7:16" x14ac:dyDescent="0.15">
      <c r="G514" s="11">
        <v>513</v>
      </c>
      <c r="H514" t="s">
        <v>718</v>
      </c>
      <c r="I514" t="s">
        <v>1308</v>
      </c>
      <c r="J514" t="s">
        <v>1288</v>
      </c>
      <c r="K514">
        <v>10.210000000000001</v>
      </c>
      <c r="L514" s="20">
        <v>0.37</v>
      </c>
      <c r="M514">
        <v>75.11</v>
      </c>
      <c r="N514">
        <v>64.58</v>
      </c>
      <c r="O514">
        <v>10.53</v>
      </c>
      <c r="P514" s="21">
        <v>10423.517099999999</v>
      </c>
    </row>
    <row r="515" spans="7:16" x14ac:dyDescent="0.15">
      <c r="G515" s="11">
        <v>514</v>
      </c>
      <c r="H515" t="s">
        <v>732</v>
      </c>
      <c r="I515" t="s">
        <v>1010</v>
      </c>
      <c r="J515" t="s">
        <v>870</v>
      </c>
      <c r="K515">
        <v>9.4700000000000006</v>
      </c>
      <c r="L515" s="20">
        <v>0.23</v>
      </c>
      <c r="M515">
        <v>74.39</v>
      </c>
      <c r="N515">
        <v>59.17</v>
      </c>
      <c r="O515">
        <v>15.22</v>
      </c>
      <c r="P515" s="21">
        <v>914.36484000000007</v>
      </c>
    </row>
    <row r="516" spans="7:16" x14ac:dyDescent="0.15">
      <c r="G516" s="11">
        <v>515</v>
      </c>
      <c r="H516" t="s">
        <v>763</v>
      </c>
      <c r="I516" t="s">
        <v>1314</v>
      </c>
      <c r="J516" t="s">
        <v>1288</v>
      </c>
      <c r="K516">
        <v>10.93</v>
      </c>
      <c r="L516" s="20">
        <v>1.32</v>
      </c>
      <c r="M516">
        <v>74.11</v>
      </c>
      <c r="N516">
        <v>68.989999999999995</v>
      </c>
      <c r="O516">
        <v>5.12</v>
      </c>
      <c r="P516" s="21">
        <v>290165.3126</v>
      </c>
    </row>
    <row r="517" spans="7:16" x14ac:dyDescent="0.15">
      <c r="G517" s="11">
        <v>516</v>
      </c>
      <c r="H517" t="s">
        <v>1528</v>
      </c>
      <c r="I517" t="s">
        <v>1529</v>
      </c>
      <c r="J517" t="s">
        <v>1688</v>
      </c>
      <c r="K517">
        <v>3.73</v>
      </c>
      <c r="L517" s="20">
        <v>0</v>
      </c>
      <c r="M517">
        <v>74.11</v>
      </c>
      <c r="N517">
        <v>30.01</v>
      </c>
      <c r="O517">
        <v>44.1</v>
      </c>
      <c r="P517" s="21">
        <v>25.995480000000001</v>
      </c>
    </row>
    <row r="518" spans="7:16" x14ac:dyDescent="0.15">
      <c r="G518" s="11">
        <v>517</v>
      </c>
      <c r="H518" t="s">
        <v>507</v>
      </c>
      <c r="I518" t="s">
        <v>28</v>
      </c>
      <c r="J518" t="s">
        <v>1213</v>
      </c>
      <c r="K518">
        <v>11.45</v>
      </c>
      <c r="L518" s="20">
        <v>2.42</v>
      </c>
      <c r="M518">
        <v>74.11</v>
      </c>
      <c r="N518">
        <v>70.84</v>
      </c>
      <c r="O518">
        <v>3.27</v>
      </c>
      <c r="P518" s="21">
        <v>394.36234339999999</v>
      </c>
    </row>
    <row r="519" spans="7:16" x14ac:dyDescent="0.15">
      <c r="G519" s="11">
        <v>518</v>
      </c>
      <c r="H519" t="s">
        <v>331</v>
      </c>
      <c r="I519" t="s">
        <v>881</v>
      </c>
      <c r="J519" t="s">
        <v>870</v>
      </c>
      <c r="K519">
        <v>-1.71</v>
      </c>
      <c r="L519" s="20">
        <v>-0.16</v>
      </c>
      <c r="M519">
        <v>73.83</v>
      </c>
      <c r="N519">
        <v>3.13</v>
      </c>
      <c r="O519">
        <v>70.7</v>
      </c>
      <c r="P519" s="21">
        <v>424.48932000000002</v>
      </c>
    </row>
    <row r="520" spans="7:16" x14ac:dyDescent="0.15">
      <c r="G520" s="11">
        <v>519</v>
      </c>
      <c r="H520" t="s">
        <v>762</v>
      </c>
      <c r="I520" t="s">
        <v>1309</v>
      </c>
      <c r="J520" t="s">
        <v>1288</v>
      </c>
      <c r="K520">
        <v>10.07</v>
      </c>
      <c r="L520" s="20">
        <v>0.37</v>
      </c>
      <c r="M520">
        <v>73.679999999999993</v>
      </c>
      <c r="N520">
        <v>63.3</v>
      </c>
      <c r="O520">
        <v>10.38</v>
      </c>
      <c r="P520" s="21">
        <v>103439.9651</v>
      </c>
    </row>
    <row r="521" spans="7:16" x14ac:dyDescent="0.15">
      <c r="G521" s="11">
        <v>520</v>
      </c>
      <c r="H521" t="s">
        <v>476</v>
      </c>
      <c r="I521" t="s">
        <v>937</v>
      </c>
      <c r="J521" t="s">
        <v>870</v>
      </c>
      <c r="K521">
        <v>8.3699999999999992</v>
      </c>
      <c r="L521" s="20">
        <v>0.17</v>
      </c>
      <c r="M521">
        <v>73.550000000000011</v>
      </c>
      <c r="N521">
        <v>54.77</v>
      </c>
      <c r="O521">
        <v>18.78</v>
      </c>
      <c r="P521" s="21">
        <v>106.0055</v>
      </c>
    </row>
    <row r="522" spans="7:16" x14ac:dyDescent="0.15">
      <c r="G522" s="11">
        <v>521</v>
      </c>
      <c r="H522" t="s">
        <v>555</v>
      </c>
      <c r="I522" t="s">
        <v>985</v>
      </c>
      <c r="J522" t="s">
        <v>870</v>
      </c>
      <c r="K522">
        <v>-0.3</v>
      </c>
      <c r="L522" s="20">
        <v>-0.14000000000000001</v>
      </c>
      <c r="M522">
        <v>73.260000000000005</v>
      </c>
      <c r="N522">
        <v>7.11</v>
      </c>
      <c r="O522">
        <v>66.150000000000006</v>
      </c>
      <c r="P522" s="21">
        <v>975.13124000000005</v>
      </c>
    </row>
    <row r="523" spans="7:16" x14ac:dyDescent="0.15">
      <c r="G523" s="11">
        <v>522</v>
      </c>
      <c r="H523" t="s">
        <v>508</v>
      </c>
      <c r="I523" t="s">
        <v>1125</v>
      </c>
      <c r="J523" t="s">
        <v>870</v>
      </c>
      <c r="K523">
        <v>8.06</v>
      </c>
      <c r="L523" s="20">
        <v>0.15</v>
      </c>
      <c r="M523">
        <v>72.97</v>
      </c>
      <c r="N523">
        <v>52.63</v>
      </c>
      <c r="O523">
        <v>20.34</v>
      </c>
      <c r="P523" s="21">
        <v>3722.61724</v>
      </c>
    </row>
    <row r="524" spans="7:16" x14ac:dyDescent="0.15">
      <c r="G524" s="11">
        <v>523</v>
      </c>
      <c r="H524" t="s">
        <v>747</v>
      </c>
      <c r="I524" t="s">
        <v>1021</v>
      </c>
      <c r="J524" t="s">
        <v>870</v>
      </c>
      <c r="K524">
        <v>3.58</v>
      </c>
      <c r="L524" s="20">
        <v>0</v>
      </c>
      <c r="M524">
        <v>72.97</v>
      </c>
      <c r="N524">
        <v>29.16</v>
      </c>
      <c r="O524">
        <v>43.81</v>
      </c>
      <c r="P524" s="21">
        <v>1476.5174</v>
      </c>
    </row>
    <row r="525" spans="7:16" x14ac:dyDescent="0.15">
      <c r="G525" s="11">
        <v>524</v>
      </c>
      <c r="H525" t="s">
        <v>687</v>
      </c>
      <c r="I525" t="s">
        <v>1016</v>
      </c>
      <c r="J525" t="s">
        <v>870</v>
      </c>
      <c r="K525">
        <v>3.57</v>
      </c>
      <c r="L525" s="20">
        <v>0</v>
      </c>
      <c r="M525">
        <v>72.97</v>
      </c>
      <c r="N525">
        <v>29.02</v>
      </c>
      <c r="O525">
        <v>43.95</v>
      </c>
      <c r="P525" s="21">
        <v>759.02319999999997</v>
      </c>
    </row>
    <row r="526" spans="7:16" x14ac:dyDescent="0.15">
      <c r="G526" s="11">
        <v>525</v>
      </c>
      <c r="H526" t="s">
        <v>285</v>
      </c>
      <c r="I526" t="s">
        <v>26</v>
      </c>
      <c r="J526" t="s">
        <v>1213</v>
      </c>
      <c r="K526">
        <v>10.78</v>
      </c>
      <c r="L526" s="20">
        <v>2.08</v>
      </c>
      <c r="M526">
        <v>71.98</v>
      </c>
      <c r="N526">
        <v>68.28</v>
      </c>
      <c r="O526">
        <v>3.7</v>
      </c>
      <c r="P526" s="21">
        <v>105.8392873</v>
      </c>
    </row>
    <row r="527" spans="7:16" x14ac:dyDescent="0.15">
      <c r="G527" s="11">
        <v>526</v>
      </c>
      <c r="H527" t="s">
        <v>382</v>
      </c>
      <c r="I527" t="s">
        <v>873</v>
      </c>
      <c r="J527" t="s">
        <v>870</v>
      </c>
      <c r="K527">
        <v>7.33</v>
      </c>
      <c r="L527" s="20">
        <v>0.12</v>
      </c>
      <c r="M527">
        <v>71.84</v>
      </c>
      <c r="N527">
        <v>46.8</v>
      </c>
      <c r="O527">
        <v>25.04</v>
      </c>
      <c r="P527" s="21">
        <v>51.104599999999998</v>
      </c>
    </row>
    <row r="528" spans="7:16" x14ac:dyDescent="0.15">
      <c r="G528" s="11">
        <v>527</v>
      </c>
      <c r="H528" t="s">
        <v>582</v>
      </c>
      <c r="I528" t="s">
        <v>876</v>
      </c>
      <c r="J528" t="s">
        <v>870</v>
      </c>
      <c r="K528">
        <v>0.18</v>
      </c>
      <c r="L528" s="20">
        <v>-0.11</v>
      </c>
      <c r="M528">
        <v>71.7</v>
      </c>
      <c r="N528">
        <v>11.81</v>
      </c>
      <c r="O528">
        <v>59.89</v>
      </c>
      <c r="P528" s="21">
        <v>4212.1399000000001</v>
      </c>
    </row>
    <row r="529" spans="7:16" x14ac:dyDescent="0.15">
      <c r="G529" s="11">
        <v>528</v>
      </c>
      <c r="H529" t="s">
        <v>733</v>
      </c>
      <c r="I529" t="s">
        <v>1140</v>
      </c>
      <c r="J529" t="s">
        <v>870</v>
      </c>
      <c r="K529">
        <v>3.47</v>
      </c>
      <c r="L529" s="20">
        <v>0</v>
      </c>
      <c r="M529">
        <v>71.55</v>
      </c>
      <c r="N529">
        <v>27.88</v>
      </c>
      <c r="O529">
        <v>43.67</v>
      </c>
      <c r="P529" s="21">
        <v>110247.1116</v>
      </c>
    </row>
    <row r="530" spans="7:16" x14ac:dyDescent="0.15">
      <c r="G530" s="11">
        <v>529</v>
      </c>
      <c r="H530" t="s">
        <v>583</v>
      </c>
      <c r="I530" t="s">
        <v>1015</v>
      </c>
      <c r="J530" t="s">
        <v>870</v>
      </c>
      <c r="K530">
        <v>8.5399999999999991</v>
      </c>
      <c r="L530" s="20">
        <v>0.21</v>
      </c>
      <c r="M530">
        <v>71.27</v>
      </c>
      <c r="N530">
        <v>55.62</v>
      </c>
      <c r="O530">
        <v>15.65</v>
      </c>
      <c r="P530" s="21">
        <v>936.50340999999992</v>
      </c>
    </row>
    <row r="531" spans="7:16" x14ac:dyDescent="0.15">
      <c r="G531" s="11">
        <v>530</v>
      </c>
      <c r="H531" t="s">
        <v>716</v>
      </c>
      <c r="I531" t="s">
        <v>1030</v>
      </c>
      <c r="J531" t="s">
        <v>870</v>
      </c>
      <c r="K531">
        <v>3.5</v>
      </c>
      <c r="L531" s="20">
        <v>0</v>
      </c>
      <c r="M531">
        <v>71.260000000000005</v>
      </c>
      <c r="N531">
        <v>28.02</v>
      </c>
      <c r="O531">
        <v>43.24</v>
      </c>
      <c r="P531" s="21">
        <v>1769.8295434000001</v>
      </c>
    </row>
    <row r="532" spans="7:16" x14ac:dyDescent="0.15">
      <c r="G532" s="11">
        <v>531</v>
      </c>
      <c r="H532" t="s">
        <v>405</v>
      </c>
      <c r="I532" t="s">
        <v>1183</v>
      </c>
      <c r="J532" t="s">
        <v>1182</v>
      </c>
      <c r="K532">
        <v>0.53</v>
      </c>
      <c r="L532" s="20">
        <v>-0.08</v>
      </c>
      <c r="M532">
        <v>71.259999999999991</v>
      </c>
      <c r="N532">
        <v>15.36</v>
      </c>
      <c r="O532">
        <v>55.9</v>
      </c>
      <c r="P532" s="21">
        <v>31430.990448900004</v>
      </c>
    </row>
    <row r="533" spans="7:16" x14ac:dyDescent="0.15">
      <c r="G533" s="11">
        <v>532</v>
      </c>
      <c r="H533" t="s">
        <v>401</v>
      </c>
      <c r="I533" t="s">
        <v>1062</v>
      </c>
      <c r="J533" t="s">
        <v>870</v>
      </c>
      <c r="K533">
        <v>3.41</v>
      </c>
      <c r="L533" s="20">
        <v>0</v>
      </c>
      <c r="M533">
        <v>71.13</v>
      </c>
      <c r="N533">
        <v>27.74</v>
      </c>
      <c r="O533">
        <v>43.39</v>
      </c>
      <c r="P533" s="21">
        <v>2174.9288999999999</v>
      </c>
    </row>
    <row r="534" spans="7:16" x14ac:dyDescent="0.15">
      <c r="G534" s="11">
        <v>533</v>
      </c>
      <c r="H534" t="s">
        <v>319</v>
      </c>
      <c r="I534" t="s">
        <v>19</v>
      </c>
      <c r="J534" t="s">
        <v>868</v>
      </c>
      <c r="K534">
        <v>0.2</v>
      </c>
      <c r="L534" s="20">
        <v>-0.1</v>
      </c>
      <c r="M534">
        <v>70.84</v>
      </c>
      <c r="N534">
        <v>12.09</v>
      </c>
      <c r="O534">
        <v>58.75</v>
      </c>
      <c r="P534" s="21">
        <v>6750.3571780000002</v>
      </c>
    </row>
    <row r="535" spans="7:16" x14ac:dyDescent="0.15">
      <c r="G535" s="11">
        <v>534</v>
      </c>
      <c r="H535" t="s">
        <v>1580</v>
      </c>
      <c r="I535" t="s">
        <v>1581</v>
      </c>
      <c r="J535" t="s">
        <v>1688</v>
      </c>
      <c r="K535">
        <v>9.82</v>
      </c>
      <c r="L535" s="20">
        <v>0.5</v>
      </c>
      <c r="M535">
        <v>69.990000000000009</v>
      </c>
      <c r="N535">
        <v>61.17</v>
      </c>
      <c r="O535">
        <v>8.82</v>
      </c>
      <c r="P535" s="21">
        <v>153.44141059999998</v>
      </c>
    </row>
    <row r="536" spans="7:16" x14ac:dyDescent="0.15">
      <c r="G536" s="11">
        <v>535</v>
      </c>
      <c r="H536" t="s">
        <v>604</v>
      </c>
      <c r="I536" t="s">
        <v>1113</v>
      </c>
      <c r="J536" t="s">
        <v>870</v>
      </c>
      <c r="K536">
        <v>7.04</v>
      </c>
      <c r="L536" s="20">
        <v>0.12</v>
      </c>
      <c r="M536">
        <v>69.84</v>
      </c>
      <c r="N536">
        <v>45.66</v>
      </c>
      <c r="O536">
        <v>24.18</v>
      </c>
      <c r="P536" s="21">
        <v>4509.4048299999995</v>
      </c>
    </row>
    <row r="537" spans="7:16" x14ac:dyDescent="0.15">
      <c r="G537" s="11">
        <v>536</v>
      </c>
      <c r="H537" t="s">
        <v>725</v>
      </c>
      <c r="I537" t="s">
        <v>1104</v>
      </c>
      <c r="J537" t="s">
        <v>870</v>
      </c>
      <c r="K537">
        <v>8.81</v>
      </c>
      <c r="L537" s="20">
        <v>0.26</v>
      </c>
      <c r="M537">
        <v>69.7</v>
      </c>
      <c r="N537">
        <v>56.61</v>
      </c>
      <c r="O537">
        <v>13.09</v>
      </c>
      <c r="P537" s="21">
        <v>3944.1939000000002</v>
      </c>
    </row>
    <row r="538" spans="7:16" x14ac:dyDescent="0.15">
      <c r="G538" s="11">
        <v>537</v>
      </c>
      <c r="H538" t="s">
        <v>430</v>
      </c>
      <c r="I538" t="s">
        <v>951</v>
      </c>
      <c r="J538" t="s">
        <v>870</v>
      </c>
      <c r="K538">
        <v>3.07</v>
      </c>
      <c r="L538" s="20">
        <v>0</v>
      </c>
      <c r="M538">
        <v>69.56</v>
      </c>
      <c r="N538">
        <v>26.03</v>
      </c>
      <c r="O538">
        <v>43.53</v>
      </c>
      <c r="P538" s="21">
        <v>1545.4674300000001</v>
      </c>
    </row>
    <row r="539" spans="7:16" x14ac:dyDescent="0.15">
      <c r="G539" s="11">
        <v>538</v>
      </c>
      <c r="H539" t="s">
        <v>764</v>
      </c>
      <c r="I539" t="s">
        <v>1197</v>
      </c>
      <c r="J539" t="s">
        <v>1198</v>
      </c>
      <c r="K539">
        <v>10.56</v>
      </c>
      <c r="L539" s="20">
        <v>6.56</v>
      </c>
      <c r="M539">
        <v>69.279999999999987</v>
      </c>
      <c r="N539">
        <v>67.569999999999993</v>
      </c>
      <c r="O539">
        <v>1.71</v>
      </c>
      <c r="P539" s="21">
        <v>197289.70079999999</v>
      </c>
    </row>
    <row r="540" spans="7:16" x14ac:dyDescent="0.15">
      <c r="G540" s="11">
        <v>539</v>
      </c>
      <c r="H540" t="s">
        <v>566</v>
      </c>
      <c r="I540" t="s">
        <v>1116</v>
      </c>
      <c r="J540" t="s">
        <v>870</v>
      </c>
      <c r="K540">
        <v>9.32</v>
      </c>
      <c r="L540" s="20">
        <v>0.4</v>
      </c>
      <c r="M540">
        <v>68.569999999999993</v>
      </c>
      <c r="N540">
        <v>58.61</v>
      </c>
      <c r="O540">
        <v>9.9600000000000009</v>
      </c>
      <c r="P540" s="21">
        <v>6942.1345000000001</v>
      </c>
    </row>
    <row r="541" spans="7:16" x14ac:dyDescent="0.15">
      <c r="G541" s="11">
        <v>540</v>
      </c>
      <c r="H541" t="s">
        <v>741</v>
      </c>
      <c r="I541" t="s">
        <v>1271</v>
      </c>
      <c r="J541" t="s">
        <v>1251</v>
      </c>
      <c r="K541">
        <v>1.4</v>
      </c>
      <c r="L541" s="20">
        <v>0</v>
      </c>
      <c r="M541">
        <v>68.56</v>
      </c>
      <c r="N541">
        <v>18.920000000000002</v>
      </c>
      <c r="O541">
        <v>49.64</v>
      </c>
      <c r="P541" s="21">
        <v>181.40206119999999</v>
      </c>
    </row>
    <row r="542" spans="7:16" x14ac:dyDescent="0.15">
      <c r="G542" s="11">
        <v>541</v>
      </c>
      <c r="H542" t="s">
        <v>560</v>
      </c>
      <c r="I542" t="s">
        <v>1167</v>
      </c>
      <c r="J542" t="s">
        <v>870</v>
      </c>
      <c r="K542">
        <v>1.59</v>
      </c>
      <c r="L542" s="20">
        <v>0</v>
      </c>
      <c r="M542">
        <v>68.42</v>
      </c>
      <c r="N542">
        <v>19.77</v>
      </c>
      <c r="O542">
        <v>48.65</v>
      </c>
      <c r="P542" s="21">
        <v>56924.455900000001</v>
      </c>
    </row>
    <row r="543" spans="7:16" x14ac:dyDescent="0.15">
      <c r="G543" s="11">
        <v>542</v>
      </c>
      <c r="H543" t="s">
        <v>1448</v>
      </c>
      <c r="I543" t="s">
        <v>1449</v>
      </c>
      <c r="J543" t="s">
        <v>1688</v>
      </c>
      <c r="K543">
        <v>0</v>
      </c>
      <c r="L543" s="20">
        <v>-0.1</v>
      </c>
      <c r="M543">
        <v>68.42</v>
      </c>
      <c r="N543">
        <v>9.39</v>
      </c>
      <c r="O543">
        <v>59.03</v>
      </c>
      <c r="P543" s="21">
        <v>1017.8697132</v>
      </c>
    </row>
    <row r="544" spans="7:16" x14ac:dyDescent="0.15">
      <c r="G544" s="11">
        <v>543</v>
      </c>
      <c r="H544" t="s">
        <v>386</v>
      </c>
      <c r="I544" t="s">
        <v>1182</v>
      </c>
      <c r="J544" t="s">
        <v>1182</v>
      </c>
      <c r="K544">
        <v>0.54</v>
      </c>
      <c r="L544" s="20">
        <v>-0.05</v>
      </c>
      <c r="M544">
        <v>68.42</v>
      </c>
      <c r="N544">
        <v>15.65</v>
      </c>
      <c r="O544">
        <v>52.77</v>
      </c>
      <c r="P544" s="21">
        <v>68388.463799999998</v>
      </c>
    </row>
    <row r="545" spans="7:16" x14ac:dyDescent="0.15">
      <c r="G545" s="11">
        <v>544</v>
      </c>
      <c r="H545" t="s">
        <v>381</v>
      </c>
      <c r="I545" t="s">
        <v>1137</v>
      </c>
      <c r="J545" t="s">
        <v>870</v>
      </c>
      <c r="K545">
        <v>0.7</v>
      </c>
      <c r="L545" s="20">
        <v>-0.03</v>
      </c>
      <c r="M545">
        <v>68.42</v>
      </c>
      <c r="N545">
        <v>16.22</v>
      </c>
      <c r="O545">
        <v>52.2</v>
      </c>
      <c r="P545" s="21">
        <v>8719.902</v>
      </c>
    </row>
    <row r="546" spans="7:16" x14ac:dyDescent="0.15">
      <c r="G546" s="11">
        <v>545</v>
      </c>
      <c r="H546" t="s">
        <v>749</v>
      </c>
      <c r="I546" t="s">
        <v>973</v>
      </c>
      <c r="J546" t="s">
        <v>870</v>
      </c>
      <c r="K546">
        <v>2.64</v>
      </c>
      <c r="L546" s="20">
        <v>0</v>
      </c>
      <c r="M546">
        <v>68.28</v>
      </c>
      <c r="N546">
        <v>25.18</v>
      </c>
      <c r="O546">
        <v>43.1</v>
      </c>
      <c r="P546" s="21">
        <v>904.47140000000002</v>
      </c>
    </row>
    <row r="547" spans="7:16" x14ac:dyDescent="0.15">
      <c r="G547" s="11">
        <v>546</v>
      </c>
      <c r="H547" t="s">
        <v>729</v>
      </c>
      <c r="I547" t="s">
        <v>1249</v>
      </c>
      <c r="J547" t="s">
        <v>1242</v>
      </c>
      <c r="K547">
        <v>2.86</v>
      </c>
      <c r="L547" s="20">
        <v>0</v>
      </c>
      <c r="M547">
        <v>68.28</v>
      </c>
      <c r="N547">
        <v>25.46</v>
      </c>
      <c r="O547">
        <v>42.82</v>
      </c>
      <c r="P547" s="21">
        <v>1223.4125942000001</v>
      </c>
    </row>
    <row r="548" spans="7:16" x14ac:dyDescent="0.15">
      <c r="G548" s="11">
        <v>547</v>
      </c>
      <c r="H548" t="s">
        <v>806</v>
      </c>
      <c r="I548" t="s">
        <v>805</v>
      </c>
      <c r="J548" t="s">
        <v>1688</v>
      </c>
      <c r="K548">
        <v>0.38</v>
      </c>
      <c r="L548" s="20">
        <v>-7.0000000000000007E-2</v>
      </c>
      <c r="M548">
        <v>68.14</v>
      </c>
      <c r="N548">
        <v>13.94</v>
      </c>
      <c r="O548">
        <v>54.2</v>
      </c>
      <c r="P548" s="21">
        <v>683.61377290000007</v>
      </c>
    </row>
    <row r="549" spans="7:16" x14ac:dyDescent="0.15">
      <c r="G549" s="11">
        <v>548</v>
      </c>
      <c r="H549" t="s">
        <v>374</v>
      </c>
      <c r="I549" t="s">
        <v>1185</v>
      </c>
      <c r="J549" t="s">
        <v>1182</v>
      </c>
      <c r="K549">
        <v>0.53</v>
      </c>
      <c r="L549" s="20">
        <v>-0.05</v>
      </c>
      <c r="M549">
        <v>68.14</v>
      </c>
      <c r="N549">
        <v>15.22</v>
      </c>
      <c r="O549">
        <v>52.92</v>
      </c>
      <c r="P549" s="21">
        <v>16340.911899999999</v>
      </c>
    </row>
    <row r="550" spans="7:16" x14ac:dyDescent="0.15">
      <c r="G550" s="11">
        <v>549</v>
      </c>
      <c r="H550" t="s">
        <v>1683</v>
      </c>
      <c r="I550" t="s">
        <v>1684</v>
      </c>
      <c r="J550" t="s">
        <v>1688</v>
      </c>
      <c r="K550">
        <v>0</v>
      </c>
      <c r="L550" s="20">
        <v>-0.1</v>
      </c>
      <c r="M550">
        <v>67.86</v>
      </c>
      <c r="N550">
        <v>9.25</v>
      </c>
      <c r="O550">
        <v>58.61</v>
      </c>
      <c r="P550" s="21">
        <v>3586.1181999999999</v>
      </c>
    </row>
    <row r="551" spans="7:16" x14ac:dyDescent="0.15">
      <c r="G551" s="11">
        <v>550</v>
      </c>
      <c r="H551" t="s">
        <v>755</v>
      </c>
      <c r="I551" t="s">
        <v>927</v>
      </c>
      <c r="J551" t="s">
        <v>870</v>
      </c>
      <c r="K551">
        <v>2.54</v>
      </c>
      <c r="L551" s="20">
        <v>0</v>
      </c>
      <c r="M551">
        <v>67.849999999999994</v>
      </c>
      <c r="N551">
        <v>24.89</v>
      </c>
      <c r="O551">
        <v>42.96</v>
      </c>
      <c r="P551" s="21">
        <v>156.7681</v>
      </c>
    </row>
    <row r="552" spans="7:16" x14ac:dyDescent="0.15">
      <c r="G552" s="11">
        <v>551</v>
      </c>
      <c r="H552" t="s">
        <v>410</v>
      </c>
      <c r="I552" t="s">
        <v>1182</v>
      </c>
      <c r="J552" t="s">
        <v>1182</v>
      </c>
      <c r="K552">
        <v>0.53</v>
      </c>
      <c r="L552" s="20">
        <v>-0.05</v>
      </c>
      <c r="M552">
        <v>67.710000000000008</v>
      </c>
      <c r="N552">
        <v>15.08</v>
      </c>
      <c r="O552">
        <v>52.63</v>
      </c>
      <c r="P552" s="21">
        <v>21709.028040000001</v>
      </c>
    </row>
    <row r="553" spans="7:16" x14ac:dyDescent="0.15">
      <c r="G553" s="11">
        <v>552</v>
      </c>
      <c r="H553" t="s">
        <v>354</v>
      </c>
      <c r="I553" t="s">
        <v>21</v>
      </c>
      <c r="J553" t="s">
        <v>1688</v>
      </c>
      <c r="K553">
        <v>0.28000000000000003</v>
      </c>
      <c r="L553" s="20">
        <v>-0.08</v>
      </c>
      <c r="M553">
        <v>67.569999999999993</v>
      </c>
      <c r="N553">
        <v>12.38</v>
      </c>
      <c r="O553">
        <v>55.19</v>
      </c>
      <c r="P553" s="21">
        <v>1056.7162900000001</v>
      </c>
    </row>
    <row r="554" spans="7:16" x14ac:dyDescent="0.15">
      <c r="G554" s="11">
        <v>553</v>
      </c>
      <c r="H554" t="s">
        <v>327</v>
      </c>
      <c r="I554" t="s">
        <v>1131</v>
      </c>
      <c r="J554" t="s">
        <v>870</v>
      </c>
      <c r="K554">
        <v>1.94</v>
      </c>
      <c r="L554" s="20">
        <v>0</v>
      </c>
      <c r="M554">
        <v>67.28</v>
      </c>
      <c r="N554">
        <v>21.62</v>
      </c>
      <c r="O554">
        <v>45.66</v>
      </c>
      <c r="P554" s="21">
        <v>9569.8096167000003</v>
      </c>
    </row>
    <row r="555" spans="7:16" x14ac:dyDescent="0.15">
      <c r="G555" s="11">
        <v>554</v>
      </c>
      <c r="H555" t="s">
        <v>614</v>
      </c>
      <c r="I555" t="s">
        <v>1009</v>
      </c>
      <c r="J555" t="s">
        <v>870</v>
      </c>
      <c r="K555">
        <v>7.29</v>
      </c>
      <c r="L555" s="20">
        <v>0.16</v>
      </c>
      <c r="M555">
        <v>66.86</v>
      </c>
      <c r="N555">
        <v>46.66</v>
      </c>
      <c r="O555">
        <v>20.2</v>
      </c>
      <c r="P555" s="21">
        <v>1742.2711999999999</v>
      </c>
    </row>
    <row r="556" spans="7:16" x14ac:dyDescent="0.15">
      <c r="G556" s="11">
        <v>555</v>
      </c>
      <c r="H556" t="s">
        <v>598</v>
      </c>
      <c r="I556" t="s">
        <v>1082</v>
      </c>
      <c r="J556" t="s">
        <v>870</v>
      </c>
      <c r="K556">
        <v>0.82</v>
      </c>
      <c r="L556" s="20">
        <v>0</v>
      </c>
      <c r="M556">
        <v>66.72</v>
      </c>
      <c r="N556">
        <v>16.79</v>
      </c>
      <c r="O556">
        <v>49.93</v>
      </c>
      <c r="P556" s="21">
        <v>3766.6646999999998</v>
      </c>
    </row>
    <row r="557" spans="7:16" x14ac:dyDescent="0.15">
      <c r="G557" s="11">
        <v>556</v>
      </c>
      <c r="H557" t="s">
        <v>329</v>
      </c>
      <c r="I557" t="s">
        <v>1504</v>
      </c>
      <c r="J557" t="s">
        <v>1688</v>
      </c>
      <c r="K557">
        <v>0.5</v>
      </c>
      <c r="L557" s="20">
        <v>-0.03</v>
      </c>
      <c r="M557">
        <v>66.710000000000008</v>
      </c>
      <c r="N557">
        <v>14.65</v>
      </c>
      <c r="O557">
        <v>52.06</v>
      </c>
      <c r="P557" s="21">
        <v>23.884888200000002</v>
      </c>
    </row>
    <row r="558" spans="7:16" x14ac:dyDescent="0.15">
      <c r="G558" s="11">
        <v>557</v>
      </c>
      <c r="H558" t="s">
        <v>559</v>
      </c>
      <c r="I558" t="s">
        <v>1129</v>
      </c>
      <c r="J558" t="s">
        <v>870</v>
      </c>
      <c r="K558">
        <v>0.84</v>
      </c>
      <c r="L558" s="20">
        <v>0</v>
      </c>
      <c r="M558">
        <v>66.430000000000007</v>
      </c>
      <c r="N558">
        <v>16.93</v>
      </c>
      <c r="O558">
        <v>49.5</v>
      </c>
      <c r="P558" s="21">
        <v>9290.3989000000001</v>
      </c>
    </row>
    <row r="559" spans="7:16" x14ac:dyDescent="0.15">
      <c r="G559" s="11">
        <v>558</v>
      </c>
      <c r="H559" t="s">
        <v>1546</v>
      </c>
      <c r="I559" t="s">
        <v>1547</v>
      </c>
      <c r="J559" t="s">
        <v>1688</v>
      </c>
      <c r="K559">
        <v>2.44</v>
      </c>
      <c r="L559" s="20">
        <v>0</v>
      </c>
      <c r="M559">
        <v>66.430000000000007</v>
      </c>
      <c r="N559">
        <v>24.18</v>
      </c>
      <c r="O559">
        <v>42.25</v>
      </c>
      <c r="P559" s="21">
        <v>927.83939999999996</v>
      </c>
    </row>
    <row r="560" spans="7:16" x14ac:dyDescent="0.15">
      <c r="G560" s="11">
        <v>559</v>
      </c>
      <c r="H560" t="s">
        <v>657</v>
      </c>
      <c r="I560" t="s">
        <v>996</v>
      </c>
      <c r="J560" t="s">
        <v>870</v>
      </c>
      <c r="K560">
        <v>1.59</v>
      </c>
      <c r="L560" s="20">
        <v>0</v>
      </c>
      <c r="M560">
        <v>66</v>
      </c>
      <c r="N560">
        <v>19.91</v>
      </c>
      <c r="O560">
        <v>46.09</v>
      </c>
      <c r="P560" s="21">
        <v>12968.299897499999</v>
      </c>
    </row>
    <row r="561" spans="7:16" x14ac:dyDescent="0.15">
      <c r="G561" s="11">
        <v>560</v>
      </c>
      <c r="H561" t="s">
        <v>499</v>
      </c>
      <c r="I561" t="s">
        <v>1450</v>
      </c>
      <c r="J561" t="s">
        <v>1688</v>
      </c>
      <c r="K561">
        <v>0.51</v>
      </c>
      <c r="L561" s="20">
        <v>-0.02</v>
      </c>
      <c r="M561">
        <v>66</v>
      </c>
      <c r="N561">
        <v>14.79</v>
      </c>
      <c r="O561">
        <v>51.21</v>
      </c>
      <c r="P561" s="21">
        <v>1341.0678</v>
      </c>
    </row>
    <row r="562" spans="7:16" x14ac:dyDescent="0.15">
      <c r="G562" s="11">
        <v>561</v>
      </c>
      <c r="H562" t="s">
        <v>316</v>
      </c>
      <c r="I562" t="s">
        <v>1017</v>
      </c>
      <c r="J562" t="s">
        <v>870</v>
      </c>
      <c r="K562">
        <v>1.69</v>
      </c>
      <c r="L562" s="20">
        <v>0</v>
      </c>
      <c r="M562">
        <v>66</v>
      </c>
      <c r="N562">
        <v>20.2</v>
      </c>
      <c r="O562">
        <v>45.8</v>
      </c>
      <c r="P562" s="21">
        <v>3586.8741</v>
      </c>
    </row>
    <row r="563" spans="7:16" x14ac:dyDescent="0.15">
      <c r="G563" s="11">
        <v>562</v>
      </c>
      <c r="H563" t="s">
        <v>1500</v>
      </c>
      <c r="I563" t="s">
        <v>1501</v>
      </c>
      <c r="J563" t="s">
        <v>1688</v>
      </c>
      <c r="K563">
        <v>0.82</v>
      </c>
      <c r="L563" s="20">
        <v>0</v>
      </c>
      <c r="M563">
        <v>65.86</v>
      </c>
      <c r="N563">
        <v>16.64</v>
      </c>
      <c r="O563">
        <v>49.22</v>
      </c>
      <c r="P563" s="21">
        <v>234.81242999999998</v>
      </c>
    </row>
    <row r="564" spans="7:16" x14ac:dyDescent="0.15">
      <c r="G564" s="11">
        <v>563</v>
      </c>
      <c r="H564" t="s">
        <v>1507</v>
      </c>
      <c r="I564" t="s">
        <v>1508</v>
      </c>
      <c r="J564" t="s">
        <v>1688</v>
      </c>
      <c r="K564">
        <v>0.34</v>
      </c>
      <c r="L564" s="20">
        <v>-0.05</v>
      </c>
      <c r="M564">
        <v>65.86</v>
      </c>
      <c r="N564">
        <v>13.37</v>
      </c>
      <c r="O564">
        <v>52.49</v>
      </c>
      <c r="P564" s="21">
        <v>1358.2013153</v>
      </c>
    </row>
    <row r="565" spans="7:16" x14ac:dyDescent="0.15">
      <c r="G565" s="11">
        <v>564</v>
      </c>
      <c r="H565" t="s">
        <v>711</v>
      </c>
      <c r="I565" t="s">
        <v>981</v>
      </c>
      <c r="J565" t="s">
        <v>870</v>
      </c>
      <c r="K565">
        <v>5.7</v>
      </c>
      <c r="L565" s="20">
        <v>0.08</v>
      </c>
      <c r="M565">
        <v>65.72</v>
      </c>
      <c r="N565">
        <v>36.270000000000003</v>
      </c>
      <c r="O565">
        <v>29.45</v>
      </c>
      <c r="P565" s="21">
        <v>758.60059999999999</v>
      </c>
    </row>
    <row r="566" spans="7:16" x14ac:dyDescent="0.15">
      <c r="G566" s="11">
        <v>565</v>
      </c>
      <c r="H566" t="s">
        <v>694</v>
      </c>
      <c r="I566" t="s">
        <v>1097</v>
      </c>
      <c r="J566" t="s">
        <v>870</v>
      </c>
      <c r="K566">
        <v>5.81</v>
      </c>
      <c r="L566" s="20">
        <v>0.09</v>
      </c>
      <c r="M566">
        <v>65.570000000000007</v>
      </c>
      <c r="N566">
        <v>36.840000000000003</v>
      </c>
      <c r="O566">
        <v>28.73</v>
      </c>
      <c r="P566" s="21">
        <v>6116.1166000000003</v>
      </c>
    </row>
    <row r="567" spans="7:16" x14ac:dyDescent="0.15">
      <c r="G567" s="11">
        <v>566</v>
      </c>
      <c r="H567" t="s">
        <v>1352</v>
      </c>
      <c r="I567" t="s">
        <v>1353</v>
      </c>
      <c r="J567" t="s">
        <v>1688</v>
      </c>
      <c r="K567">
        <v>2.11</v>
      </c>
      <c r="L567" s="20">
        <v>0</v>
      </c>
      <c r="M567">
        <v>65.430000000000007</v>
      </c>
      <c r="N567">
        <v>22.76</v>
      </c>
      <c r="O567">
        <v>42.67</v>
      </c>
      <c r="P567" s="21">
        <v>1079.9037599999999</v>
      </c>
    </row>
    <row r="568" spans="7:16" x14ac:dyDescent="0.15">
      <c r="G568" s="11">
        <v>567</v>
      </c>
      <c r="H568" t="s">
        <v>1512</v>
      </c>
      <c r="I568" t="s">
        <v>1513</v>
      </c>
      <c r="J568" t="s">
        <v>1688</v>
      </c>
      <c r="K568">
        <v>2.15</v>
      </c>
      <c r="L568" s="20">
        <v>0</v>
      </c>
      <c r="M568">
        <v>65.430000000000007</v>
      </c>
      <c r="N568">
        <v>22.9</v>
      </c>
      <c r="O568">
        <v>42.53</v>
      </c>
      <c r="P568" s="21">
        <v>77.343100000000007</v>
      </c>
    </row>
    <row r="569" spans="7:16" x14ac:dyDescent="0.15">
      <c r="G569" s="11">
        <v>568</v>
      </c>
      <c r="H569" t="s">
        <v>506</v>
      </c>
      <c r="I569" t="s">
        <v>953</v>
      </c>
      <c r="J569" t="s">
        <v>870</v>
      </c>
      <c r="K569">
        <v>2.19</v>
      </c>
      <c r="L569" s="20">
        <v>0</v>
      </c>
      <c r="M569">
        <v>65.3</v>
      </c>
      <c r="N569">
        <v>23.19</v>
      </c>
      <c r="O569">
        <v>42.11</v>
      </c>
      <c r="P569" s="21">
        <v>856.94680999999991</v>
      </c>
    </row>
    <row r="570" spans="7:16" x14ac:dyDescent="0.15">
      <c r="G570" s="11">
        <v>569</v>
      </c>
      <c r="H570" t="s">
        <v>651</v>
      </c>
      <c r="I570" t="s">
        <v>1103</v>
      </c>
      <c r="J570" t="s">
        <v>870</v>
      </c>
      <c r="K570">
        <v>-1.58</v>
      </c>
      <c r="L570" s="20">
        <v>-0.11</v>
      </c>
      <c r="M570">
        <v>65.290000000000006</v>
      </c>
      <c r="N570">
        <v>4.2699999999999996</v>
      </c>
      <c r="O570">
        <v>61.02</v>
      </c>
      <c r="P570" s="21">
        <v>5075.2677490000005</v>
      </c>
    </row>
    <row r="571" spans="7:16" x14ac:dyDescent="0.15">
      <c r="G571" s="11">
        <v>570</v>
      </c>
      <c r="H571" t="s">
        <v>754</v>
      </c>
      <c r="I571" t="s">
        <v>1296</v>
      </c>
      <c r="J571" t="s">
        <v>1288</v>
      </c>
      <c r="K571">
        <v>9.85</v>
      </c>
      <c r="L571" s="20">
        <v>2.42</v>
      </c>
      <c r="M571">
        <v>65.150000000000006</v>
      </c>
      <c r="N571">
        <v>61.74</v>
      </c>
      <c r="O571">
        <v>3.41</v>
      </c>
      <c r="P571" s="21">
        <v>46.989919300000004</v>
      </c>
    </row>
    <row r="572" spans="7:16" x14ac:dyDescent="0.15">
      <c r="G572" s="11">
        <v>571</v>
      </c>
      <c r="H572" t="s">
        <v>367</v>
      </c>
      <c r="I572" t="s">
        <v>23</v>
      </c>
      <c r="J572" t="s">
        <v>1182</v>
      </c>
      <c r="K572">
        <v>0.36</v>
      </c>
      <c r="L572" s="20">
        <v>-0.03</v>
      </c>
      <c r="M572">
        <v>65.150000000000006</v>
      </c>
      <c r="N572">
        <v>13.51</v>
      </c>
      <c r="O572">
        <v>51.64</v>
      </c>
      <c r="P572" s="21">
        <v>446.5693</v>
      </c>
    </row>
    <row r="573" spans="7:16" x14ac:dyDescent="0.15">
      <c r="G573" s="11">
        <v>572</v>
      </c>
      <c r="H573" t="s">
        <v>414</v>
      </c>
      <c r="I573" t="s">
        <v>22</v>
      </c>
      <c r="J573" t="s">
        <v>1688</v>
      </c>
      <c r="K573">
        <v>0.34</v>
      </c>
      <c r="L573" s="20">
        <v>-0.03</v>
      </c>
      <c r="M573">
        <v>65.150000000000006</v>
      </c>
      <c r="N573">
        <v>13.23</v>
      </c>
      <c r="O573">
        <v>51.92</v>
      </c>
      <c r="P573" s="21">
        <v>555.69550000000004</v>
      </c>
    </row>
    <row r="574" spans="7:16" x14ac:dyDescent="0.15">
      <c r="G574" s="11">
        <v>573</v>
      </c>
      <c r="H574" t="s">
        <v>311</v>
      </c>
      <c r="I574" t="s">
        <v>959</v>
      </c>
      <c r="J574" t="s">
        <v>870</v>
      </c>
      <c r="K574">
        <v>2.04</v>
      </c>
      <c r="L574" s="20">
        <v>0</v>
      </c>
      <c r="M574">
        <v>64.87</v>
      </c>
      <c r="N574">
        <v>22.48</v>
      </c>
      <c r="O574">
        <v>42.39</v>
      </c>
      <c r="P574" s="21">
        <v>1049.4924000000001</v>
      </c>
    </row>
    <row r="575" spans="7:16" x14ac:dyDescent="0.15">
      <c r="G575" s="11">
        <v>574</v>
      </c>
      <c r="H575" t="s">
        <v>1291</v>
      </c>
      <c r="I575" t="s">
        <v>1292</v>
      </c>
      <c r="J575" t="s">
        <v>1288</v>
      </c>
      <c r="K575">
        <v>6.82</v>
      </c>
      <c r="L575" s="20">
        <v>0.15</v>
      </c>
      <c r="M575">
        <v>64.44</v>
      </c>
      <c r="N575">
        <v>43.81</v>
      </c>
      <c r="O575">
        <v>20.63</v>
      </c>
      <c r="P575" s="21">
        <v>216.4211</v>
      </c>
    </row>
    <row r="576" spans="7:16" x14ac:dyDescent="0.15">
      <c r="G576" s="11">
        <v>575</v>
      </c>
      <c r="H576" t="s">
        <v>1520</v>
      </c>
      <c r="I576" t="s">
        <v>1521</v>
      </c>
      <c r="J576" t="s">
        <v>1688</v>
      </c>
      <c r="K576">
        <v>-1.64</v>
      </c>
      <c r="L576" s="20">
        <v>-0.11</v>
      </c>
      <c r="M576">
        <v>64.44</v>
      </c>
      <c r="N576">
        <v>3.7</v>
      </c>
      <c r="O576">
        <v>60.74</v>
      </c>
      <c r="P576" s="21">
        <v>896.87940000000003</v>
      </c>
    </row>
    <row r="577" spans="7:16" x14ac:dyDescent="0.15">
      <c r="G577" s="11">
        <v>576</v>
      </c>
      <c r="H577" t="s">
        <v>586</v>
      </c>
      <c r="I577" t="s">
        <v>991</v>
      </c>
      <c r="J577" t="s">
        <v>870</v>
      </c>
      <c r="K577">
        <v>7.45</v>
      </c>
      <c r="L577" s="20">
        <v>0.2</v>
      </c>
      <c r="M577">
        <v>64.430000000000007</v>
      </c>
      <c r="N577">
        <v>48.36</v>
      </c>
      <c r="O577">
        <v>16.07</v>
      </c>
      <c r="P577" s="21">
        <v>1061.1809000000001</v>
      </c>
    </row>
    <row r="578" spans="7:16" x14ac:dyDescent="0.15">
      <c r="G578" s="11">
        <v>577</v>
      </c>
      <c r="H578" t="s">
        <v>412</v>
      </c>
      <c r="I578" t="s">
        <v>1186</v>
      </c>
      <c r="J578" t="s">
        <v>1182</v>
      </c>
      <c r="K578">
        <v>0.51</v>
      </c>
      <c r="L578" s="20">
        <v>0</v>
      </c>
      <c r="M578">
        <v>64.02</v>
      </c>
      <c r="N578">
        <v>14.94</v>
      </c>
      <c r="O578">
        <v>49.08</v>
      </c>
      <c r="P578" s="21">
        <v>1558.5171</v>
      </c>
    </row>
    <row r="579" spans="7:16" x14ac:dyDescent="0.15">
      <c r="G579" s="11">
        <v>578</v>
      </c>
      <c r="H579" t="s">
        <v>1378</v>
      </c>
      <c r="I579" t="s">
        <v>1379</v>
      </c>
      <c r="J579" t="s">
        <v>1688</v>
      </c>
      <c r="K579">
        <v>7.95</v>
      </c>
      <c r="L579" s="20">
        <v>0.25</v>
      </c>
      <c r="M579">
        <v>64.010000000000005</v>
      </c>
      <c r="N579">
        <v>50.78</v>
      </c>
      <c r="O579">
        <v>13.23</v>
      </c>
      <c r="P579" s="21">
        <v>105.74339999999999</v>
      </c>
    </row>
    <row r="580" spans="7:16" x14ac:dyDescent="0.15">
      <c r="G580" s="11">
        <v>579</v>
      </c>
      <c r="H580" t="s">
        <v>1618</v>
      </c>
      <c r="I580" t="s">
        <v>1619</v>
      </c>
      <c r="J580" t="s">
        <v>1688</v>
      </c>
      <c r="K580">
        <v>9.1300000000000008</v>
      </c>
      <c r="L580" s="20">
        <v>0.74</v>
      </c>
      <c r="M580">
        <v>63.87</v>
      </c>
      <c r="N580">
        <v>57.33</v>
      </c>
      <c r="O580">
        <v>6.54</v>
      </c>
      <c r="P580" s="21">
        <v>2141.1297</v>
      </c>
    </row>
    <row r="581" spans="7:16" x14ac:dyDescent="0.15">
      <c r="G581" s="11">
        <v>580</v>
      </c>
      <c r="H581" t="s">
        <v>705</v>
      </c>
      <c r="I581" t="s">
        <v>1272</v>
      </c>
      <c r="J581" t="s">
        <v>1251</v>
      </c>
      <c r="K581">
        <v>8.25</v>
      </c>
      <c r="L581" s="20">
        <v>0.5</v>
      </c>
      <c r="M581">
        <v>62.730000000000004</v>
      </c>
      <c r="N581">
        <v>53.77</v>
      </c>
      <c r="O581">
        <v>8.9600000000000009</v>
      </c>
      <c r="P581" s="21">
        <v>850.78843399999994</v>
      </c>
    </row>
    <row r="582" spans="7:16" x14ac:dyDescent="0.15">
      <c r="G582" s="11">
        <v>581</v>
      </c>
      <c r="H582" t="s">
        <v>720</v>
      </c>
      <c r="I582" t="s">
        <v>1162</v>
      </c>
      <c r="J582" t="s">
        <v>870</v>
      </c>
      <c r="K582">
        <v>0.41</v>
      </c>
      <c r="L582" s="20">
        <v>0</v>
      </c>
      <c r="M582">
        <v>62.589999999999996</v>
      </c>
      <c r="N582">
        <v>14.08</v>
      </c>
      <c r="O582">
        <v>48.51</v>
      </c>
      <c r="P582" s="21">
        <v>25075.273700000002</v>
      </c>
    </row>
    <row r="583" spans="7:16" x14ac:dyDescent="0.15">
      <c r="G583" s="11">
        <v>582</v>
      </c>
      <c r="H583" t="s">
        <v>602</v>
      </c>
      <c r="I583" t="s">
        <v>1003</v>
      </c>
      <c r="J583" t="s">
        <v>870</v>
      </c>
      <c r="K583">
        <v>7.37</v>
      </c>
      <c r="L583" s="20">
        <v>0.23</v>
      </c>
      <c r="M583">
        <v>62.589999999999996</v>
      </c>
      <c r="N583">
        <v>47.51</v>
      </c>
      <c r="O583">
        <v>15.08</v>
      </c>
      <c r="P583" s="21">
        <v>553.3211</v>
      </c>
    </row>
    <row r="584" spans="7:16" x14ac:dyDescent="0.15">
      <c r="G584" s="11">
        <v>583</v>
      </c>
      <c r="H584" t="s">
        <v>758</v>
      </c>
      <c r="I584" t="s">
        <v>1173</v>
      </c>
      <c r="J584" t="s">
        <v>870</v>
      </c>
      <c r="K584">
        <v>7.49</v>
      </c>
      <c r="L584" s="20">
        <v>0.25</v>
      </c>
      <c r="M584">
        <v>62.45</v>
      </c>
      <c r="N584">
        <v>48.79</v>
      </c>
      <c r="O584">
        <v>13.66</v>
      </c>
      <c r="P584" s="21">
        <v>40719.767500000002</v>
      </c>
    </row>
    <row r="585" spans="7:16" x14ac:dyDescent="0.15">
      <c r="G585" s="11">
        <v>584</v>
      </c>
      <c r="H585" t="s">
        <v>627</v>
      </c>
      <c r="I585" t="s">
        <v>1026</v>
      </c>
      <c r="J585" t="s">
        <v>870</v>
      </c>
      <c r="K585">
        <v>-1.47</v>
      </c>
      <c r="L585" s="20">
        <v>-0.09</v>
      </c>
      <c r="M585">
        <v>62.45</v>
      </c>
      <c r="N585">
        <v>4.84</v>
      </c>
      <c r="O585">
        <v>57.61</v>
      </c>
      <c r="P585" s="21">
        <v>1096.355</v>
      </c>
    </row>
    <row r="586" spans="7:16" x14ac:dyDescent="0.15">
      <c r="G586" s="11">
        <v>585</v>
      </c>
      <c r="H586" t="s">
        <v>758</v>
      </c>
      <c r="I586" t="s">
        <v>1173</v>
      </c>
      <c r="J586" t="s">
        <v>1288</v>
      </c>
      <c r="K586">
        <v>7.49</v>
      </c>
      <c r="L586" s="20">
        <v>0.25</v>
      </c>
      <c r="M586">
        <v>62.3</v>
      </c>
      <c r="N586">
        <v>48.93</v>
      </c>
      <c r="O586">
        <v>13.37</v>
      </c>
      <c r="P586" s="21">
        <v>40719.767500000002</v>
      </c>
    </row>
    <row r="587" spans="7:16" x14ac:dyDescent="0.15">
      <c r="G587" s="11">
        <v>586</v>
      </c>
      <c r="H587" t="s">
        <v>570</v>
      </c>
      <c r="I587" t="s">
        <v>1111</v>
      </c>
      <c r="J587" t="s">
        <v>870</v>
      </c>
      <c r="K587">
        <v>1.65</v>
      </c>
      <c r="L587" s="20">
        <v>0</v>
      </c>
      <c r="M587">
        <v>62.019999999999996</v>
      </c>
      <c r="N587">
        <v>20.059999999999999</v>
      </c>
      <c r="O587">
        <v>41.96</v>
      </c>
      <c r="P587" s="21">
        <v>3951.4804222000002</v>
      </c>
    </row>
    <row r="588" spans="7:16" x14ac:dyDescent="0.15">
      <c r="G588" s="11">
        <v>587</v>
      </c>
      <c r="H588" t="s">
        <v>362</v>
      </c>
      <c r="I588" t="s">
        <v>1184</v>
      </c>
      <c r="J588" t="s">
        <v>1182</v>
      </c>
      <c r="K588">
        <v>0.36</v>
      </c>
      <c r="L588" s="20">
        <v>0</v>
      </c>
      <c r="M588">
        <v>61.739999999999995</v>
      </c>
      <c r="N588">
        <v>13.66</v>
      </c>
      <c r="O588">
        <v>48.08</v>
      </c>
      <c r="P588" s="21">
        <v>1899.5229999999999</v>
      </c>
    </row>
    <row r="589" spans="7:16" x14ac:dyDescent="0.15">
      <c r="G589" s="11">
        <v>588</v>
      </c>
      <c r="H589" t="s">
        <v>1289</v>
      </c>
      <c r="I589" t="s">
        <v>1290</v>
      </c>
      <c r="J589" t="s">
        <v>1288</v>
      </c>
      <c r="K589">
        <v>9.14</v>
      </c>
      <c r="L589" s="20">
        <v>1.73</v>
      </c>
      <c r="M589">
        <v>61.6</v>
      </c>
      <c r="N589">
        <v>57.47</v>
      </c>
      <c r="O589">
        <v>4.13</v>
      </c>
      <c r="P589" s="21">
        <v>82.996200000000002</v>
      </c>
    </row>
    <row r="590" spans="7:16" x14ac:dyDescent="0.15">
      <c r="G590" s="11">
        <v>589</v>
      </c>
      <c r="H590" t="s">
        <v>541</v>
      </c>
      <c r="I590" t="s">
        <v>17</v>
      </c>
      <c r="J590" t="s">
        <v>1688</v>
      </c>
      <c r="K590">
        <v>4.2</v>
      </c>
      <c r="L590" s="20">
        <v>7.0000000000000007E-2</v>
      </c>
      <c r="M590">
        <v>61.3</v>
      </c>
      <c r="N590">
        <v>31.29</v>
      </c>
      <c r="O590">
        <v>30.01</v>
      </c>
      <c r="P590" s="21">
        <v>18783.137900000002</v>
      </c>
    </row>
    <row r="591" spans="7:16" x14ac:dyDescent="0.15">
      <c r="G591" s="11">
        <v>590</v>
      </c>
      <c r="H591" t="s">
        <v>376</v>
      </c>
      <c r="I591" t="s">
        <v>1263</v>
      </c>
      <c r="J591" t="s">
        <v>1251</v>
      </c>
      <c r="K591">
        <v>0.31</v>
      </c>
      <c r="L591" s="20">
        <v>0</v>
      </c>
      <c r="M591">
        <v>60.89</v>
      </c>
      <c r="N591">
        <v>13.09</v>
      </c>
      <c r="O591">
        <v>47.8</v>
      </c>
      <c r="P591" s="21">
        <v>128.45220839999999</v>
      </c>
    </row>
    <row r="592" spans="7:16" x14ac:dyDescent="0.15">
      <c r="G592" s="11">
        <v>591</v>
      </c>
      <c r="H592" t="s">
        <v>1608</v>
      </c>
      <c r="I592" t="s">
        <v>1609</v>
      </c>
      <c r="J592" t="s">
        <v>1688</v>
      </c>
      <c r="K592">
        <v>0.28999999999999998</v>
      </c>
      <c r="L592" s="20">
        <v>0</v>
      </c>
      <c r="M592">
        <v>60.879999999999995</v>
      </c>
      <c r="N592">
        <v>12.66</v>
      </c>
      <c r="O592">
        <v>48.22</v>
      </c>
      <c r="P592" s="21">
        <v>744.47550000000001</v>
      </c>
    </row>
    <row r="593" spans="7:16" x14ac:dyDescent="0.15">
      <c r="G593" s="11">
        <v>592</v>
      </c>
      <c r="H593" t="s">
        <v>712</v>
      </c>
      <c r="I593" t="s">
        <v>995</v>
      </c>
      <c r="J593" t="s">
        <v>870</v>
      </c>
      <c r="K593">
        <v>0.18</v>
      </c>
      <c r="L593" s="20">
        <v>0</v>
      </c>
      <c r="M593">
        <v>59.31</v>
      </c>
      <c r="N593">
        <v>11.66</v>
      </c>
      <c r="O593">
        <v>47.65</v>
      </c>
      <c r="P593" s="21">
        <v>448.42630000000003</v>
      </c>
    </row>
    <row r="594" spans="7:16" x14ac:dyDescent="0.15">
      <c r="G594" s="11">
        <v>593</v>
      </c>
      <c r="H594" t="s">
        <v>1305</v>
      </c>
      <c r="I594" t="s">
        <v>1173</v>
      </c>
      <c r="J594" t="s">
        <v>1288</v>
      </c>
      <c r="K594">
        <v>7.84</v>
      </c>
      <c r="L594" s="20">
        <v>0.56999999999999995</v>
      </c>
      <c r="M594">
        <v>58.89</v>
      </c>
      <c r="N594">
        <v>50.64</v>
      </c>
      <c r="O594">
        <v>8.25</v>
      </c>
      <c r="P594" s="21">
        <v>5149.6860700000007</v>
      </c>
    </row>
    <row r="595" spans="7:16" x14ac:dyDescent="0.15">
      <c r="G595" s="11">
        <v>594</v>
      </c>
      <c r="H595" t="s">
        <v>767</v>
      </c>
      <c r="I595" t="s">
        <v>1211</v>
      </c>
      <c r="J595" t="s">
        <v>1198</v>
      </c>
      <c r="K595">
        <v>8.35</v>
      </c>
      <c r="L595" s="20">
        <v>1.88</v>
      </c>
      <c r="M595">
        <v>58.459999999999994</v>
      </c>
      <c r="N595">
        <v>54.48</v>
      </c>
      <c r="O595">
        <v>3.98</v>
      </c>
      <c r="P595" s="21">
        <v>9736.8758999999991</v>
      </c>
    </row>
    <row r="596" spans="7:16" x14ac:dyDescent="0.15">
      <c r="G596" s="11">
        <v>595</v>
      </c>
      <c r="H596" t="s">
        <v>675</v>
      </c>
      <c r="I596" t="s">
        <v>885</v>
      </c>
      <c r="J596" t="s">
        <v>870</v>
      </c>
      <c r="K596">
        <v>3.16</v>
      </c>
      <c r="L596" s="20">
        <v>0.04</v>
      </c>
      <c r="M596">
        <v>57.75</v>
      </c>
      <c r="N596">
        <v>26.88</v>
      </c>
      <c r="O596">
        <v>30.87</v>
      </c>
      <c r="P596" s="21">
        <v>30.630500000000001</v>
      </c>
    </row>
    <row r="597" spans="7:16" x14ac:dyDescent="0.15">
      <c r="G597" s="11">
        <v>596</v>
      </c>
      <c r="H597" t="s">
        <v>739</v>
      </c>
      <c r="I597" t="s">
        <v>1055</v>
      </c>
      <c r="J597" t="s">
        <v>870</v>
      </c>
      <c r="K597">
        <v>5.89</v>
      </c>
      <c r="L597" s="20">
        <v>0.16</v>
      </c>
      <c r="M597">
        <v>57.61</v>
      </c>
      <c r="N597">
        <v>37.979999999999997</v>
      </c>
      <c r="O597">
        <v>19.63</v>
      </c>
      <c r="P597" s="21">
        <v>1536.5525500000001</v>
      </c>
    </row>
    <row r="598" spans="7:16" x14ac:dyDescent="0.15">
      <c r="G598" s="11">
        <v>597</v>
      </c>
      <c r="H598" t="s">
        <v>622</v>
      </c>
      <c r="I598" t="s">
        <v>1298</v>
      </c>
      <c r="J598" t="s">
        <v>1288</v>
      </c>
      <c r="K598">
        <v>3.61</v>
      </c>
      <c r="L598" s="20">
        <v>0.09</v>
      </c>
      <c r="M598">
        <v>57.61</v>
      </c>
      <c r="N598">
        <v>29.3</v>
      </c>
      <c r="O598">
        <v>28.31</v>
      </c>
      <c r="P598" s="21">
        <v>53.481299999999997</v>
      </c>
    </row>
    <row r="599" spans="7:16" x14ac:dyDescent="0.15">
      <c r="G599" s="11">
        <v>598</v>
      </c>
      <c r="H599" t="s">
        <v>719</v>
      </c>
      <c r="I599" t="s">
        <v>1200</v>
      </c>
      <c r="J599" t="s">
        <v>1198</v>
      </c>
      <c r="K599">
        <v>8.49</v>
      </c>
      <c r="L599" s="20">
        <v>5.8</v>
      </c>
      <c r="M599">
        <v>57.33</v>
      </c>
      <c r="N599">
        <v>55.48</v>
      </c>
      <c r="O599">
        <v>1.85</v>
      </c>
      <c r="P599" s="21">
        <v>8808.0426626000008</v>
      </c>
    </row>
    <row r="600" spans="7:16" x14ac:dyDescent="0.15">
      <c r="G600" s="11">
        <v>599</v>
      </c>
      <c r="H600" t="s">
        <v>593</v>
      </c>
      <c r="I600" t="s">
        <v>877</v>
      </c>
      <c r="J600" t="s">
        <v>870</v>
      </c>
      <c r="K600">
        <v>3.04</v>
      </c>
      <c r="L600" s="20">
        <v>0.03</v>
      </c>
      <c r="M600">
        <v>56.900000000000006</v>
      </c>
      <c r="N600">
        <v>25.89</v>
      </c>
      <c r="O600">
        <v>31.01</v>
      </c>
      <c r="P600" s="21">
        <v>346.0616</v>
      </c>
    </row>
    <row r="601" spans="7:16" x14ac:dyDescent="0.15">
      <c r="G601" s="11">
        <v>600</v>
      </c>
      <c r="H601" t="s">
        <v>723</v>
      </c>
      <c r="I601" t="s">
        <v>1112</v>
      </c>
      <c r="J601" t="s">
        <v>870</v>
      </c>
      <c r="K601">
        <v>3.89</v>
      </c>
      <c r="L601" s="20">
        <v>0.11</v>
      </c>
      <c r="M601">
        <v>56.760000000000005</v>
      </c>
      <c r="N601">
        <v>30.44</v>
      </c>
      <c r="O601">
        <v>26.32</v>
      </c>
      <c r="P601" s="21">
        <v>2799.0864410999998</v>
      </c>
    </row>
    <row r="602" spans="7:16" x14ac:dyDescent="0.15">
      <c r="G602" s="11">
        <v>601</v>
      </c>
      <c r="H602" t="s">
        <v>1576</v>
      </c>
      <c r="I602" t="s">
        <v>1577</v>
      </c>
      <c r="J602" t="s">
        <v>1688</v>
      </c>
      <c r="K602">
        <v>7.97</v>
      </c>
      <c r="L602" s="20">
        <v>1.05</v>
      </c>
      <c r="M602">
        <v>56.76</v>
      </c>
      <c r="N602">
        <v>51.07</v>
      </c>
      <c r="O602">
        <v>5.69</v>
      </c>
      <c r="P602" s="21">
        <v>289.25580000000002</v>
      </c>
    </row>
    <row r="603" spans="7:16" x14ac:dyDescent="0.15">
      <c r="G603" s="11">
        <v>602</v>
      </c>
      <c r="H603" t="s">
        <v>346</v>
      </c>
      <c r="I603" t="s">
        <v>966</v>
      </c>
      <c r="J603" t="s">
        <v>870</v>
      </c>
      <c r="K603">
        <v>-0.1</v>
      </c>
      <c r="L603" s="20">
        <v>0</v>
      </c>
      <c r="M603">
        <v>55.199999999999996</v>
      </c>
      <c r="N603">
        <v>7.97</v>
      </c>
      <c r="O603">
        <v>47.23</v>
      </c>
      <c r="P603" s="21">
        <v>873.28139999999996</v>
      </c>
    </row>
    <row r="604" spans="7:16" x14ac:dyDescent="0.15">
      <c r="G604" s="11">
        <v>603</v>
      </c>
      <c r="H604" t="s">
        <v>587</v>
      </c>
      <c r="I604" t="s">
        <v>1059</v>
      </c>
      <c r="J604" t="s">
        <v>870</v>
      </c>
      <c r="K604">
        <v>-0.26</v>
      </c>
      <c r="L604" s="20">
        <v>0</v>
      </c>
      <c r="M604">
        <v>54.62</v>
      </c>
      <c r="N604">
        <v>7.25</v>
      </c>
      <c r="O604">
        <v>47.37</v>
      </c>
      <c r="P604" s="21">
        <v>2228.2977000000001</v>
      </c>
    </row>
    <row r="605" spans="7:16" x14ac:dyDescent="0.15">
      <c r="G605" s="11">
        <v>604</v>
      </c>
      <c r="H605" t="s">
        <v>756</v>
      </c>
      <c r="I605" t="s">
        <v>929</v>
      </c>
      <c r="J605" t="s">
        <v>870</v>
      </c>
      <c r="K605">
        <v>7.35</v>
      </c>
      <c r="L605" s="20">
        <v>0.66</v>
      </c>
      <c r="M605">
        <v>54.339999999999996</v>
      </c>
      <c r="N605">
        <v>47.23</v>
      </c>
      <c r="O605">
        <v>7.11</v>
      </c>
      <c r="P605" s="21">
        <v>202.0728</v>
      </c>
    </row>
    <row r="606" spans="7:16" x14ac:dyDescent="0.15">
      <c r="G606" s="11">
        <v>605</v>
      </c>
      <c r="H606" t="s">
        <v>286</v>
      </c>
      <c r="I606" t="s">
        <v>20</v>
      </c>
      <c r="J606" t="s">
        <v>1213</v>
      </c>
      <c r="K606">
        <v>7.64</v>
      </c>
      <c r="L606" s="20">
        <v>1.52</v>
      </c>
      <c r="M606">
        <v>54.33</v>
      </c>
      <c r="N606">
        <v>49.64</v>
      </c>
      <c r="O606">
        <v>4.6900000000000004</v>
      </c>
      <c r="P606" s="21">
        <v>143.1398672</v>
      </c>
    </row>
    <row r="607" spans="7:16" x14ac:dyDescent="0.15">
      <c r="G607" s="11">
        <v>606</v>
      </c>
      <c r="H607" t="s">
        <v>695</v>
      </c>
      <c r="I607" t="s">
        <v>1117</v>
      </c>
      <c r="J607" t="s">
        <v>870</v>
      </c>
      <c r="K607">
        <v>-0.3</v>
      </c>
      <c r="L607" s="20">
        <v>0</v>
      </c>
      <c r="M607">
        <v>54.05</v>
      </c>
      <c r="N607">
        <v>6.97</v>
      </c>
      <c r="O607">
        <v>47.08</v>
      </c>
      <c r="P607" s="21">
        <v>5988.2696799999994</v>
      </c>
    </row>
    <row r="608" spans="7:16" x14ac:dyDescent="0.15">
      <c r="G608" s="11">
        <v>607</v>
      </c>
      <c r="H608" t="s">
        <v>1411</v>
      </c>
      <c r="I608" t="s">
        <v>1412</v>
      </c>
      <c r="J608" t="s">
        <v>1688</v>
      </c>
      <c r="K608">
        <v>6.93</v>
      </c>
      <c r="L608" s="20">
        <v>0.41</v>
      </c>
      <c r="M608">
        <v>53.92</v>
      </c>
      <c r="N608">
        <v>44.1</v>
      </c>
      <c r="O608">
        <v>9.82</v>
      </c>
      <c r="P608" s="21">
        <v>2464.5394000000001</v>
      </c>
    </row>
    <row r="609" spans="7:16" x14ac:dyDescent="0.15">
      <c r="G609" s="11">
        <v>608</v>
      </c>
      <c r="H609" t="s">
        <v>631</v>
      </c>
      <c r="I609" t="s">
        <v>1028</v>
      </c>
      <c r="J609" t="s">
        <v>870</v>
      </c>
      <c r="K609">
        <v>-1.53</v>
      </c>
      <c r="L609" s="20">
        <v>0</v>
      </c>
      <c r="M609">
        <v>53.91</v>
      </c>
      <c r="N609">
        <v>4.55</v>
      </c>
      <c r="O609">
        <v>49.36</v>
      </c>
      <c r="P609" s="21">
        <v>1338.8474000000001</v>
      </c>
    </row>
    <row r="610" spans="7:16" x14ac:dyDescent="0.15">
      <c r="G610" s="11">
        <v>609</v>
      </c>
      <c r="H610" t="s">
        <v>726</v>
      </c>
      <c r="I610" t="s">
        <v>1306</v>
      </c>
      <c r="J610" t="s">
        <v>1288</v>
      </c>
      <c r="K610">
        <v>7</v>
      </c>
      <c r="L610" s="20">
        <v>0.56000000000000005</v>
      </c>
      <c r="M610">
        <v>53.480000000000004</v>
      </c>
      <c r="N610">
        <v>45.09</v>
      </c>
      <c r="O610">
        <v>8.39</v>
      </c>
      <c r="P610" s="21">
        <v>9064.7235000000001</v>
      </c>
    </row>
    <row r="611" spans="7:16" x14ac:dyDescent="0.15">
      <c r="G611" s="11">
        <v>610</v>
      </c>
      <c r="H611" t="s">
        <v>536</v>
      </c>
      <c r="I611" t="s">
        <v>1303</v>
      </c>
      <c r="J611" t="s">
        <v>1288</v>
      </c>
      <c r="K611">
        <v>5.97</v>
      </c>
      <c r="L611" s="20">
        <v>0.24</v>
      </c>
      <c r="M611">
        <v>53.48</v>
      </c>
      <c r="N611">
        <v>38.83</v>
      </c>
      <c r="O611">
        <v>14.65</v>
      </c>
      <c r="P611" s="21">
        <v>2414.4142999999999</v>
      </c>
    </row>
    <row r="612" spans="7:16" x14ac:dyDescent="0.15">
      <c r="G612" s="11">
        <v>611</v>
      </c>
      <c r="H612" t="s">
        <v>557</v>
      </c>
      <c r="I612" t="s">
        <v>1027</v>
      </c>
      <c r="J612" t="s">
        <v>870</v>
      </c>
      <c r="K612">
        <v>-1.54</v>
      </c>
      <c r="L612" s="20">
        <v>0</v>
      </c>
      <c r="M612">
        <v>53.34</v>
      </c>
      <c r="N612">
        <v>4.41</v>
      </c>
      <c r="O612">
        <v>48.93</v>
      </c>
      <c r="P612" s="21">
        <v>1455.4264000000001</v>
      </c>
    </row>
    <row r="613" spans="7:16" x14ac:dyDescent="0.15">
      <c r="G613" s="11">
        <v>612</v>
      </c>
      <c r="H613" t="s">
        <v>757</v>
      </c>
      <c r="I613" t="s">
        <v>1320</v>
      </c>
      <c r="J613" t="s">
        <v>1288</v>
      </c>
      <c r="K613">
        <v>7.67</v>
      </c>
      <c r="L613" s="20">
        <v>2.44</v>
      </c>
      <c r="M613">
        <v>53.06</v>
      </c>
      <c r="N613">
        <v>49.93</v>
      </c>
      <c r="O613">
        <v>3.13</v>
      </c>
      <c r="P613" s="21">
        <v>103.10185</v>
      </c>
    </row>
    <row r="614" spans="7:16" x14ac:dyDescent="0.15">
      <c r="G614" s="11">
        <v>613</v>
      </c>
      <c r="H614" t="s">
        <v>750</v>
      </c>
      <c r="I614" t="s">
        <v>1307</v>
      </c>
      <c r="J614" t="s">
        <v>1288</v>
      </c>
      <c r="K614">
        <v>6.98</v>
      </c>
      <c r="L614" s="20">
        <v>0.57999999999999996</v>
      </c>
      <c r="M614">
        <v>53.06</v>
      </c>
      <c r="N614">
        <v>44.95</v>
      </c>
      <c r="O614">
        <v>8.11</v>
      </c>
      <c r="P614" s="21">
        <v>7593.5699000000004</v>
      </c>
    </row>
    <row r="615" spans="7:16" x14ac:dyDescent="0.15">
      <c r="G615" s="11">
        <v>614</v>
      </c>
      <c r="H615" t="s">
        <v>533</v>
      </c>
      <c r="I615" t="s">
        <v>955</v>
      </c>
      <c r="J615" t="s">
        <v>870</v>
      </c>
      <c r="K615">
        <v>6.78</v>
      </c>
      <c r="L615" s="20">
        <v>0.44</v>
      </c>
      <c r="M615">
        <v>52.92</v>
      </c>
      <c r="N615">
        <v>43.53</v>
      </c>
      <c r="O615">
        <v>9.39</v>
      </c>
      <c r="P615" s="21">
        <v>1190.0719099999999</v>
      </c>
    </row>
    <row r="616" spans="7:16" x14ac:dyDescent="0.15">
      <c r="G616" s="11">
        <v>615</v>
      </c>
      <c r="H616" t="s">
        <v>692</v>
      </c>
      <c r="I616" t="s">
        <v>1103</v>
      </c>
      <c r="J616" t="s">
        <v>870</v>
      </c>
      <c r="K616">
        <v>-1.59</v>
      </c>
      <c r="L616" s="20">
        <v>0</v>
      </c>
      <c r="M616">
        <v>52.92</v>
      </c>
      <c r="N616">
        <v>4.13</v>
      </c>
      <c r="O616">
        <v>48.79</v>
      </c>
      <c r="P616" s="21">
        <v>26070.110700000001</v>
      </c>
    </row>
    <row r="617" spans="7:16" x14ac:dyDescent="0.15">
      <c r="G617" s="11">
        <v>616</v>
      </c>
      <c r="H617" t="s">
        <v>479</v>
      </c>
      <c r="I617" t="s">
        <v>1109</v>
      </c>
      <c r="J617" t="s">
        <v>870</v>
      </c>
      <c r="K617">
        <v>-0.65</v>
      </c>
      <c r="L617" s="20">
        <v>0</v>
      </c>
      <c r="M617">
        <v>52.919999999999995</v>
      </c>
      <c r="N617">
        <v>6.12</v>
      </c>
      <c r="O617">
        <v>46.8</v>
      </c>
      <c r="P617" s="21">
        <v>10883.8228</v>
      </c>
    </row>
    <row r="618" spans="7:16" x14ac:dyDescent="0.15">
      <c r="G618" s="11">
        <v>617</v>
      </c>
      <c r="H618" t="s">
        <v>536</v>
      </c>
      <c r="I618" t="s">
        <v>1077</v>
      </c>
      <c r="J618" t="s">
        <v>870</v>
      </c>
      <c r="K618">
        <v>5.97</v>
      </c>
      <c r="L618" s="20">
        <v>0.24</v>
      </c>
      <c r="M618">
        <v>52.919999999999995</v>
      </c>
      <c r="N618">
        <v>38.979999999999997</v>
      </c>
      <c r="O618">
        <v>13.94</v>
      </c>
      <c r="P618" s="21">
        <v>2414.4142999999999</v>
      </c>
    </row>
    <row r="619" spans="7:16" x14ac:dyDescent="0.15">
      <c r="G619" s="11">
        <v>618</v>
      </c>
      <c r="H619" t="s">
        <v>433</v>
      </c>
      <c r="I619" t="s">
        <v>1194</v>
      </c>
      <c r="J619" t="s">
        <v>1319</v>
      </c>
      <c r="K619">
        <v>-5.43</v>
      </c>
      <c r="L619" s="20">
        <v>-0.01</v>
      </c>
      <c r="M619">
        <v>52.63</v>
      </c>
      <c r="N619">
        <v>1.56</v>
      </c>
      <c r="O619">
        <v>51.07</v>
      </c>
      <c r="P619" s="21">
        <v>208158.99710000001</v>
      </c>
    </row>
    <row r="620" spans="7:16" x14ac:dyDescent="0.15">
      <c r="G620" s="11">
        <v>619</v>
      </c>
      <c r="H620" t="s">
        <v>679</v>
      </c>
      <c r="I620" t="s">
        <v>987</v>
      </c>
      <c r="J620" t="s">
        <v>870</v>
      </c>
      <c r="K620">
        <v>5.81</v>
      </c>
      <c r="L620" s="20">
        <v>0.21</v>
      </c>
      <c r="M620">
        <v>52.339999999999996</v>
      </c>
      <c r="N620">
        <v>36.979999999999997</v>
      </c>
      <c r="O620">
        <v>15.36</v>
      </c>
      <c r="P620" s="21">
        <v>1097.7764999999999</v>
      </c>
    </row>
    <row r="621" spans="7:16" x14ac:dyDescent="0.15">
      <c r="G621" s="11">
        <v>620</v>
      </c>
      <c r="H621" t="s">
        <v>480</v>
      </c>
      <c r="I621" t="s">
        <v>1101</v>
      </c>
      <c r="J621" t="s">
        <v>870</v>
      </c>
      <c r="K621">
        <v>-1.27</v>
      </c>
      <c r="L621" s="20">
        <v>0</v>
      </c>
      <c r="M621">
        <v>52.059999999999995</v>
      </c>
      <c r="N621">
        <v>5.12</v>
      </c>
      <c r="O621">
        <v>46.94</v>
      </c>
      <c r="P621" s="21">
        <v>43477.366600000001</v>
      </c>
    </row>
    <row r="622" spans="7:16" x14ac:dyDescent="0.15">
      <c r="G622" s="11">
        <v>621</v>
      </c>
      <c r="H622" t="s">
        <v>474</v>
      </c>
      <c r="I622" t="s">
        <v>904</v>
      </c>
      <c r="J622" t="s">
        <v>870</v>
      </c>
      <c r="K622">
        <v>-1.7</v>
      </c>
      <c r="L622" s="20">
        <v>0</v>
      </c>
      <c r="M622">
        <v>51.769999999999996</v>
      </c>
      <c r="N622">
        <v>3.41</v>
      </c>
      <c r="O622">
        <v>48.36</v>
      </c>
      <c r="P622" s="21">
        <v>123.7039</v>
      </c>
    </row>
    <row r="623" spans="7:16" x14ac:dyDescent="0.15">
      <c r="G623" s="11">
        <v>622</v>
      </c>
      <c r="H623" t="s">
        <v>406</v>
      </c>
      <c r="I623" t="s">
        <v>1102</v>
      </c>
      <c r="J623" t="s">
        <v>870</v>
      </c>
      <c r="K623">
        <v>4.87</v>
      </c>
      <c r="L623" s="20">
        <v>0.18</v>
      </c>
      <c r="M623">
        <v>51.49</v>
      </c>
      <c r="N623">
        <v>33.14</v>
      </c>
      <c r="O623">
        <v>18.350000000000001</v>
      </c>
      <c r="P623" s="21">
        <v>5236.1716299999998</v>
      </c>
    </row>
    <row r="624" spans="7:16" x14ac:dyDescent="0.15">
      <c r="G624" s="11">
        <v>623</v>
      </c>
      <c r="H624" t="s">
        <v>348</v>
      </c>
      <c r="I624" t="s">
        <v>1024</v>
      </c>
      <c r="J624" t="s">
        <v>870</v>
      </c>
      <c r="K624">
        <v>-2.68</v>
      </c>
      <c r="L624" s="20">
        <v>0</v>
      </c>
      <c r="M624">
        <v>50.349999999999994</v>
      </c>
      <c r="N624">
        <v>2.84</v>
      </c>
      <c r="O624">
        <v>47.51</v>
      </c>
      <c r="P624" s="21">
        <v>1440.9837</v>
      </c>
    </row>
    <row r="625" spans="7:16" x14ac:dyDescent="0.15">
      <c r="G625" s="11">
        <v>624</v>
      </c>
      <c r="H625" t="s">
        <v>655</v>
      </c>
      <c r="I625" t="s">
        <v>1141</v>
      </c>
      <c r="J625" t="s">
        <v>870</v>
      </c>
      <c r="K625">
        <v>-1.61</v>
      </c>
      <c r="L625" s="20">
        <v>0</v>
      </c>
      <c r="M625">
        <v>50.349999999999994</v>
      </c>
      <c r="N625">
        <v>3.98</v>
      </c>
      <c r="O625">
        <v>46.37</v>
      </c>
      <c r="P625" s="21">
        <v>6094.8662999999997</v>
      </c>
    </row>
    <row r="626" spans="7:16" x14ac:dyDescent="0.15">
      <c r="G626" s="11">
        <v>625</v>
      </c>
      <c r="H626" t="s">
        <v>613</v>
      </c>
      <c r="I626" t="s">
        <v>1020</v>
      </c>
      <c r="J626" t="s">
        <v>870</v>
      </c>
      <c r="K626">
        <v>3.75</v>
      </c>
      <c r="L626" s="20">
        <v>0.17</v>
      </c>
      <c r="M626">
        <v>49.65</v>
      </c>
      <c r="N626">
        <v>30.16</v>
      </c>
      <c r="O626">
        <v>19.489999999999998</v>
      </c>
      <c r="P626" s="21">
        <v>2654.8047000000001</v>
      </c>
    </row>
    <row r="627" spans="7:16" x14ac:dyDescent="0.15">
      <c r="G627" s="11">
        <v>626</v>
      </c>
      <c r="H627" t="s">
        <v>453</v>
      </c>
      <c r="I627" t="s">
        <v>1191</v>
      </c>
      <c r="J627" t="s">
        <v>1319</v>
      </c>
      <c r="K627">
        <v>-2.89</v>
      </c>
      <c r="L627" s="20">
        <v>0</v>
      </c>
      <c r="M627">
        <v>48.79</v>
      </c>
      <c r="N627">
        <v>2.56</v>
      </c>
      <c r="O627">
        <v>46.23</v>
      </c>
      <c r="P627" s="21">
        <v>3837.8177000000001</v>
      </c>
    </row>
    <row r="628" spans="7:16" x14ac:dyDescent="0.15">
      <c r="G628" s="11">
        <v>627</v>
      </c>
      <c r="H628" t="s">
        <v>426</v>
      </c>
      <c r="I628" t="s">
        <v>1190</v>
      </c>
      <c r="J628" t="s">
        <v>1319</v>
      </c>
      <c r="K628">
        <v>-10.49</v>
      </c>
      <c r="L628" s="20">
        <v>0</v>
      </c>
      <c r="M628">
        <v>48.65</v>
      </c>
      <c r="N628">
        <v>0.71</v>
      </c>
      <c r="O628">
        <v>47.94</v>
      </c>
      <c r="P628" s="21">
        <v>1651.9278746999998</v>
      </c>
    </row>
    <row r="629" spans="7:16" x14ac:dyDescent="0.15">
      <c r="G629" s="11">
        <v>628</v>
      </c>
      <c r="H629" t="s">
        <v>340</v>
      </c>
      <c r="I629" t="s">
        <v>263</v>
      </c>
      <c r="J629" t="s">
        <v>1242</v>
      </c>
      <c r="K629">
        <v>3.61</v>
      </c>
      <c r="L629" s="20">
        <v>0.17</v>
      </c>
      <c r="M629">
        <v>48.370000000000005</v>
      </c>
      <c r="N629">
        <v>29.45</v>
      </c>
      <c r="O629">
        <v>18.920000000000002</v>
      </c>
      <c r="P629" s="21">
        <v>327.47411929999998</v>
      </c>
    </row>
    <row r="630" spans="7:16" x14ac:dyDescent="0.15">
      <c r="G630" s="11">
        <v>629</v>
      </c>
      <c r="H630" t="s">
        <v>588</v>
      </c>
      <c r="I630" t="s">
        <v>1264</v>
      </c>
      <c r="J630" t="s">
        <v>1251</v>
      </c>
      <c r="K630">
        <v>1.71</v>
      </c>
      <c r="L630" s="20">
        <v>0.1</v>
      </c>
      <c r="M630">
        <v>48.22</v>
      </c>
      <c r="N630">
        <v>20.48</v>
      </c>
      <c r="O630">
        <v>27.74</v>
      </c>
      <c r="P630" s="21">
        <v>197.44571540000001</v>
      </c>
    </row>
    <row r="631" spans="7:16" x14ac:dyDescent="0.15">
      <c r="G631" s="11">
        <v>630</v>
      </c>
      <c r="H631" t="s">
        <v>438</v>
      </c>
      <c r="I631" t="s">
        <v>1193</v>
      </c>
      <c r="J631" t="s">
        <v>1319</v>
      </c>
      <c r="K631">
        <v>-8.25</v>
      </c>
      <c r="L631" s="20">
        <v>0</v>
      </c>
      <c r="M631">
        <v>47.36</v>
      </c>
      <c r="N631">
        <v>0.85</v>
      </c>
      <c r="O631">
        <v>46.51</v>
      </c>
      <c r="P631" s="21">
        <v>229298.9449</v>
      </c>
    </row>
    <row r="632" spans="7:16" x14ac:dyDescent="0.15">
      <c r="G632" s="11">
        <v>631</v>
      </c>
      <c r="H632" t="s">
        <v>437</v>
      </c>
      <c r="I632" t="s">
        <v>1192</v>
      </c>
      <c r="J632" t="s">
        <v>1319</v>
      </c>
      <c r="K632">
        <v>-12.73</v>
      </c>
      <c r="L632" s="20">
        <v>0</v>
      </c>
      <c r="M632">
        <v>47.089999999999996</v>
      </c>
      <c r="N632">
        <v>0.43</v>
      </c>
      <c r="O632">
        <v>46.66</v>
      </c>
      <c r="P632" s="21">
        <v>58349.193973499998</v>
      </c>
    </row>
    <row r="633" spans="7:16" x14ac:dyDescent="0.15">
      <c r="G633" s="11">
        <v>632</v>
      </c>
      <c r="H633" t="s">
        <v>349</v>
      </c>
      <c r="I633" t="s">
        <v>1096</v>
      </c>
      <c r="J633" t="s">
        <v>870</v>
      </c>
      <c r="K633">
        <v>3.71</v>
      </c>
      <c r="L633" s="20">
        <v>0.2</v>
      </c>
      <c r="M633">
        <v>46.370000000000005</v>
      </c>
      <c r="N633">
        <v>29.87</v>
      </c>
      <c r="O633">
        <v>16.5</v>
      </c>
      <c r="P633" s="21">
        <v>2742.2792649999997</v>
      </c>
    </row>
    <row r="634" spans="7:16" x14ac:dyDescent="0.15">
      <c r="G634" s="11">
        <v>633</v>
      </c>
      <c r="H634" t="s">
        <v>472</v>
      </c>
      <c r="I634" t="s">
        <v>1471</v>
      </c>
      <c r="J634" t="s">
        <v>1688</v>
      </c>
      <c r="K634">
        <v>0.57999999999999996</v>
      </c>
      <c r="L634" s="20">
        <v>0.05</v>
      </c>
      <c r="M634">
        <v>46.230000000000004</v>
      </c>
      <c r="N634">
        <v>15.79</v>
      </c>
      <c r="O634">
        <v>30.44</v>
      </c>
      <c r="P634" s="21">
        <v>209.21559999999999</v>
      </c>
    </row>
    <row r="635" spans="7:16" x14ac:dyDescent="0.15">
      <c r="G635" s="11">
        <v>634</v>
      </c>
      <c r="H635" t="s">
        <v>400</v>
      </c>
      <c r="I635" t="s">
        <v>1511</v>
      </c>
      <c r="J635" t="s">
        <v>1688</v>
      </c>
      <c r="K635">
        <v>0.49</v>
      </c>
      <c r="L635" s="20">
        <v>0.03</v>
      </c>
      <c r="M635">
        <v>45.66</v>
      </c>
      <c r="N635">
        <v>14.51</v>
      </c>
      <c r="O635">
        <v>31.15</v>
      </c>
      <c r="P635" s="21">
        <v>168.83670000000001</v>
      </c>
    </row>
    <row r="636" spans="7:16" x14ac:dyDescent="0.15">
      <c r="G636" s="11">
        <v>635</v>
      </c>
      <c r="H636" t="s">
        <v>740</v>
      </c>
      <c r="I636" t="s">
        <v>878</v>
      </c>
      <c r="J636" t="s">
        <v>870</v>
      </c>
      <c r="K636">
        <v>3.93</v>
      </c>
      <c r="L636" s="20">
        <v>0.24</v>
      </c>
      <c r="M636">
        <v>45.24</v>
      </c>
      <c r="N636">
        <v>30.73</v>
      </c>
      <c r="O636">
        <v>14.51</v>
      </c>
      <c r="P636" s="21">
        <v>29.724059999999998</v>
      </c>
    </row>
    <row r="637" spans="7:16" x14ac:dyDescent="0.15">
      <c r="G637" s="11">
        <v>636</v>
      </c>
      <c r="H637" t="s">
        <v>332</v>
      </c>
      <c r="I637" t="s">
        <v>1001</v>
      </c>
      <c r="J637" t="s">
        <v>870</v>
      </c>
      <c r="K637">
        <v>2.02</v>
      </c>
      <c r="L637" s="20">
        <v>0.14000000000000001</v>
      </c>
      <c r="M637">
        <v>44.81</v>
      </c>
      <c r="N637">
        <v>22.33</v>
      </c>
      <c r="O637">
        <v>22.48</v>
      </c>
      <c r="P637" s="21">
        <v>1590.82123</v>
      </c>
    </row>
    <row r="638" spans="7:16" x14ac:dyDescent="0.15">
      <c r="G638" s="11">
        <v>637</v>
      </c>
      <c r="H638" t="s">
        <v>460</v>
      </c>
      <c r="I638" t="s">
        <v>965</v>
      </c>
      <c r="J638" t="s">
        <v>870</v>
      </c>
      <c r="K638">
        <v>2.4900000000000002</v>
      </c>
      <c r="L638" s="20">
        <v>0.16</v>
      </c>
      <c r="M638">
        <v>44.53</v>
      </c>
      <c r="N638">
        <v>24.47</v>
      </c>
      <c r="O638">
        <v>20.059999999999999</v>
      </c>
      <c r="P638" s="21">
        <v>825.45780000000002</v>
      </c>
    </row>
    <row r="639" spans="7:16" x14ac:dyDescent="0.15">
      <c r="G639" s="11">
        <v>638</v>
      </c>
      <c r="H639" t="s">
        <v>724</v>
      </c>
      <c r="I639" t="s">
        <v>1293</v>
      </c>
      <c r="J639" t="s">
        <v>1288</v>
      </c>
      <c r="K639">
        <v>5.81</v>
      </c>
      <c r="L639" s="20">
        <v>0.62</v>
      </c>
      <c r="M639">
        <v>44.1</v>
      </c>
      <c r="N639">
        <v>36.700000000000003</v>
      </c>
      <c r="O639">
        <v>7.4</v>
      </c>
      <c r="P639" s="21">
        <v>20.8931</v>
      </c>
    </row>
    <row r="640" spans="7:16" x14ac:dyDescent="0.15">
      <c r="G640" s="11">
        <v>639</v>
      </c>
      <c r="H640" t="s">
        <v>427</v>
      </c>
      <c r="I640" t="s">
        <v>1462</v>
      </c>
      <c r="J640" t="s">
        <v>1688</v>
      </c>
      <c r="K640">
        <v>0.26</v>
      </c>
      <c r="L640" s="20">
        <v>0.01</v>
      </c>
      <c r="M640">
        <v>43.81</v>
      </c>
      <c r="N640">
        <v>12.23</v>
      </c>
      <c r="O640">
        <v>31.58</v>
      </c>
      <c r="P640" s="21">
        <v>416503.06199999998</v>
      </c>
    </row>
    <row r="641" spans="7:16" x14ac:dyDescent="0.15">
      <c r="G641" s="11">
        <v>640</v>
      </c>
      <c r="H641" t="s">
        <v>423</v>
      </c>
      <c r="I641" t="s">
        <v>1195</v>
      </c>
      <c r="J641" t="s">
        <v>1319</v>
      </c>
      <c r="K641">
        <v>0.13</v>
      </c>
      <c r="L641" s="20">
        <v>0.01</v>
      </c>
      <c r="M641">
        <v>43.53</v>
      </c>
      <c r="N641">
        <v>11.52</v>
      </c>
      <c r="O641">
        <v>32.01</v>
      </c>
      <c r="P641" s="21">
        <v>1290543.9336999999</v>
      </c>
    </row>
    <row r="642" spans="7:16" x14ac:dyDescent="0.15">
      <c r="G642" s="11">
        <v>641</v>
      </c>
      <c r="H642" t="s">
        <v>339</v>
      </c>
      <c r="I642" t="s">
        <v>948</v>
      </c>
      <c r="J642" t="s">
        <v>870</v>
      </c>
      <c r="K642">
        <v>2.15</v>
      </c>
      <c r="L642" s="20">
        <v>0.16</v>
      </c>
      <c r="M642">
        <v>42.81</v>
      </c>
      <c r="N642">
        <v>23.04</v>
      </c>
      <c r="O642">
        <v>19.77</v>
      </c>
      <c r="P642" s="21">
        <v>781.47699999999998</v>
      </c>
    </row>
    <row r="643" spans="7:16" x14ac:dyDescent="0.15">
      <c r="G643" s="11">
        <v>642</v>
      </c>
      <c r="H643" t="s">
        <v>344</v>
      </c>
      <c r="I643" t="s">
        <v>1089</v>
      </c>
      <c r="J643" t="s">
        <v>870</v>
      </c>
      <c r="K643">
        <v>2</v>
      </c>
      <c r="L643" s="20">
        <v>0.15</v>
      </c>
      <c r="M643">
        <v>42.67</v>
      </c>
      <c r="N643">
        <v>22.19</v>
      </c>
      <c r="O643">
        <v>20.48</v>
      </c>
      <c r="P643" s="21">
        <v>4379.4948000000004</v>
      </c>
    </row>
    <row r="644" spans="7:16" x14ac:dyDescent="0.15">
      <c r="G644" s="11">
        <v>643</v>
      </c>
      <c r="H644" t="s">
        <v>447</v>
      </c>
      <c r="I644" t="s">
        <v>1188</v>
      </c>
      <c r="J644" t="s">
        <v>1319</v>
      </c>
      <c r="K644">
        <v>0.05</v>
      </c>
      <c r="L644" s="20">
        <v>0.02</v>
      </c>
      <c r="M644">
        <v>42.54</v>
      </c>
      <c r="N644">
        <v>11.1</v>
      </c>
      <c r="O644">
        <v>31.44</v>
      </c>
      <c r="P644" s="21">
        <v>786.5018</v>
      </c>
    </row>
    <row r="645" spans="7:16" x14ac:dyDescent="0.15">
      <c r="G645" s="11">
        <v>644</v>
      </c>
      <c r="H645" t="s">
        <v>1294</v>
      </c>
      <c r="I645" t="s">
        <v>1295</v>
      </c>
      <c r="J645" t="s">
        <v>1288</v>
      </c>
      <c r="K645">
        <v>5.38</v>
      </c>
      <c r="L645" s="20">
        <v>0.69</v>
      </c>
      <c r="M645">
        <v>41.82</v>
      </c>
      <c r="N645">
        <v>34.99</v>
      </c>
      <c r="O645">
        <v>6.83</v>
      </c>
      <c r="P645" s="21">
        <v>123.1726</v>
      </c>
    </row>
    <row r="646" spans="7:16" x14ac:dyDescent="0.15">
      <c r="G646" s="11">
        <v>645</v>
      </c>
      <c r="H646" t="s">
        <v>1566</v>
      </c>
      <c r="I646" t="s">
        <v>1567</v>
      </c>
      <c r="J646" t="s">
        <v>1688</v>
      </c>
      <c r="K646">
        <v>1.42</v>
      </c>
      <c r="L646" s="20">
        <v>0.13</v>
      </c>
      <c r="M646">
        <v>41.68</v>
      </c>
      <c r="N646">
        <v>19.059999999999999</v>
      </c>
      <c r="O646">
        <v>22.62</v>
      </c>
      <c r="P646" s="21">
        <v>254.8715</v>
      </c>
    </row>
    <row r="647" spans="7:16" x14ac:dyDescent="0.15">
      <c r="G647" s="11">
        <v>646</v>
      </c>
      <c r="H647" t="s">
        <v>547</v>
      </c>
      <c r="I647" t="s">
        <v>902</v>
      </c>
      <c r="J647" t="s">
        <v>870</v>
      </c>
      <c r="K647">
        <v>1.73</v>
      </c>
      <c r="L647" s="20">
        <v>0.14000000000000001</v>
      </c>
      <c r="M647">
        <v>41.68</v>
      </c>
      <c r="N647">
        <v>20.63</v>
      </c>
      <c r="O647">
        <v>21.05</v>
      </c>
      <c r="P647" s="21">
        <v>206.40629999999999</v>
      </c>
    </row>
    <row r="648" spans="7:16" x14ac:dyDescent="0.15">
      <c r="G648" s="11">
        <v>647</v>
      </c>
      <c r="H648" t="s">
        <v>567</v>
      </c>
      <c r="I648" t="s">
        <v>1011</v>
      </c>
      <c r="J648" t="s">
        <v>870</v>
      </c>
      <c r="K648">
        <v>3.83</v>
      </c>
      <c r="L648" s="20">
        <v>0.37</v>
      </c>
      <c r="M648">
        <v>40.97</v>
      </c>
      <c r="N648">
        <v>30.3</v>
      </c>
      <c r="O648">
        <v>10.67</v>
      </c>
      <c r="P648" s="21">
        <v>1693.068</v>
      </c>
    </row>
    <row r="649" spans="7:16" x14ac:dyDescent="0.15">
      <c r="G649" s="11">
        <v>648</v>
      </c>
      <c r="H649" t="s">
        <v>761</v>
      </c>
      <c r="I649" t="s">
        <v>1311</v>
      </c>
      <c r="J649" t="s">
        <v>1288</v>
      </c>
      <c r="K649">
        <v>4.3099999999999996</v>
      </c>
      <c r="L649" s="20">
        <v>0.57999999999999996</v>
      </c>
      <c r="M649">
        <v>39.69</v>
      </c>
      <c r="N649">
        <v>31.72</v>
      </c>
      <c r="O649">
        <v>7.97</v>
      </c>
      <c r="P649" s="21">
        <v>23117.166799999999</v>
      </c>
    </row>
    <row r="650" spans="7:16" x14ac:dyDescent="0.15">
      <c r="G650" s="11">
        <v>649</v>
      </c>
      <c r="H650" t="s">
        <v>761</v>
      </c>
      <c r="I650" t="s">
        <v>1166</v>
      </c>
      <c r="J650" t="s">
        <v>870</v>
      </c>
      <c r="K650">
        <v>4.3099999999999996</v>
      </c>
      <c r="L650" s="20">
        <v>0.57999999999999996</v>
      </c>
      <c r="M650">
        <v>39.4</v>
      </c>
      <c r="N650">
        <v>31.58</v>
      </c>
      <c r="O650">
        <v>7.82</v>
      </c>
      <c r="P650" s="21">
        <v>23117.166799999999</v>
      </c>
    </row>
    <row r="651" spans="7:16" x14ac:dyDescent="0.15">
      <c r="G651" s="11">
        <v>650</v>
      </c>
      <c r="H651" t="s">
        <v>539</v>
      </c>
      <c r="I651" t="s">
        <v>1022</v>
      </c>
      <c r="J651" t="s">
        <v>870</v>
      </c>
      <c r="K651">
        <v>0.74</v>
      </c>
      <c r="L651" s="20">
        <v>0.13</v>
      </c>
      <c r="M651">
        <v>39.4</v>
      </c>
      <c r="N651">
        <v>16.5</v>
      </c>
      <c r="O651">
        <v>22.9</v>
      </c>
      <c r="P651" s="21">
        <v>1234.4013199999999</v>
      </c>
    </row>
    <row r="652" spans="7:16" x14ac:dyDescent="0.15">
      <c r="G652" s="11">
        <v>651</v>
      </c>
      <c r="H652" t="s">
        <v>1625</v>
      </c>
      <c r="I652" t="s">
        <v>1626</v>
      </c>
      <c r="J652" t="s">
        <v>1688</v>
      </c>
      <c r="K652">
        <v>5.86</v>
      </c>
      <c r="L652" s="20">
        <v>5.56</v>
      </c>
      <c r="M652">
        <v>39.120000000000005</v>
      </c>
      <c r="N652">
        <v>37.130000000000003</v>
      </c>
      <c r="O652">
        <v>1.99</v>
      </c>
      <c r="P652" s="21">
        <v>98.092995599999995</v>
      </c>
    </row>
    <row r="653" spans="7:16" x14ac:dyDescent="0.15">
      <c r="G653" s="11">
        <v>652</v>
      </c>
      <c r="H653" t="s">
        <v>396</v>
      </c>
      <c r="I653" t="s">
        <v>1067</v>
      </c>
      <c r="J653" t="s">
        <v>870</v>
      </c>
      <c r="K653">
        <v>1.74</v>
      </c>
      <c r="L653" s="20">
        <v>0.19</v>
      </c>
      <c r="M653">
        <v>38.409999999999997</v>
      </c>
      <c r="N653">
        <v>20.77</v>
      </c>
      <c r="O653">
        <v>17.64</v>
      </c>
      <c r="P653" s="21">
        <v>1911.94766</v>
      </c>
    </row>
    <row r="654" spans="7:16" x14ac:dyDescent="0.15">
      <c r="G654" s="11">
        <v>653</v>
      </c>
      <c r="H654" t="s">
        <v>684</v>
      </c>
      <c r="I654" t="s">
        <v>1254</v>
      </c>
      <c r="J654" t="s">
        <v>1251</v>
      </c>
      <c r="K654">
        <v>3.63</v>
      </c>
      <c r="L654" s="20">
        <v>0.6</v>
      </c>
      <c r="M654">
        <v>37.409999999999997</v>
      </c>
      <c r="N654">
        <v>29.73</v>
      </c>
      <c r="O654">
        <v>7.68</v>
      </c>
      <c r="P654" s="21">
        <v>132.04400000000001</v>
      </c>
    </row>
    <row r="655" spans="7:16" x14ac:dyDescent="0.15">
      <c r="G655" s="11">
        <v>654</v>
      </c>
      <c r="H655" t="s">
        <v>610</v>
      </c>
      <c r="I655" t="s">
        <v>895</v>
      </c>
      <c r="J655" t="s">
        <v>870</v>
      </c>
      <c r="K655">
        <v>2.36</v>
      </c>
      <c r="L655" s="20">
        <v>0.26</v>
      </c>
      <c r="M655">
        <v>36.28</v>
      </c>
      <c r="N655">
        <v>23.76</v>
      </c>
      <c r="O655">
        <v>12.52</v>
      </c>
      <c r="P655" s="21">
        <v>31.216100000000001</v>
      </c>
    </row>
    <row r="656" spans="7:16" x14ac:dyDescent="0.15">
      <c r="G656" s="11">
        <v>655</v>
      </c>
      <c r="H656" t="s">
        <v>769</v>
      </c>
      <c r="I656" t="s">
        <v>1202</v>
      </c>
      <c r="J656" t="s">
        <v>1198</v>
      </c>
      <c r="K656">
        <v>5.05</v>
      </c>
      <c r="L656" s="20">
        <v>3.03</v>
      </c>
      <c r="M656">
        <v>36.130000000000003</v>
      </c>
      <c r="N656">
        <v>33.85</v>
      </c>
      <c r="O656">
        <v>2.2799999999999998</v>
      </c>
      <c r="P656" s="21">
        <v>928.60115999999994</v>
      </c>
    </row>
    <row r="657" spans="7:16" x14ac:dyDescent="0.15">
      <c r="G657" s="11">
        <v>656</v>
      </c>
      <c r="H657" t="s">
        <v>467</v>
      </c>
      <c r="I657" t="s">
        <v>988</v>
      </c>
      <c r="J657" t="s">
        <v>870</v>
      </c>
      <c r="K657">
        <v>-0.14000000000000001</v>
      </c>
      <c r="L657" s="20">
        <v>0.09</v>
      </c>
      <c r="M657">
        <v>35.71</v>
      </c>
      <c r="N657">
        <v>7.54</v>
      </c>
      <c r="O657">
        <v>28.17</v>
      </c>
      <c r="P657" s="21">
        <v>667.5181</v>
      </c>
    </row>
    <row r="658" spans="7:16" x14ac:dyDescent="0.15">
      <c r="G658" s="11">
        <v>657</v>
      </c>
      <c r="H658" t="s">
        <v>379</v>
      </c>
      <c r="I658" t="s">
        <v>1270</v>
      </c>
      <c r="J658" t="s">
        <v>1251</v>
      </c>
      <c r="K658">
        <v>1.4</v>
      </c>
      <c r="L658" s="20">
        <v>0.2</v>
      </c>
      <c r="M658">
        <v>35.57</v>
      </c>
      <c r="N658">
        <v>18.78</v>
      </c>
      <c r="O658">
        <v>16.79</v>
      </c>
      <c r="P658" s="21">
        <v>102.34340659999999</v>
      </c>
    </row>
    <row r="659" spans="7:16" x14ac:dyDescent="0.15">
      <c r="G659" s="11">
        <v>658</v>
      </c>
      <c r="H659" t="s">
        <v>628</v>
      </c>
      <c r="I659" t="s">
        <v>990</v>
      </c>
      <c r="J659" t="s">
        <v>870</v>
      </c>
      <c r="K659">
        <v>0.28999999999999998</v>
      </c>
      <c r="L659" s="20">
        <v>0.13</v>
      </c>
      <c r="M659">
        <v>35.56</v>
      </c>
      <c r="N659">
        <v>12.52</v>
      </c>
      <c r="O659">
        <v>23.04</v>
      </c>
      <c r="P659" s="21">
        <v>1144.4666999999999</v>
      </c>
    </row>
    <row r="660" spans="7:16" x14ac:dyDescent="0.15">
      <c r="G660" s="11">
        <v>659</v>
      </c>
      <c r="H660" t="s">
        <v>661</v>
      </c>
      <c r="I660" t="s">
        <v>1252</v>
      </c>
      <c r="J660" t="s">
        <v>1251</v>
      </c>
      <c r="K660">
        <v>3.01</v>
      </c>
      <c r="L660" s="20">
        <v>0.41</v>
      </c>
      <c r="M660">
        <v>35.42</v>
      </c>
      <c r="N660">
        <v>25.75</v>
      </c>
      <c r="O660">
        <v>9.67</v>
      </c>
      <c r="P660" s="21">
        <v>97.163600000000002</v>
      </c>
    </row>
    <row r="661" spans="7:16" x14ac:dyDescent="0.15">
      <c r="G661" s="11">
        <v>660</v>
      </c>
      <c r="H661" t="s">
        <v>525</v>
      </c>
      <c r="I661" t="s">
        <v>1051</v>
      </c>
      <c r="J661" t="s">
        <v>870</v>
      </c>
      <c r="K661">
        <v>2.95</v>
      </c>
      <c r="L661" s="20">
        <v>0.48</v>
      </c>
      <c r="M661">
        <v>34.700000000000003</v>
      </c>
      <c r="N661">
        <v>25.6</v>
      </c>
      <c r="O661">
        <v>9.1</v>
      </c>
      <c r="P661" s="21">
        <v>2551.3732100000002</v>
      </c>
    </row>
    <row r="662" spans="7:16" x14ac:dyDescent="0.15">
      <c r="G662" s="11">
        <v>661</v>
      </c>
      <c r="H662" t="s">
        <v>443</v>
      </c>
      <c r="I662" t="s">
        <v>1196</v>
      </c>
      <c r="J662" t="s">
        <v>1319</v>
      </c>
      <c r="K662">
        <v>-4.37</v>
      </c>
      <c r="L662" s="20">
        <v>0.01</v>
      </c>
      <c r="M662">
        <v>34</v>
      </c>
      <c r="N662">
        <v>2.2799999999999998</v>
      </c>
      <c r="O662">
        <v>31.72</v>
      </c>
      <c r="P662" s="21">
        <v>1982469.6558999999</v>
      </c>
    </row>
    <row r="663" spans="7:16" x14ac:dyDescent="0.15">
      <c r="G663" s="11">
        <v>662</v>
      </c>
      <c r="H663" t="s">
        <v>546</v>
      </c>
      <c r="I663" t="s">
        <v>943</v>
      </c>
      <c r="J663" t="s">
        <v>870</v>
      </c>
      <c r="K663">
        <v>-1.46</v>
      </c>
      <c r="L663" s="20">
        <v>0.09</v>
      </c>
      <c r="M663">
        <v>33.86</v>
      </c>
      <c r="N663">
        <v>4.9800000000000004</v>
      </c>
      <c r="O663">
        <v>28.88</v>
      </c>
      <c r="P663" s="21">
        <v>311.3913</v>
      </c>
    </row>
    <row r="664" spans="7:16" x14ac:dyDescent="0.15">
      <c r="G664" s="11">
        <v>663</v>
      </c>
      <c r="H664" t="s">
        <v>699</v>
      </c>
      <c r="I664" t="s">
        <v>1144</v>
      </c>
      <c r="J664" t="s">
        <v>870</v>
      </c>
      <c r="K664">
        <v>-1.49</v>
      </c>
      <c r="L664" s="20">
        <v>0.09</v>
      </c>
      <c r="M664">
        <v>33.28</v>
      </c>
      <c r="N664">
        <v>4.6900000000000004</v>
      </c>
      <c r="O664">
        <v>28.59</v>
      </c>
      <c r="P664" s="21">
        <v>15058.535900000001</v>
      </c>
    </row>
    <row r="665" spans="7:16" x14ac:dyDescent="0.15">
      <c r="G665" s="11">
        <v>664</v>
      </c>
      <c r="H665" t="s">
        <v>569</v>
      </c>
      <c r="I665" t="s">
        <v>996</v>
      </c>
      <c r="J665" t="s">
        <v>870</v>
      </c>
      <c r="K665">
        <v>1.53</v>
      </c>
      <c r="L665" s="20">
        <v>0.25</v>
      </c>
      <c r="M665">
        <v>32.86</v>
      </c>
      <c r="N665">
        <v>19.350000000000001</v>
      </c>
      <c r="O665">
        <v>13.51</v>
      </c>
      <c r="P665" s="21">
        <v>588.23720000000003</v>
      </c>
    </row>
    <row r="666" spans="7:16" x14ac:dyDescent="0.15">
      <c r="G666" s="11">
        <v>665</v>
      </c>
      <c r="H666" t="s">
        <v>759</v>
      </c>
      <c r="I666" t="s">
        <v>1285</v>
      </c>
      <c r="J666" t="s">
        <v>1198</v>
      </c>
      <c r="K666">
        <v>3.21</v>
      </c>
      <c r="L666" s="20">
        <v>1.65</v>
      </c>
      <c r="M666">
        <v>31.720000000000002</v>
      </c>
      <c r="N666">
        <v>27.17</v>
      </c>
      <c r="O666">
        <v>4.55</v>
      </c>
      <c r="P666" s="21">
        <v>730.74950000000001</v>
      </c>
    </row>
    <row r="667" spans="7:16" x14ac:dyDescent="0.15">
      <c r="G667" s="11">
        <v>666</v>
      </c>
      <c r="H667" t="s">
        <v>721</v>
      </c>
      <c r="I667" t="s">
        <v>1094</v>
      </c>
      <c r="J667" t="s">
        <v>870</v>
      </c>
      <c r="K667">
        <v>-4.92</v>
      </c>
      <c r="L667" s="20">
        <v>0.1</v>
      </c>
      <c r="M667">
        <v>29.16</v>
      </c>
      <c r="N667">
        <v>1.71</v>
      </c>
      <c r="O667">
        <v>27.45</v>
      </c>
      <c r="P667" s="21">
        <v>3296.3659699999998</v>
      </c>
    </row>
    <row r="668" spans="7:16" x14ac:dyDescent="0.15">
      <c r="G668" s="11">
        <v>667</v>
      </c>
      <c r="H668" t="s">
        <v>770</v>
      </c>
      <c r="I668" t="s">
        <v>1204</v>
      </c>
      <c r="J668" t="s">
        <v>1198</v>
      </c>
      <c r="K668">
        <v>2.29</v>
      </c>
      <c r="L668" s="20">
        <v>1.1000000000000001</v>
      </c>
      <c r="M668">
        <v>29.16</v>
      </c>
      <c r="N668">
        <v>23.61</v>
      </c>
      <c r="O668">
        <v>5.55</v>
      </c>
      <c r="P668" s="21">
        <v>263.68979999999999</v>
      </c>
    </row>
    <row r="669" spans="7:16" x14ac:dyDescent="0.15">
      <c r="G669" s="11">
        <v>668</v>
      </c>
      <c r="H669" t="s">
        <v>415</v>
      </c>
      <c r="I669" t="s">
        <v>1274</v>
      </c>
      <c r="J669" t="s">
        <v>1251</v>
      </c>
      <c r="K669">
        <v>0.86</v>
      </c>
      <c r="L669" s="20">
        <v>0.28999999999999998</v>
      </c>
      <c r="M669">
        <v>28.730000000000004</v>
      </c>
      <c r="N669">
        <v>17.350000000000001</v>
      </c>
      <c r="O669">
        <v>11.38</v>
      </c>
      <c r="P669" s="21">
        <v>3589.7764390000002</v>
      </c>
    </row>
    <row r="670" spans="7:16" x14ac:dyDescent="0.15">
      <c r="G670" s="11">
        <v>669</v>
      </c>
      <c r="H670" t="s">
        <v>1329</v>
      </c>
      <c r="I670" t="s">
        <v>1330</v>
      </c>
      <c r="J670" t="s">
        <v>1688</v>
      </c>
      <c r="K670">
        <v>-4.55</v>
      </c>
      <c r="L670" s="20">
        <v>0.11</v>
      </c>
      <c r="M670">
        <v>28.73</v>
      </c>
      <c r="N670">
        <v>1.85</v>
      </c>
      <c r="O670">
        <v>26.88</v>
      </c>
      <c r="P670" s="21">
        <v>3883.9832799999999</v>
      </c>
    </row>
    <row r="671" spans="7:16" x14ac:dyDescent="0.15">
      <c r="G671" s="11">
        <v>670</v>
      </c>
      <c r="H671" t="s">
        <v>307</v>
      </c>
      <c r="I671" t="s">
        <v>890</v>
      </c>
      <c r="J671" t="s">
        <v>870</v>
      </c>
      <c r="K671">
        <v>1.86</v>
      </c>
      <c r="L671" s="20">
        <v>0.69</v>
      </c>
      <c r="M671">
        <v>28.31</v>
      </c>
      <c r="N671">
        <v>21.34</v>
      </c>
      <c r="O671">
        <v>6.97</v>
      </c>
      <c r="P671" s="21">
        <v>51.051299999999998</v>
      </c>
    </row>
    <row r="672" spans="7:16" x14ac:dyDescent="0.15">
      <c r="G672" s="11">
        <v>671</v>
      </c>
      <c r="H672" t="s">
        <v>1681</v>
      </c>
      <c r="I672" t="s">
        <v>1682</v>
      </c>
      <c r="J672" t="s">
        <v>1688</v>
      </c>
      <c r="K672">
        <v>0</v>
      </c>
      <c r="L672" s="20">
        <v>0.2</v>
      </c>
      <c r="M672">
        <v>25.17</v>
      </c>
      <c r="N672">
        <v>8.5299999999999994</v>
      </c>
      <c r="O672">
        <v>16.64</v>
      </c>
      <c r="P672" s="21">
        <v>3418.1048614000001</v>
      </c>
    </row>
    <row r="673" spans="7:16" x14ac:dyDescent="0.15">
      <c r="G673" s="11">
        <v>672</v>
      </c>
      <c r="H673" t="s">
        <v>1582</v>
      </c>
      <c r="I673" t="s">
        <v>1583</v>
      </c>
      <c r="J673" t="s">
        <v>1688</v>
      </c>
      <c r="K673">
        <v>0</v>
      </c>
      <c r="L673" s="20">
        <v>0.2</v>
      </c>
      <c r="M673">
        <v>25.04</v>
      </c>
      <c r="N673">
        <v>8.68</v>
      </c>
      <c r="O673">
        <v>16.36</v>
      </c>
      <c r="P673" s="21">
        <v>1133.6766</v>
      </c>
    </row>
    <row r="674" spans="7:16" x14ac:dyDescent="0.15">
      <c r="G674" s="11">
        <v>673</v>
      </c>
      <c r="H674" t="s">
        <v>1437</v>
      </c>
      <c r="I674" t="s">
        <v>1438</v>
      </c>
      <c r="J674" t="s">
        <v>1688</v>
      </c>
      <c r="K674">
        <v>0</v>
      </c>
      <c r="L674" s="20">
        <v>0.21</v>
      </c>
      <c r="M674">
        <v>24.46</v>
      </c>
      <c r="N674">
        <v>8.9600000000000009</v>
      </c>
      <c r="O674">
        <v>15.5</v>
      </c>
      <c r="P674" s="21">
        <v>3822.1812</v>
      </c>
    </row>
    <row r="675" spans="7:16" x14ac:dyDescent="0.15">
      <c r="G675" s="11">
        <v>674</v>
      </c>
      <c r="H675" t="s">
        <v>1542</v>
      </c>
      <c r="I675" t="s">
        <v>1543</v>
      </c>
      <c r="J675" t="s">
        <v>1688</v>
      </c>
      <c r="K675">
        <v>-1.0900000000000001</v>
      </c>
      <c r="L675" s="20">
        <v>0.17</v>
      </c>
      <c r="M675">
        <v>24.32</v>
      </c>
      <c r="N675">
        <v>5.69</v>
      </c>
      <c r="O675">
        <v>18.63</v>
      </c>
      <c r="P675" s="21">
        <v>2025.4953800000001</v>
      </c>
    </row>
    <row r="676" spans="7:16" x14ac:dyDescent="0.15">
      <c r="G676" s="11">
        <v>675</v>
      </c>
      <c r="H676" t="s">
        <v>368</v>
      </c>
      <c r="I676" t="s">
        <v>998</v>
      </c>
      <c r="J676" t="s">
        <v>870</v>
      </c>
      <c r="K676">
        <v>-1.1299999999999999</v>
      </c>
      <c r="L676" s="20">
        <v>0.18</v>
      </c>
      <c r="M676">
        <v>23.76</v>
      </c>
      <c r="N676">
        <v>5.55</v>
      </c>
      <c r="O676">
        <v>18.21</v>
      </c>
      <c r="P676" s="21">
        <v>2059.7596399999998</v>
      </c>
    </row>
    <row r="677" spans="7:16" x14ac:dyDescent="0.15">
      <c r="G677" s="11">
        <v>676</v>
      </c>
      <c r="H677" t="s">
        <v>513</v>
      </c>
      <c r="I677" t="s">
        <v>1062</v>
      </c>
      <c r="J677" t="s">
        <v>870</v>
      </c>
      <c r="K677">
        <v>-0.33</v>
      </c>
      <c r="L677" s="20">
        <v>0.2</v>
      </c>
      <c r="M677">
        <v>23.62</v>
      </c>
      <c r="N677">
        <v>6.69</v>
      </c>
      <c r="O677">
        <v>16.93</v>
      </c>
      <c r="P677" s="21">
        <v>14864.693909599999</v>
      </c>
    </row>
    <row r="678" spans="7:16" x14ac:dyDescent="0.15">
      <c r="G678" s="11">
        <v>677</v>
      </c>
      <c r="H678" t="s">
        <v>1227</v>
      </c>
      <c r="I678" t="s">
        <v>1228</v>
      </c>
      <c r="J678" t="s">
        <v>1220</v>
      </c>
      <c r="K678">
        <v>1.95</v>
      </c>
      <c r="L678" s="20">
        <v>39.42</v>
      </c>
      <c r="M678">
        <v>23.33</v>
      </c>
      <c r="N678">
        <v>21.91</v>
      </c>
      <c r="O678">
        <v>1.42</v>
      </c>
      <c r="P678" s="21">
        <v>1071.6569999999999</v>
      </c>
    </row>
    <row r="679" spans="7:16" x14ac:dyDescent="0.15">
      <c r="G679" s="11">
        <v>678</v>
      </c>
      <c r="H679" t="s">
        <v>383</v>
      </c>
      <c r="I679" t="s">
        <v>1099</v>
      </c>
      <c r="J679" t="s">
        <v>870</v>
      </c>
      <c r="K679">
        <v>-1.7</v>
      </c>
      <c r="L679" s="20">
        <v>0.17</v>
      </c>
      <c r="M679">
        <v>22.47</v>
      </c>
      <c r="N679">
        <v>3.27</v>
      </c>
      <c r="O679">
        <v>19.2</v>
      </c>
      <c r="P679" s="21">
        <v>7266.2255802</v>
      </c>
    </row>
    <row r="680" spans="7:16" x14ac:dyDescent="0.15">
      <c r="G680" s="11">
        <v>679</v>
      </c>
      <c r="H680" t="s">
        <v>768</v>
      </c>
      <c r="I680" t="s">
        <v>1207</v>
      </c>
      <c r="J680" t="s">
        <v>1198</v>
      </c>
      <c r="K680">
        <v>-6.86</v>
      </c>
      <c r="L680" s="20">
        <v>0.19</v>
      </c>
      <c r="M680">
        <v>18.490000000000002</v>
      </c>
      <c r="N680">
        <v>1.28</v>
      </c>
      <c r="O680">
        <v>17.21</v>
      </c>
      <c r="P680" s="21">
        <v>18010.705300000001</v>
      </c>
    </row>
    <row r="681" spans="7:16" x14ac:dyDescent="0.15">
      <c r="G681" s="11">
        <v>680</v>
      </c>
      <c r="H681" t="s">
        <v>1225</v>
      </c>
      <c r="I681" t="s">
        <v>1226</v>
      </c>
      <c r="J681" t="s">
        <v>1220</v>
      </c>
      <c r="K681">
        <v>0</v>
      </c>
      <c r="L681" s="20">
        <v>0.87</v>
      </c>
      <c r="M681">
        <v>16.93</v>
      </c>
      <c r="N681">
        <v>10.81</v>
      </c>
      <c r="O681">
        <v>6.12</v>
      </c>
      <c r="P681" s="21">
        <v>2777.8218999999999</v>
      </c>
    </row>
    <row r="682" spans="7:16" x14ac:dyDescent="0.15">
      <c r="G682" s="11">
        <v>681</v>
      </c>
      <c r="H682" t="s">
        <v>509</v>
      </c>
      <c r="I682" t="s">
        <v>1101</v>
      </c>
      <c r="J682" t="s">
        <v>870</v>
      </c>
      <c r="K682">
        <v>-0.9</v>
      </c>
      <c r="L682" s="20">
        <v>0.32</v>
      </c>
      <c r="M682">
        <v>16.93</v>
      </c>
      <c r="N682">
        <v>5.83</v>
      </c>
      <c r="O682">
        <v>11.1</v>
      </c>
      <c r="P682" s="21">
        <v>6565.3540829000003</v>
      </c>
    </row>
    <row r="683" spans="7:16" x14ac:dyDescent="0.15">
      <c r="G683" s="11">
        <v>682</v>
      </c>
      <c r="H683" t="s">
        <v>1616</v>
      </c>
      <c r="I683" t="s">
        <v>1617</v>
      </c>
      <c r="J683" t="s">
        <v>1688</v>
      </c>
      <c r="K683">
        <v>-0.35</v>
      </c>
      <c r="L683" s="20">
        <v>0.38</v>
      </c>
      <c r="M683">
        <v>16.78</v>
      </c>
      <c r="N683">
        <v>6.54</v>
      </c>
      <c r="O683">
        <v>10.24</v>
      </c>
      <c r="P683" s="21">
        <v>651.07259999999997</v>
      </c>
    </row>
    <row r="684" spans="7:16" x14ac:dyDescent="0.15">
      <c r="G684" s="11">
        <v>683</v>
      </c>
      <c r="H684" t="s">
        <v>306</v>
      </c>
      <c r="I684" t="s">
        <v>1262</v>
      </c>
      <c r="J684" t="s">
        <v>1251</v>
      </c>
      <c r="K684">
        <v>-0.41</v>
      </c>
      <c r="L684" s="20">
        <v>0.64</v>
      </c>
      <c r="M684">
        <v>13.51</v>
      </c>
      <c r="N684">
        <v>6.26</v>
      </c>
      <c r="O684">
        <v>7.25</v>
      </c>
      <c r="P684" s="21">
        <v>200.33867949999998</v>
      </c>
    </row>
    <row r="685" spans="7:16" x14ac:dyDescent="0.15">
      <c r="G685" s="11">
        <v>684</v>
      </c>
      <c r="H685" t="s">
        <v>459</v>
      </c>
      <c r="I685" t="s">
        <v>262</v>
      </c>
      <c r="J685" t="s">
        <v>1242</v>
      </c>
      <c r="K685">
        <v>-1.1399999999999999</v>
      </c>
      <c r="L685" s="20">
        <v>0.73</v>
      </c>
      <c r="M685">
        <v>12.100000000000001</v>
      </c>
      <c r="N685">
        <v>5.41</v>
      </c>
      <c r="O685">
        <v>6.69</v>
      </c>
      <c r="P685" s="21">
        <v>797.61485949999997</v>
      </c>
    </row>
    <row r="686" spans="7:16" x14ac:dyDescent="0.15">
      <c r="G686" s="11">
        <v>685</v>
      </c>
      <c r="H686" t="s">
        <v>1234</v>
      </c>
      <c r="I686" t="s">
        <v>1235</v>
      </c>
      <c r="J686" t="s">
        <v>1220</v>
      </c>
      <c r="K686">
        <v>0</v>
      </c>
      <c r="L686" s="20">
        <v>28.16</v>
      </c>
      <c r="M686">
        <v>12.09</v>
      </c>
      <c r="N686">
        <v>10.53</v>
      </c>
      <c r="O686">
        <v>1.56</v>
      </c>
      <c r="P686" s="21">
        <v>488.49503430000004</v>
      </c>
    </row>
    <row r="687" spans="7:16" x14ac:dyDescent="0.15">
      <c r="G687" s="11">
        <v>686</v>
      </c>
      <c r="H687" t="s">
        <v>350</v>
      </c>
      <c r="I687" t="s">
        <v>40</v>
      </c>
      <c r="J687" t="s">
        <v>833</v>
      </c>
      <c r="K687">
        <v>-0.85</v>
      </c>
      <c r="L687" s="20">
        <v>0.93</v>
      </c>
      <c r="M687">
        <v>11.94</v>
      </c>
      <c r="N687">
        <v>5.97</v>
      </c>
      <c r="O687">
        <v>5.97</v>
      </c>
      <c r="P687" s="21">
        <v>29.136900000000001</v>
      </c>
    </row>
    <row r="688" spans="7:16" x14ac:dyDescent="0.15">
      <c r="G688" s="11">
        <v>687</v>
      </c>
      <c r="H688" t="s">
        <v>1236</v>
      </c>
      <c r="I688" t="s">
        <v>1237</v>
      </c>
      <c r="J688" t="s">
        <v>1220</v>
      </c>
      <c r="K688">
        <v>0</v>
      </c>
      <c r="L688" s="20">
        <v>729.7</v>
      </c>
      <c r="M688">
        <v>11.81</v>
      </c>
      <c r="N688">
        <v>10.67</v>
      </c>
      <c r="O688">
        <v>1.1399999999999999</v>
      </c>
      <c r="P688" s="21">
        <v>901.26390649999996</v>
      </c>
    </row>
    <row r="689" spans="7:16" x14ac:dyDescent="0.15">
      <c r="G689" s="11">
        <v>688</v>
      </c>
      <c r="H689" t="s">
        <v>1238</v>
      </c>
      <c r="I689" t="s">
        <v>1239</v>
      </c>
      <c r="J689" t="s">
        <v>1220</v>
      </c>
      <c r="K689">
        <v>0</v>
      </c>
      <c r="M689">
        <v>11.229999999999999</v>
      </c>
      <c r="N689">
        <v>10.95</v>
      </c>
      <c r="O689">
        <v>0.28000000000000003</v>
      </c>
      <c r="P689" s="21">
        <v>1773.7313659000001</v>
      </c>
    </row>
    <row r="690" spans="7:16" x14ac:dyDescent="0.15">
      <c r="G690" s="11">
        <v>689</v>
      </c>
      <c r="H690" t="s">
        <v>1223</v>
      </c>
      <c r="I690" t="s">
        <v>1224</v>
      </c>
      <c r="J690" t="s">
        <v>1220</v>
      </c>
      <c r="K690">
        <v>0</v>
      </c>
      <c r="M690">
        <v>10.950000000000001</v>
      </c>
      <c r="N690">
        <v>10.38</v>
      </c>
      <c r="O690">
        <v>0.56999999999999995</v>
      </c>
      <c r="P690" s="21">
        <v>966.98590000000002</v>
      </c>
    </row>
    <row r="691" spans="7:16" x14ac:dyDescent="0.15">
      <c r="G691" s="11">
        <v>690</v>
      </c>
      <c r="H691" t="s">
        <v>1221</v>
      </c>
      <c r="I691" t="s">
        <v>1222</v>
      </c>
      <c r="J691" t="s">
        <v>1220</v>
      </c>
      <c r="K691">
        <v>0</v>
      </c>
      <c r="M691">
        <v>10.82</v>
      </c>
      <c r="N691">
        <v>9.82</v>
      </c>
      <c r="O691">
        <v>1</v>
      </c>
      <c r="P691" s="21">
        <v>2580.4962999999998</v>
      </c>
    </row>
    <row r="692" spans="7:16" x14ac:dyDescent="0.15">
      <c r="G692" s="11">
        <v>691</v>
      </c>
      <c r="H692" t="s">
        <v>1231</v>
      </c>
      <c r="I692" t="s">
        <v>1232</v>
      </c>
      <c r="J692" t="s">
        <v>1220</v>
      </c>
      <c r="K692">
        <v>0</v>
      </c>
      <c r="M692">
        <v>10.81</v>
      </c>
      <c r="N692">
        <v>9.9600000000000009</v>
      </c>
      <c r="O692">
        <v>0.85</v>
      </c>
      <c r="P692" s="21">
        <v>322.04489999999998</v>
      </c>
    </row>
    <row r="693" spans="7:16" x14ac:dyDescent="0.15">
      <c r="G693" s="11">
        <v>692</v>
      </c>
      <c r="H693" t="s">
        <v>1218</v>
      </c>
      <c r="I693" t="s">
        <v>1219</v>
      </c>
      <c r="J693" t="s">
        <v>1220</v>
      </c>
      <c r="K693">
        <v>0</v>
      </c>
      <c r="M693">
        <v>10.809999999999999</v>
      </c>
      <c r="N693">
        <v>10.1</v>
      </c>
      <c r="O693">
        <v>0.71</v>
      </c>
      <c r="P693" s="21">
        <v>1147.0757000000001</v>
      </c>
    </row>
    <row r="694" spans="7:16" x14ac:dyDescent="0.15">
      <c r="G694" s="11">
        <v>693</v>
      </c>
      <c r="H694" t="s">
        <v>1240</v>
      </c>
      <c r="I694" t="s">
        <v>1241</v>
      </c>
      <c r="J694" t="s">
        <v>1220</v>
      </c>
      <c r="K694">
        <v>0</v>
      </c>
      <c r="M694">
        <v>10.1</v>
      </c>
      <c r="N694">
        <v>9.67</v>
      </c>
      <c r="O694">
        <v>0.43</v>
      </c>
      <c r="P694" s="21">
        <v>1022.3294047000001</v>
      </c>
    </row>
    <row r="695" spans="7:16" x14ac:dyDescent="0.15">
      <c r="G695" s="11">
        <v>694</v>
      </c>
      <c r="H695" t="s">
        <v>1229</v>
      </c>
      <c r="I695" t="s">
        <v>1230</v>
      </c>
      <c r="J695" t="s">
        <v>1220</v>
      </c>
      <c r="K695">
        <v>0</v>
      </c>
      <c r="M695">
        <v>9.67</v>
      </c>
      <c r="N695">
        <v>9.5299999999999994</v>
      </c>
      <c r="O695">
        <v>0.14000000000000001</v>
      </c>
      <c r="P695" s="21">
        <v>1914.5188000000001</v>
      </c>
    </row>
    <row r="696" spans="7:16" x14ac:dyDescent="0.15">
      <c r="G696" s="11">
        <v>695</v>
      </c>
      <c r="H696" t="s">
        <v>669</v>
      </c>
      <c r="I696" t="s">
        <v>1205</v>
      </c>
      <c r="J696" t="s">
        <v>1198</v>
      </c>
      <c r="K696">
        <v>-2.81</v>
      </c>
      <c r="L696" s="20">
        <v>0.86</v>
      </c>
      <c r="M696">
        <v>8.9600000000000009</v>
      </c>
      <c r="N696">
        <v>2.7</v>
      </c>
      <c r="O696">
        <v>6.26</v>
      </c>
      <c r="P696" s="21">
        <v>26096.743699999999</v>
      </c>
    </row>
    <row r="697" spans="7:16" x14ac:dyDescent="0.15">
      <c r="G697" s="11">
        <v>696</v>
      </c>
      <c r="H697" t="s">
        <v>318</v>
      </c>
      <c r="I697" t="s">
        <v>1099</v>
      </c>
      <c r="J697" t="s">
        <v>1251</v>
      </c>
      <c r="K697">
        <v>-2.4300000000000002</v>
      </c>
      <c r="L697" s="20">
        <v>1.22</v>
      </c>
      <c r="M697">
        <v>8.4</v>
      </c>
      <c r="N697">
        <v>2.99</v>
      </c>
      <c r="O697">
        <v>5.41</v>
      </c>
      <c r="P697" s="21">
        <v>49.042700000000004</v>
      </c>
    </row>
    <row r="698" spans="7:16" x14ac:dyDescent="0.15">
      <c r="G698" s="11">
        <v>697</v>
      </c>
      <c r="H698" t="s">
        <v>630</v>
      </c>
      <c r="I698" t="s">
        <v>1208</v>
      </c>
      <c r="J698" t="s">
        <v>1198</v>
      </c>
      <c r="K698">
        <v>-7.12</v>
      </c>
      <c r="L698" s="20">
        <v>0.99</v>
      </c>
      <c r="M698">
        <v>6.83</v>
      </c>
      <c r="N698">
        <v>1</v>
      </c>
      <c r="O698">
        <v>5.83</v>
      </c>
      <c r="P698" s="21">
        <v>30352.965318199997</v>
      </c>
    </row>
    <row r="699" spans="7:16" x14ac:dyDescent="0.15">
      <c r="G699" s="11">
        <v>698</v>
      </c>
      <c r="H699" t="s">
        <v>715</v>
      </c>
      <c r="I699" t="s">
        <v>1208</v>
      </c>
      <c r="J699" t="s">
        <v>1198</v>
      </c>
      <c r="K699">
        <v>-6.9</v>
      </c>
      <c r="L699" s="20">
        <v>1.44</v>
      </c>
      <c r="M699">
        <v>5.9799999999999995</v>
      </c>
      <c r="N699">
        <v>1.1399999999999999</v>
      </c>
      <c r="O699">
        <v>4.84</v>
      </c>
      <c r="P699" s="21">
        <v>44551.589699999997</v>
      </c>
    </row>
    <row r="700" spans="7:16" x14ac:dyDescent="0.15">
      <c r="G700" s="11">
        <v>699</v>
      </c>
      <c r="H700" t="s">
        <v>771</v>
      </c>
      <c r="I700" t="s">
        <v>1203</v>
      </c>
      <c r="J700" t="s">
        <v>1198</v>
      </c>
      <c r="K700">
        <v>-4.46</v>
      </c>
      <c r="L700" s="20">
        <v>2.13</v>
      </c>
      <c r="M700">
        <v>5.6899999999999995</v>
      </c>
      <c r="N700">
        <v>2.13</v>
      </c>
      <c r="O700">
        <v>3.56</v>
      </c>
      <c r="P700" s="21">
        <v>147.1487735</v>
      </c>
    </row>
    <row r="701" spans="7:16" x14ac:dyDescent="0.15">
      <c r="G701" s="11">
        <v>700</v>
      </c>
      <c r="H701" t="s">
        <v>776</v>
      </c>
      <c r="I701" t="s">
        <v>1210</v>
      </c>
      <c r="J701" t="s">
        <v>1198</v>
      </c>
      <c r="K701">
        <v>-3.22</v>
      </c>
      <c r="L701" s="20">
        <v>2.62</v>
      </c>
      <c r="M701">
        <v>5.12</v>
      </c>
      <c r="N701">
        <v>2.42</v>
      </c>
      <c r="O701">
        <v>2.7</v>
      </c>
      <c r="P701" s="21">
        <v>79.849201899999997</v>
      </c>
    </row>
    <row r="702" spans="7:16" x14ac:dyDescent="0.15">
      <c r="G702" s="11">
        <v>701</v>
      </c>
      <c r="H702" t="s">
        <v>777</v>
      </c>
      <c r="I702" t="s">
        <v>1201</v>
      </c>
      <c r="J702" t="s">
        <v>1198</v>
      </c>
      <c r="K702">
        <v>-12.78</v>
      </c>
      <c r="L702" s="20">
        <v>1.97</v>
      </c>
      <c r="M702">
        <v>4.12</v>
      </c>
      <c r="N702">
        <v>0.28000000000000003</v>
      </c>
      <c r="O702">
        <v>3.84</v>
      </c>
      <c r="P702" s="21">
        <v>388.30239190000003</v>
      </c>
    </row>
    <row r="703" spans="7:16" x14ac:dyDescent="0.15">
      <c r="G703" s="11">
        <v>702</v>
      </c>
      <c r="H703" t="s">
        <v>772</v>
      </c>
      <c r="I703" t="s">
        <v>1209</v>
      </c>
      <c r="J703" t="s">
        <v>1198</v>
      </c>
      <c r="K703">
        <v>-6.25</v>
      </c>
      <c r="L703" s="20">
        <v>3.63</v>
      </c>
      <c r="M703">
        <v>3.55</v>
      </c>
      <c r="N703">
        <v>1.42</v>
      </c>
      <c r="O703">
        <v>2.13</v>
      </c>
      <c r="P703" s="21">
        <v>434.47401739999998</v>
      </c>
    </row>
    <row r="704" spans="7:16" x14ac:dyDescent="0.15">
      <c r="G704" s="11">
        <v>703</v>
      </c>
      <c r="H704" t="s">
        <v>2005</v>
      </c>
      <c r="I704" t="s">
        <v>1233</v>
      </c>
      <c r="J704" t="s">
        <v>1220</v>
      </c>
      <c r="K704">
        <v>-10.76</v>
      </c>
      <c r="L704" s="20">
        <v>43.12</v>
      </c>
      <c r="M704">
        <v>1.85</v>
      </c>
      <c r="N704">
        <v>0.56999999999999995</v>
      </c>
      <c r="O704">
        <v>1.28</v>
      </c>
      <c r="P704" s="21">
        <v>345.09553740000001</v>
      </c>
    </row>
  </sheetData>
  <autoFilter ref="A1:P704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模块1.rotate_LOF_ETF">
                <anchor moveWithCells="1" sizeWithCells="1">
                  <from>
                    <xdr:col>5</xdr:col>
                    <xdr:colOff>85725</xdr:colOff>
                    <xdr:row>2</xdr:row>
                    <xdr:rowOff>142875</xdr:rowOff>
                  </from>
                  <to>
                    <xdr:col>5</xdr:col>
                    <xdr:colOff>923925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115"/>
  <sheetViews>
    <sheetView workbookViewId="0">
      <pane ySplit="1" topLeftCell="A2" activePane="bottomLeft" state="frozen"/>
      <selection pane="bottomLeft" activeCell="H5" sqref="H5"/>
    </sheetView>
  </sheetViews>
  <sheetFormatPr defaultRowHeight="14.25" x14ac:dyDescent="0.15"/>
  <cols>
    <col min="1" max="1" width="10.5" customWidth="1"/>
    <col min="2" max="2" width="10.125" customWidth="1"/>
    <col min="3" max="3" width="13.75" bestFit="1" customWidth="1"/>
    <col min="4" max="4" width="9.375" customWidth="1"/>
    <col min="5" max="5" width="11.375" customWidth="1"/>
    <col min="6" max="6" width="14" customWidth="1"/>
    <col min="7" max="7" width="4.625" style="11" customWidth="1"/>
    <col min="8" max="8" width="9.75" customWidth="1"/>
    <col min="9" max="9" width="19.375" bestFit="1" customWidth="1"/>
    <col min="10" max="10" width="12" customWidth="1"/>
    <col min="11" max="11" width="10.375" customWidth="1"/>
    <col min="12" max="12" width="8" style="20" customWidth="1"/>
    <col min="13" max="13" width="8.625" customWidth="1"/>
    <col min="14" max="14" width="9" customWidth="1"/>
    <col min="15" max="15" width="7.25" customWidth="1"/>
    <col min="16" max="16" width="12.375" style="21" customWidth="1"/>
  </cols>
  <sheetData>
    <row r="1" spans="1:16" s="22" customFormat="1" ht="50.25" customHeight="1" x14ac:dyDescent="0.15">
      <c r="A1" s="28" t="s">
        <v>283</v>
      </c>
      <c r="B1" s="23" t="s">
        <v>39</v>
      </c>
      <c r="C1" s="23" t="s">
        <v>38</v>
      </c>
      <c r="D1" s="23" t="s">
        <v>1690</v>
      </c>
      <c r="E1" s="27"/>
      <c r="F1" s="28" t="s">
        <v>1689</v>
      </c>
      <c r="G1" s="24"/>
      <c r="H1" s="23" t="s">
        <v>39</v>
      </c>
      <c r="I1" s="23" t="s">
        <v>38</v>
      </c>
      <c r="J1" s="23" t="s">
        <v>37</v>
      </c>
      <c r="K1" s="23" t="s">
        <v>36</v>
      </c>
      <c r="L1" s="25" t="s">
        <v>35</v>
      </c>
      <c r="M1" s="23" t="s">
        <v>34</v>
      </c>
      <c r="N1" s="23" t="s">
        <v>1685</v>
      </c>
      <c r="O1" s="23" t="s">
        <v>1686</v>
      </c>
      <c r="P1" s="26" t="s">
        <v>1687</v>
      </c>
    </row>
    <row r="2" spans="1:16" x14ac:dyDescent="0.15">
      <c r="A2">
        <v>1</v>
      </c>
      <c r="B2">
        <v>159980</v>
      </c>
      <c r="C2" t="s">
        <v>812</v>
      </c>
      <c r="D2">
        <f>MATCH(IF(B2&lt;499999,"SZ"&amp;B2,"SH"&amp;B2),$H$2:$H$3000,0)</f>
        <v>63</v>
      </c>
      <c r="G2" s="11">
        <v>1</v>
      </c>
      <c r="H2" t="s">
        <v>766</v>
      </c>
      <c r="I2" t="s">
        <v>1812</v>
      </c>
      <c r="J2" t="s">
        <v>15</v>
      </c>
      <c r="K2">
        <v>11.54</v>
      </c>
      <c r="L2" s="20">
        <v>-0.41</v>
      </c>
      <c r="M2">
        <v>185.96</v>
      </c>
      <c r="N2">
        <v>92.98</v>
      </c>
      <c r="O2">
        <v>92.98</v>
      </c>
      <c r="P2" s="21">
        <v>16207.342447499999</v>
      </c>
    </row>
    <row r="3" spans="1:16" x14ac:dyDescent="0.15">
      <c r="A3">
        <v>2</v>
      </c>
      <c r="B3">
        <v>159981</v>
      </c>
      <c r="C3" t="s">
        <v>813</v>
      </c>
      <c r="D3">
        <f t="shared" ref="D3:D8" si="0">MATCH(IF(B3&lt;499999,"SZ"&amp;B3,"SH"&amp;B3),$H$2:$H$3000,0)</f>
        <v>11</v>
      </c>
      <c r="F3" s="9"/>
      <c r="G3" s="11">
        <v>2</v>
      </c>
      <c r="H3" t="s">
        <v>620</v>
      </c>
      <c r="I3" t="s">
        <v>1811</v>
      </c>
      <c r="J3" t="s">
        <v>15</v>
      </c>
      <c r="K3">
        <v>10.119999999999999</v>
      </c>
      <c r="L3" s="20">
        <v>-0.56000000000000005</v>
      </c>
      <c r="M3">
        <v>183.32999999999998</v>
      </c>
      <c r="N3">
        <v>85.96</v>
      </c>
      <c r="O3">
        <v>97.37</v>
      </c>
      <c r="P3" s="21">
        <v>3785.8229858999998</v>
      </c>
    </row>
    <row r="4" spans="1:16" x14ac:dyDescent="0.15">
      <c r="A4">
        <v>3</v>
      </c>
      <c r="B4">
        <v>160216</v>
      </c>
      <c r="C4" t="s">
        <v>28</v>
      </c>
      <c r="D4">
        <f t="shared" si="0"/>
        <v>53</v>
      </c>
      <c r="F4" s="9"/>
      <c r="G4" s="11">
        <v>3</v>
      </c>
      <c r="H4" t="s">
        <v>765</v>
      </c>
      <c r="I4" t="s">
        <v>1693</v>
      </c>
      <c r="J4" t="s">
        <v>15</v>
      </c>
      <c r="K4">
        <v>11.42</v>
      </c>
      <c r="L4" s="20">
        <v>-0.14000000000000001</v>
      </c>
      <c r="M4">
        <v>171.93</v>
      </c>
      <c r="N4">
        <v>91.23</v>
      </c>
      <c r="O4">
        <v>80.7</v>
      </c>
      <c r="P4" s="21">
        <v>91752.473875600001</v>
      </c>
    </row>
    <row r="5" spans="1:16" x14ac:dyDescent="0.15">
      <c r="A5">
        <v>4</v>
      </c>
      <c r="B5">
        <v>161815</v>
      </c>
      <c r="C5" t="s">
        <v>20</v>
      </c>
      <c r="D5">
        <f t="shared" si="0"/>
        <v>68</v>
      </c>
      <c r="F5" s="9"/>
      <c r="G5" s="11">
        <v>4</v>
      </c>
      <c r="H5" t="s">
        <v>611</v>
      </c>
      <c r="I5" t="s">
        <v>1692</v>
      </c>
      <c r="J5" t="s">
        <v>15</v>
      </c>
      <c r="K5">
        <v>9.44</v>
      </c>
      <c r="L5" s="20">
        <v>-0.39</v>
      </c>
      <c r="M5">
        <v>171.93</v>
      </c>
      <c r="N5">
        <v>80.7</v>
      </c>
      <c r="O5">
        <v>91.23</v>
      </c>
      <c r="P5" s="21">
        <v>2254.4268000000002</v>
      </c>
    </row>
    <row r="6" spans="1:16" x14ac:dyDescent="0.15">
      <c r="A6">
        <v>5</v>
      </c>
      <c r="B6">
        <v>163208</v>
      </c>
      <c r="C6" t="s">
        <v>24</v>
      </c>
      <c r="D6">
        <f t="shared" si="0"/>
        <v>39</v>
      </c>
      <c r="F6" s="9"/>
      <c r="G6" s="11">
        <v>5</v>
      </c>
      <c r="H6" t="s">
        <v>545</v>
      </c>
      <c r="I6" t="s">
        <v>1694</v>
      </c>
      <c r="J6" t="s">
        <v>15</v>
      </c>
      <c r="K6">
        <v>9.2799999999999994</v>
      </c>
      <c r="L6" s="20">
        <v>-0.37</v>
      </c>
      <c r="M6">
        <v>169.3</v>
      </c>
      <c r="N6">
        <v>78.95</v>
      </c>
      <c r="O6">
        <v>90.35</v>
      </c>
      <c r="P6" s="21">
        <v>2156.0500339</v>
      </c>
    </row>
    <row r="7" spans="1:16" x14ac:dyDescent="0.15">
      <c r="A7">
        <v>6</v>
      </c>
      <c r="B7">
        <v>165513</v>
      </c>
      <c r="C7" t="s">
        <v>26</v>
      </c>
      <c r="D7">
        <f t="shared" si="0"/>
        <v>54</v>
      </c>
      <c r="G7" s="11">
        <v>6</v>
      </c>
      <c r="H7" t="s">
        <v>671</v>
      </c>
      <c r="I7" t="s">
        <v>1695</v>
      </c>
      <c r="J7" t="s">
        <v>15</v>
      </c>
      <c r="K7">
        <v>9.3000000000000007</v>
      </c>
      <c r="L7" s="20">
        <v>-0.37</v>
      </c>
      <c r="M7">
        <v>169.29</v>
      </c>
      <c r="N7">
        <v>79.819999999999993</v>
      </c>
      <c r="O7">
        <v>89.47</v>
      </c>
      <c r="P7" s="21">
        <v>5601.3943024</v>
      </c>
    </row>
    <row r="8" spans="1:16" x14ac:dyDescent="0.15">
      <c r="A8">
        <v>7</v>
      </c>
      <c r="B8">
        <v>513130</v>
      </c>
      <c r="C8" t="s">
        <v>814</v>
      </c>
      <c r="D8">
        <f t="shared" si="0"/>
        <v>29</v>
      </c>
      <c r="G8" s="11">
        <v>7</v>
      </c>
      <c r="H8" t="s">
        <v>599</v>
      </c>
      <c r="I8" t="s">
        <v>1696</v>
      </c>
      <c r="J8" t="s">
        <v>15</v>
      </c>
      <c r="K8">
        <v>10.02</v>
      </c>
      <c r="L8" s="20">
        <v>-0.19</v>
      </c>
      <c r="M8">
        <v>166.67</v>
      </c>
      <c r="N8">
        <v>82.46</v>
      </c>
      <c r="O8">
        <v>84.21</v>
      </c>
      <c r="P8" s="21">
        <v>10448.219399699999</v>
      </c>
    </row>
    <row r="9" spans="1:16" x14ac:dyDescent="0.15">
      <c r="G9" s="11">
        <v>8</v>
      </c>
      <c r="H9" t="s">
        <v>746</v>
      </c>
      <c r="I9" t="s">
        <v>1697</v>
      </c>
      <c r="J9" t="s">
        <v>15</v>
      </c>
      <c r="K9">
        <v>7.98</v>
      </c>
      <c r="L9" s="20">
        <v>-0.32</v>
      </c>
      <c r="M9">
        <v>163.16</v>
      </c>
      <c r="N9">
        <v>75.44</v>
      </c>
      <c r="O9">
        <v>87.72</v>
      </c>
      <c r="P9" s="21">
        <v>4424.7312648000006</v>
      </c>
    </row>
    <row r="10" spans="1:16" x14ac:dyDescent="0.15">
      <c r="G10" s="11">
        <v>9</v>
      </c>
      <c r="H10" t="s">
        <v>701</v>
      </c>
      <c r="I10" t="s">
        <v>1698</v>
      </c>
      <c r="J10" t="s">
        <v>15</v>
      </c>
      <c r="K10">
        <v>8.09</v>
      </c>
      <c r="L10" s="20">
        <v>-0.14000000000000001</v>
      </c>
      <c r="M10">
        <v>157.89999999999998</v>
      </c>
      <c r="N10">
        <v>76.319999999999993</v>
      </c>
      <c r="O10">
        <v>81.58</v>
      </c>
      <c r="P10" s="21">
        <v>100.67529999999999</v>
      </c>
    </row>
    <row r="11" spans="1:16" x14ac:dyDescent="0.15">
      <c r="G11" s="11">
        <v>10</v>
      </c>
      <c r="H11" t="s">
        <v>575</v>
      </c>
      <c r="I11" t="s">
        <v>1699</v>
      </c>
      <c r="J11" t="s">
        <v>15</v>
      </c>
      <c r="K11">
        <v>1.32</v>
      </c>
      <c r="L11" s="20">
        <v>-0.83</v>
      </c>
      <c r="M11">
        <v>154.38999999999999</v>
      </c>
      <c r="N11">
        <v>54.39</v>
      </c>
      <c r="O11">
        <v>100</v>
      </c>
      <c r="P11" s="21">
        <v>41304.446600000003</v>
      </c>
    </row>
    <row r="12" spans="1:16" x14ac:dyDescent="0.15">
      <c r="G12" s="11">
        <v>11</v>
      </c>
      <c r="H12" t="s">
        <v>298</v>
      </c>
      <c r="I12" t="s">
        <v>33</v>
      </c>
      <c r="J12" t="s">
        <v>1703</v>
      </c>
      <c r="K12">
        <v>6.66</v>
      </c>
      <c r="L12" s="20">
        <v>-0.17</v>
      </c>
      <c r="M12">
        <v>152.63999999999999</v>
      </c>
      <c r="N12">
        <v>70.180000000000007</v>
      </c>
      <c r="O12">
        <v>82.46</v>
      </c>
      <c r="P12" s="21">
        <v>2448.4865600000003</v>
      </c>
    </row>
    <row r="13" spans="1:16" x14ac:dyDescent="0.15">
      <c r="G13" s="11">
        <v>12</v>
      </c>
      <c r="H13" t="s">
        <v>1700</v>
      </c>
      <c r="I13" t="s">
        <v>1701</v>
      </c>
      <c r="J13" t="s">
        <v>1702</v>
      </c>
      <c r="K13">
        <v>5.45</v>
      </c>
      <c r="L13" s="20">
        <v>-0.28000000000000003</v>
      </c>
      <c r="M13">
        <v>151.76</v>
      </c>
      <c r="N13">
        <v>66.67</v>
      </c>
      <c r="O13">
        <v>85.09</v>
      </c>
      <c r="P13" s="21">
        <v>47.254480000000001</v>
      </c>
    </row>
    <row r="14" spans="1:16" x14ac:dyDescent="0.15">
      <c r="G14" s="11">
        <v>13</v>
      </c>
      <c r="H14" t="s">
        <v>432</v>
      </c>
      <c r="I14" t="s">
        <v>1706</v>
      </c>
      <c r="J14" t="s">
        <v>1707</v>
      </c>
      <c r="K14">
        <v>42.11</v>
      </c>
      <c r="L14" s="20">
        <v>0.01</v>
      </c>
      <c r="M14">
        <v>149.12</v>
      </c>
      <c r="N14">
        <v>100</v>
      </c>
      <c r="O14">
        <v>49.12</v>
      </c>
      <c r="P14" s="21">
        <v>2431.0257999999999</v>
      </c>
    </row>
    <row r="15" spans="1:16" x14ac:dyDescent="0.15">
      <c r="G15" s="11">
        <v>14</v>
      </c>
      <c r="H15" t="s">
        <v>1704</v>
      </c>
      <c r="I15" t="s">
        <v>1705</v>
      </c>
      <c r="J15" t="s">
        <v>15</v>
      </c>
      <c r="K15">
        <v>3.58</v>
      </c>
      <c r="L15" s="20">
        <v>-0.32</v>
      </c>
      <c r="M15">
        <v>147.37</v>
      </c>
      <c r="N15">
        <v>60.53</v>
      </c>
      <c r="O15">
        <v>86.84</v>
      </c>
      <c r="P15" s="21">
        <v>382.15780000000001</v>
      </c>
    </row>
    <row r="16" spans="1:16" x14ac:dyDescent="0.15">
      <c r="G16" s="11">
        <v>15</v>
      </c>
      <c r="H16" t="s">
        <v>324</v>
      </c>
      <c r="I16" t="s">
        <v>1708</v>
      </c>
      <c r="J16" t="s">
        <v>1702</v>
      </c>
      <c r="K16">
        <v>0.84</v>
      </c>
      <c r="L16" s="20">
        <v>-0.53</v>
      </c>
      <c r="M16">
        <v>145.61000000000001</v>
      </c>
      <c r="N16">
        <v>50</v>
      </c>
      <c r="O16">
        <v>95.61</v>
      </c>
      <c r="P16" s="21">
        <v>3755.3744999999999</v>
      </c>
    </row>
    <row r="17" spans="7:16" x14ac:dyDescent="0.15">
      <c r="G17" s="11">
        <v>16</v>
      </c>
      <c r="H17" t="s">
        <v>635</v>
      </c>
      <c r="I17" t="s">
        <v>1713</v>
      </c>
      <c r="J17" t="s">
        <v>15</v>
      </c>
      <c r="K17">
        <v>10.09</v>
      </c>
      <c r="L17" s="20">
        <v>0</v>
      </c>
      <c r="M17">
        <v>143.85999999999999</v>
      </c>
      <c r="N17">
        <v>84.21</v>
      </c>
      <c r="O17">
        <v>59.65</v>
      </c>
      <c r="P17" s="21">
        <v>7336.2018181999993</v>
      </c>
    </row>
    <row r="18" spans="7:16" x14ac:dyDescent="0.15">
      <c r="G18" s="11">
        <v>17</v>
      </c>
      <c r="H18" t="s">
        <v>728</v>
      </c>
      <c r="I18" t="s">
        <v>1709</v>
      </c>
      <c r="J18" t="s">
        <v>15</v>
      </c>
      <c r="K18">
        <v>0.92</v>
      </c>
      <c r="L18" s="20">
        <v>-0.36</v>
      </c>
      <c r="M18">
        <v>142.10999999999999</v>
      </c>
      <c r="N18">
        <v>53.51</v>
      </c>
      <c r="O18">
        <v>88.6</v>
      </c>
      <c r="P18" s="21">
        <v>1316.6311699999999</v>
      </c>
    </row>
    <row r="19" spans="7:16" x14ac:dyDescent="0.15">
      <c r="G19" s="11">
        <v>18</v>
      </c>
      <c r="H19" t="s">
        <v>330</v>
      </c>
      <c r="I19" t="s">
        <v>1710</v>
      </c>
      <c r="J19" t="s">
        <v>1702</v>
      </c>
      <c r="K19">
        <v>0.57999999999999996</v>
      </c>
      <c r="L19" s="20">
        <v>-0.53</v>
      </c>
      <c r="M19">
        <v>140.35</v>
      </c>
      <c r="N19">
        <v>43.86</v>
      </c>
      <c r="O19">
        <v>96.49</v>
      </c>
      <c r="P19" s="21">
        <v>2464.8573000000001</v>
      </c>
    </row>
    <row r="20" spans="7:16" x14ac:dyDescent="0.15">
      <c r="G20" s="11">
        <v>19</v>
      </c>
      <c r="H20" t="s">
        <v>736</v>
      </c>
      <c r="I20" t="s">
        <v>1714</v>
      </c>
      <c r="J20" t="s">
        <v>15</v>
      </c>
      <c r="K20">
        <v>3.54</v>
      </c>
      <c r="L20" s="20">
        <v>-0.1</v>
      </c>
      <c r="M20">
        <v>138.6</v>
      </c>
      <c r="N20">
        <v>59.65</v>
      </c>
      <c r="O20">
        <v>78.95</v>
      </c>
      <c r="P20" s="21">
        <v>606.6653</v>
      </c>
    </row>
    <row r="21" spans="7:16" x14ac:dyDescent="0.15">
      <c r="G21" s="11">
        <v>20</v>
      </c>
      <c r="H21" t="s">
        <v>1711</v>
      </c>
      <c r="I21" t="s">
        <v>1712</v>
      </c>
      <c r="J21" t="s">
        <v>1702</v>
      </c>
      <c r="K21">
        <v>1.4</v>
      </c>
      <c r="L21" s="20">
        <v>-0.17</v>
      </c>
      <c r="M21">
        <v>138.59</v>
      </c>
      <c r="N21">
        <v>55.26</v>
      </c>
      <c r="O21">
        <v>83.33</v>
      </c>
      <c r="P21" s="21">
        <v>63.790496600000004</v>
      </c>
    </row>
    <row r="22" spans="7:16" x14ac:dyDescent="0.15">
      <c r="G22" s="11">
        <v>21</v>
      </c>
      <c r="H22" t="s">
        <v>313</v>
      </c>
      <c r="I22" t="s">
        <v>1715</v>
      </c>
      <c r="J22" t="s">
        <v>1702</v>
      </c>
      <c r="K22">
        <v>0.53</v>
      </c>
      <c r="L22" s="20">
        <v>-0.45</v>
      </c>
      <c r="M22">
        <v>135.97</v>
      </c>
      <c r="N22">
        <v>41.23</v>
      </c>
      <c r="O22">
        <v>94.74</v>
      </c>
      <c r="P22" s="21">
        <v>1446.1004499999999</v>
      </c>
    </row>
    <row r="23" spans="7:16" x14ac:dyDescent="0.15">
      <c r="G23" s="11">
        <v>22</v>
      </c>
      <c r="H23" t="s">
        <v>335</v>
      </c>
      <c r="I23" t="s">
        <v>1716</v>
      </c>
      <c r="J23" t="s">
        <v>1702</v>
      </c>
      <c r="K23">
        <v>0.85</v>
      </c>
      <c r="L23" s="20">
        <v>-0.11</v>
      </c>
      <c r="M23">
        <v>130.69999999999999</v>
      </c>
      <c r="N23">
        <v>50.88</v>
      </c>
      <c r="O23">
        <v>79.819999999999993</v>
      </c>
      <c r="P23" s="21">
        <v>17103.804599999999</v>
      </c>
    </row>
    <row r="24" spans="7:16" x14ac:dyDescent="0.15">
      <c r="G24" s="11">
        <v>23</v>
      </c>
      <c r="H24" t="s">
        <v>315</v>
      </c>
      <c r="I24" t="s">
        <v>1718</v>
      </c>
      <c r="J24" t="s">
        <v>1702</v>
      </c>
      <c r="K24">
        <v>0.3</v>
      </c>
      <c r="L24" s="20">
        <v>-0.7</v>
      </c>
      <c r="M24">
        <v>129.82</v>
      </c>
      <c r="N24">
        <v>30.7</v>
      </c>
      <c r="O24">
        <v>99.12</v>
      </c>
      <c r="P24" s="21">
        <v>691.94850999999994</v>
      </c>
    </row>
    <row r="25" spans="7:16" x14ac:dyDescent="0.15">
      <c r="G25" s="11">
        <v>24</v>
      </c>
      <c r="H25" t="s">
        <v>321</v>
      </c>
      <c r="I25" t="s">
        <v>1717</v>
      </c>
      <c r="J25" t="s">
        <v>1702</v>
      </c>
      <c r="K25">
        <v>0.86</v>
      </c>
      <c r="L25" s="20">
        <v>-0.09</v>
      </c>
      <c r="M25">
        <v>129.82</v>
      </c>
      <c r="N25">
        <v>52.63</v>
      </c>
      <c r="O25">
        <v>77.19</v>
      </c>
      <c r="P25" s="21">
        <v>50.999499999999998</v>
      </c>
    </row>
    <row r="26" spans="7:16" x14ac:dyDescent="0.15">
      <c r="G26" s="11">
        <v>25</v>
      </c>
      <c r="H26" t="s">
        <v>288</v>
      </c>
      <c r="I26" t="s">
        <v>27</v>
      </c>
      <c r="J26" t="s">
        <v>15</v>
      </c>
      <c r="K26">
        <v>17.98</v>
      </c>
      <c r="L26" s="20">
        <v>0.53</v>
      </c>
      <c r="M26">
        <v>128.07</v>
      </c>
      <c r="N26">
        <v>98.25</v>
      </c>
      <c r="O26">
        <v>29.82</v>
      </c>
      <c r="P26" s="21">
        <v>6028.0823802000004</v>
      </c>
    </row>
    <row r="27" spans="7:16" x14ac:dyDescent="0.15">
      <c r="G27" s="11">
        <v>26</v>
      </c>
      <c r="H27" t="s">
        <v>832</v>
      </c>
      <c r="I27" t="s">
        <v>831</v>
      </c>
      <c r="J27" t="s">
        <v>1703</v>
      </c>
      <c r="K27">
        <v>0.37</v>
      </c>
      <c r="L27" s="20">
        <v>-0.4</v>
      </c>
      <c r="M27">
        <v>126.32</v>
      </c>
      <c r="N27">
        <v>34.21</v>
      </c>
      <c r="O27">
        <v>92.11</v>
      </c>
      <c r="P27" s="21">
        <v>323.52082889999997</v>
      </c>
    </row>
    <row r="28" spans="7:16" x14ac:dyDescent="0.15">
      <c r="G28" s="11">
        <v>27</v>
      </c>
      <c r="H28" t="s">
        <v>511</v>
      </c>
      <c r="I28" t="s">
        <v>1719</v>
      </c>
      <c r="J28" t="s">
        <v>1702</v>
      </c>
      <c r="K28">
        <v>2.61</v>
      </c>
      <c r="L28" s="20">
        <v>-0.03</v>
      </c>
      <c r="M28">
        <v>126.32</v>
      </c>
      <c r="N28">
        <v>57.02</v>
      </c>
      <c r="O28">
        <v>69.3</v>
      </c>
      <c r="P28" s="21">
        <v>5290.9947000000002</v>
      </c>
    </row>
    <row r="29" spans="7:16" x14ac:dyDescent="0.15">
      <c r="G29" s="11">
        <v>28</v>
      </c>
      <c r="H29" t="s">
        <v>742</v>
      </c>
      <c r="I29" t="s">
        <v>1720</v>
      </c>
      <c r="J29" t="s">
        <v>15</v>
      </c>
      <c r="K29">
        <v>6.45</v>
      </c>
      <c r="L29" s="20">
        <v>0</v>
      </c>
      <c r="M29">
        <v>122.81</v>
      </c>
      <c r="N29">
        <v>69.3</v>
      </c>
      <c r="O29">
        <v>53.51</v>
      </c>
      <c r="P29" s="21">
        <v>79402.290707399996</v>
      </c>
    </row>
    <row r="30" spans="7:16" x14ac:dyDescent="0.15">
      <c r="G30" s="11">
        <v>29</v>
      </c>
      <c r="H30" t="s">
        <v>683</v>
      </c>
      <c r="I30" t="s">
        <v>1721</v>
      </c>
      <c r="J30" t="s">
        <v>15</v>
      </c>
      <c r="K30">
        <v>10.17</v>
      </c>
      <c r="L30" s="20">
        <v>0.19</v>
      </c>
      <c r="M30">
        <v>121.93</v>
      </c>
      <c r="N30">
        <v>86.84</v>
      </c>
      <c r="O30">
        <v>35.090000000000003</v>
      </c>
      <c r="P30" s="21">
        <v>61941.447</v>
      </c>
    </row>
    <row r="31" spans="7:16" x14ac:dyDescent="0.15">
      <c r="G31" s="11">
        <v>30</v>
      </c>
      <c r="H31" t="s">
        <v>734</v>
      </c>
      <c r="I31" t="s">
        <v>1722</v>
      </c>
      <c r="J31" t="s">
        <v>15</v>
      </c>
      <c r="K31">
        <v>10.119999999999999</v>
      </c>
      <c r="L31" s="20">
        <v>0.19</v>
      </c>
      <c r="M31">
        <v>121.05000000000001</v>
      </c>
      <c r="N31">
        <v>85.09</v>
      </c>
      <c r="O31">
        <v>35.96</v>
      </c>
      <c r="P31" s="21">
        <v>22572.585200000001</v>
      </c>
    </row>
    <row r="32" spans="7:16" x14ac:dyDescent="0.15">
      <c r="G32" s="11">
        <v>31</v>
      </c>
      <c r="H32" t="s">
        <v>323</v>
      </c>
      <c r="I32" t="s">
        <v>1725</v>
      </c>
      <c r="J32" t="s">
        <v>1702</v>
      </c>
      <c r="K32">
        <v>0.06</v>
      </c>
      <c r="L32" s="20">
        <v>-0.44</v>
      </c>
      <c r="M32">
        <v>120.18</v>
      </c>
      <c r="N32">
        <v>26.32</v>
      </c>
      <c r="O32">
        <v>93.86</v>
      </c>
      <c r="P32" s="21">
        <v>144.93305989999999</v>
      </c>
    </row>
    <row r="33" spans="7:16" x14ac:dyDescent="0.15">
      <c r="G33" s="11">
        <v>32</v>
      </c>
      <c r="H33" t="s">
        <v>718</v>
      </c>
      <c r="I33" t="s">
        <v>1724</v>
      </c>
      <c r="J33" t="s">
        <v>15</v>
      </c>
      <c r="K33">
        <v>10.210000000000001</v>
      </c>
      <c r="L33" s="20">
        <v>0.37</v>
      </c>
      <c r="M33">
        <v>119.3</v>
      </c>
      <c r="N33">
        <v>87.72</v>
      </c>
      <c r="O33">
        <v>31.58</v>
      </c>
      <c r="P33" s="21">
        <v>10423.517099999999</v>
      </c>
    </row>
    <row r="34" spans="7:16" x14ac:dyDescent="0.15">
      <c r="G34" s="11">
        <v>33</v>
      </c>
      <c r="H34" t="s">
        <v>405</v>
      </c>
      <c r="I34" t="s">
        <v>1732</v>
      </c>
      <c r="J34" t="s">
        <v>1729</v>
      </c>
      <c r="K34">
        <v>0.53</v>
      </c>
      <c r="L34" s="20">
        <v>-0.08</v>
      </c>
      <c r="M34">
        <v>118.42999999999999</v>
      </c>
      <c r="N34">
        <v>42.11</v>
      </c>
      <c r="O34">
        <v>76.319999999999993</v>
      </c>
      <c r="P34" s="21">
        <v>31430.990448900004</v>
      </c>
    </row>
    <row r="35" spans="7:16" x14ac:dyDescent="0.15">
      <c r="G35" s="11">
        <v>34</v>
      </c>
      <c r="H35" t="s">
        <v>359</v>
      </c>
      <c r="I35" t="s">
        <v>1734</v>
      </c>
      <c r="J35" t="s">
        <v>15</v>
      </c>
      <c r="K35">
        <v>15.34</v>
      </c>
      <c r="L35" s="20">
        <v>1.3</v>
      </c>
      <c r="M35">
        <v>118.41999999999999</v>
      </c>
      <c r="N35">
        <v>96.49</v>
      </c>
      <c r="O35">
        <v>21.93</v>
      </c>
      <c r="P35" s="21">
        <v>160.53969219999999</v>
      </c>
    </row>
    <row r="36" spans="7:16" x14ac:dyDescent="0.15">
      <c r="G36" s="11">
        <v>35</v>
      </c>
      <c r="H36" t="s">
        <v>774</v>
      </c>
      <c r="I36" t="s">
        <v>1737</v>
      </c>
      <c r="J36" t="s">
        <v>15</v>
      </c>
      <c r="K36">
        <v>20.57</v>
      </c>
      <c r="L36" s="20">
        <v>1.69</v>
      </c>
      <c r="M36">
        <v>116.66</v>
      </c>
      <c r="N36">
        <v>99.12</v>
      </c>
      <c r="O36">
        <v>17.54</v>
      </c>
      <c r="P36" s="21">
        <v>1274.4589509</v>
      </c>
    </row>
    <row r="37" spans="7:16" x14ac:dyDescent="0.15">
      <c r="G37" s="11">
        <v>36</v>
      </c>
      <c r="H37" t="s">
        <v>751</v>
      </c>
      <c r="I37" t="s">
        <v>1726</v>
      </c>
      <c r="J37" t="s">
        <v>15</v>
      </c>
      <c r="K37">
        <v>4.3600000000000003</v>
      </c>
      <c r="L37" s="20">
        <v>0</v>
      </c>
      <c r="M37">
        <v>114.92000000000002</v>
      </c>
      <c r="N37">
        <v>64.040000000000006</v>
      </c>
      <c r="O37">
        <v>50.88</v>
      </c>
      <c r="P37" s="21">
        <v>268.96109999999999</v>
      </c>
    </row>
    <row r="38" spans="7:16" x14ac:dyDescent="0.15">
      <c r="G38" s="11">
        <v>37</v>
      </c>
      <c r="H38" t="s">
        <v>386</v>
      </c>
      <c r="I38" t="s">
        <v>1730</v>
      </c>
      <c r="J38" t="s">
        <v>1729</v>
      </c>
      <c r="K38">
        <v>0.54</v>
      </c>
      <c r="L38" s="20">
        <v>-0.05</v>
      </c>
      <c r="M38">
        <v>114.91</v>
      </c>
      <c r="N38">
        <v>42.98</v>
      </c>
      <c r="O38">
        <v>71.930000000000007</v>
      </c>
      <c r="P38" s="21">
        <v>68388.463799999998</v>
      </c>
    </row>
    <row r="39" spans="7:16" x14ac:dyDescent="0.15">
      <c r="G39" s="11">
        <v>38</v>
      </c>
      <c r="H39" t="s">
        <v>429</v>
      </c>
      <c r="I39" t="s">
        <v>1723</v>
      </c>
      <c r="J39" t="s">
        <v>1707</v>
      </c>
      <c r="K39">
        <v>4.04</v>
      </c>
      <c r="L39" s="20">
        <v>0</v>
      </c>
      <c r="M39">
        <v>114.91</v>
      </c>
      <c r="N39">
        <v>62.28</v>
      </c>
      <c r="O39">
        <v>52.63</v>
      </c>
      <c r="P39" s="21">
        <v>383.22732710000002</v>
      </c>
    </row>
    <row r="40" spans="7:16" x14ac:dyDescent="0.15">
      <c r="G40" s="11">
        <v>39</v>
      </c>
      <c r="H40" t="s">
        <v>287</v>
      </c>
      <c r="I40" t="s">
        <v>24</v>
      </c>
      <c r="J40" t="s">
        <v>15</v>
      </c>
      <c r="K40">
        <v>16.899999999999999</v>
      </c>
      <c r="L40" s="20">
        <v>1.72</v>
      </c>
      <c r="M40">
        <v>114.04</v>
      </c>
      <c r="N40">
        <v>97.37</v>
      </c>
      <c r="O40">
        <v>16.670000000000002</v>
      </c>
      <c r="P40" s="21">
        <v>88.99588</v>
      </c>
    </row>
    <row r="41" spans="7:16" x14ac:dyDescent="0.15">
      <c r="G41" s="11">
        <v>40</v>
      </c>
      <c r="H41" t="s">
        <v>374</v>
      </c>
      <c r="I41" t="s">
        <v>1733</v>
      </c>
      <c r="J41" t="s">
        <v>1729</v>
      </c>
      <c r="K41">
        <v>0.53</v>
      </c>
      <c r="L41" s="20">
        <v>-0.05</v>
      </c>
      <c r="M41">
        <v>114.03</v>
      </c>
      <c r="N41">
        <v>40.35</v>
      </c>
      <c r="O41">
        <v>73.680000000000007</v>
      </c>
      <c r="P41" s="21">
        <v>16340.911899999999</v>
      </c>
    </row>
    <row r="42" spans="7:16" x14ac:dyDescent="0.15">
      <c r="G42" s="11">
        <v>41</v>
      </c>
      <c r="H42" t="s">
        <v>762</v>
      </c>
      <c r="I42" t="s">
        <v>1731</v>
      </c>
      <c r="J42" t="s">
        <v>15</v>
      </c>
      <c r="K42">
        <v>10.07</v>
      </c>
      <c r="L42" s="20">
        <v>0.37</v>
      </c>
      <c r="M42">
        <v>114.03</v>
      </c>
      <c r="N42">
        <v>83.33</v>
      </c>
      <c r="O42">
        <v>30.7</v>
      </c>
      <c r="P42" s="21">
        <v>103439.9651</v>
      </c>
    </row>
    <row r="43" spans="7:16" x14ac:dyDescent="0.15">
      <c r="G43" s="11">
        <v>42</v>
      </c>
      <c r="H43" t="s">
        <v>381</v>
      </c>
      <c r="I43" t="s">
        <v>1727</v>
      </c>
      <c r="J43" t="s">
        <v>1702</v>
      </c>
      <c r="K43">
        <v>0.7</v>
      </c>
      <c r="L43" s="20">
        <v>-0.03</v>
      </c>
      <c r="M43">
        <v>114.03</v>
      </c>
      <c r="N43">
        <v>46.49</v>
      </c>
      <c r="O43">
        <v>67.540000000000006</v>
      </c>
      <c r="P43" s="21">
        <v>8719.902</v>
      </c>
    </row>
    <row r="44" spans="7:16" x14ac:dyDescent="0.15">
      <c r="G44" s="11">
        <v>43</v>
      </c>
      <c r="H44" t="s">
        <v>410</v>
      </c>
      <c r="I44" t="s">
        <v>1728</v>
      </c>
      <c r="J44" t="s">
        <v>1729</v>
      </c>
      <c r="K44">
        <v>0.53</v>
      </c>
      <c r="L44" s="20">
        <v>-0.05</v>
      </c>
      <c r="M44">
        <v>112.28</v>
      </c>
      <c r="N44">
        <v>39.47</v>
      </c>
      <c r="O44">
        <v>72.81</v>
      </c>
      <c r="P44" s="21">
        <v>21709.028040000001</v>
      </c>
    </row>
    <row r="45" spans="7:16" x14ac:dyDescent="0.15">
      <c r="G45" s="11">
        <v>44</v>
      </c>
      <c r="H45" t="s">
        <v>763</v>
      </c>
      <c r="I45" t="s">
        <v>1738</v>
      </c>
      <c r="J45" t="s">
        <v>15</v>
      </c>
      <c r="K45">
        <v>10.93</v>
      </c>
      <c r="L45" s="20">
        <v>1.32</v>
      </c>
      <c r="M45">
        <v>111.39999999999999</v>
      </c>
      <c r="N45">
        <v>90.35</v>
      </c>
      <c r="O45">
        <v>21.05</v>
      </c>
      <c r="P45" s="21">
        <v>290165.3126</v>
      </c>
    </row>
    <row r="46" spans="7:16" x14ac:dyDescent="0.15">
      <c r="G46" s="11">
        <v>45</v>
      </c>
      <c r="H46" t="s">
        <v>806</v>
      </c>
      <c r="I46" t="s">
        <v>805</v>
      </c>
      <c r="J46" t="s">
        <v>1703</v>
      </c>
      <c r="K46">
        <v>0.38</v>
      </c>
      <c r="L46" s="20">
        <v>-7.0000000000000007E-2</v>
      </c>
      <c r="M46">
        <v>109.65</v>
      </c>
      <c r="N46">
        <v>35.090000000000003</v>
      </c>
      <c r="O46">
        <v>74.56</v>
      </c>
      <c r="P46" s="21">
        <v>683.61377290000007</v>
      </c>
    </row>
    <row r="47" spans="7:16" x14ac:dyDescent="0.15">
      <c r="G47" s="11">
        <v>46</v>
      </c>
      <c r="H47" t="s">
        <v>1735</v>
      </c>
      <c r="I47" t="s">
        <v>1736</v>
      </c>
      <c r="J47" t="s">
        <v>1707</v>
      </c>
      <c r="K47">
        <v>2.99</v>
      </c>
      <c r="L47" s="20">
        <v>0</v>
      </c>
      <c r="M47">
        <v>109.64</v>
      </c>
      <c r="N47">
        <v>57.89</v>
      </c>
      <c r="O47">
        <v>51.75</v>
      </c>
      <c r="P47" s="21">
        <v>118.47069999999999</v>
      </c>
    </row>
    <row r="48" spans="7:16" x14ac:dyDescent="0.15">
      <c r="G48" s="11">
        <v>47</v>
      </c>
      <c r="H48" t="s">
        <v>329</v>
      </c>
      <c r="I48" t="s">
        <v>1740</v>
      </c>
      <c r="J48" t="s">
        <v>1729</v>
      </c>
      <c r="K48">
        <v>0.5</v>
      </c>
      <c r="L48" s="20">
        <v>-0.03</v>
      </c>
      <c r="M48">
        <v>107.89</v>
      </c>
      <c r="N48">
        <v>36.840000000000003</v>
      </c>
      <c r="O48">
        <v>71.05</v>
      </c>
      <c r="P48" s="21">
        <v>23.884888200000002</v>
      </c>
    </row>
    <row r="49" spans="7:16" x14ac:dyDescent="0.15">
      <c r="G49" s="11">
        <v>48</v>
      </c>
      <c r="H49" t="s">
        <v>758</v>
      </c>
      <c r="I49" t="s">
        <v>1739</v>
      </c>
      <c r="J49" t="s">
        <v>15</v>
      </c>
      <c r="K49">
        <v>7.49</v>
      </c>
      <c r="L49" s="20">
        <v>0.25</v>
      </c>
      <c r="M49">
        <v>106.14</v>
      </c>
      <c r="N49">
        <v>72.81</v>
      </c>
      <c r="O49">
        <v>33.33</v>
      </c>
      <c r="P49" s="21">
        <v>40719.767500000002</v>
      </c>
    </row>
    <row r="50" spans="7:16" x14ac:dyDescent="0.15">
      <c r="G50" s="11">
        <v>49</v>
      </c>
      <c r="H50" t="s">
        <v>319</v>
      </c>
      <c r="I50" t="s">
        <v>19</v>
      </c>
      <c r="J50" t="s">
        <v>1702</v>
      </c>
      <c r="K50">
        <v>0.2</v>
      </c>
      <c r="L50" s="20">
        <v>-0.1</v>
      </c>
      <c r="M50">
        <v>106.13999999999999</v>
      </c>
      <c r="N50">
        <v>28.07</v>
      </c>
      <c r="O50">
        <v>78.069999999999993</v>
      </c>
      <c r="P50" s="21">
        <v>6750.3571780000002</v>
      </c>
    </row>
    <row r="51" spans="7:16" x14ac:dyDescent="0.15">
      <c r="G51" s="11">
        <v>50</v>
      </c>
      <c r="H51" t="s">
        <v>499</v>
      </c>
      <c r="I51" t="s">
        <v>1741</v>
      </c>
      <c r="J51" t="s">
        <v>1702</v>
      </c>
      <c r="K51">
        <v>0.51</v>
      </c>
      <c r="L51" s="20">
        <v>-0.02</v>
      </c>
      <c r="M51">
        <v>105.27000000000001</v>
      </c>
      <c r="N51">
        <v>38.6</v>
      </c>
      <c r="O51">
        <v>66.67</v>
      </c>
      <c r="P51" s="21">
        <v>1341.0678</v>
      </c>
    </row>
    <row r="52" spans="7:16" x14ac:dyDescent="0.15">
      <c r="G52" s="11">
        <v>51</v>
      </c>
      <c r="H52" t="s">
        <v>354</v>
      </c>
      <c r="I52" t="s">
        <v>21</v>
      </c>
      <c r="J52" t="s">
        <v>1703</v>
      </c>
      <c r="K52">
        <v>0.28000000000000003</v>
      </c>
      <c r="L52" s="20">
        <v>-0.08</v>
      </c>
      <c r="M52">
        <v>105.25999999999999</v>
      </c>
      <c r="N52">
        <v>29.82</v>
      </c>
      <c r="O52">
        <v>75.44</v>
      </c>
      <c r="P52" s="21">
        <v>1056.7162900000001</v>
      </c>
    </row>
    <row r="53" spans="7:16" x14ac:dyDescent="0.15">
      <c r="G53" s="11">
        <v>52</v>
      </c>
      <c r="H53" t="s">
        <v>541</v>
      </c>
      <c r="I53" t="s">
        <v>17</v>
      </c>
      <c r="J53" t="s">
        <v>1702</v>
      </c>
      <c r="K53">
        <v>4.2</v>
      </c>
      <c r="L53" s="20">
        <v>7.0000000000000007E-2</v>
      </c>
      <c r="M53">
        <v>104.38999999999999</v>
      </c>
      <c r="N53">
        <v>63.16</v>
      </c>
      <c r="O53">
        <v>41.23</v>
      </c>
      <c r="P53" s="21">
        <v>18783.137900000002</v>
      </c>
    </row>
    <row r="54" spans="7:16" x14ac:dyDescent="0.15">
      <c r="G54" s="11">
        <v>53</v>
      </c>
      <c r="H54" t="s">
        <v>507</v>
      </c>
      <c r="I54" t="s">
        <v>28</v>
      </c>
      <c r="J54" t="s">
        <v>15</v>
      </c>
      <c r="K54">
        <v>11.45</v>
      </c>
      <c r="L54" s="20">
        <v>2.42</v>
      </c>
      <c r="M54">
        <v>103.51</v>
      </c>
      <c r="N54">
        <v>92.11</v>
      </c>
      <c r="O54">
        <v>11.4</v>
      </c>
      <c r="P54" s="21">
        <v>394.36234339999999</v>
      </c>
    </row>
    <row r="55" spans="7:16" x14ac:dyDescent="0.15">
      <c r="G55" s="11">
        <v>54</v>
      </c>
      <c r="H55" t="s">
        <v>285</v>
      </c>
      <c r="I55" t="s">
        <v>26</v>
      </c>
      <c r="J55" t="s">
        <v>15</v>
      </c>
      <c r="K55">
        <v>10.78</v>
      </c>
      <c r="L55" s="20">
        <v>2.08</v>
      </c>
      <c r="M55">
        <v>103.50999999999999</v>
      </c>
      <c r="N55">
        <v>89.47</v>
      </c>
      <c r="O55">
        <v>14.04</v>
      </c>
      <c r="P55" s="21">
        <v>105.8392873</v>
      </c>
    </row>
    <row r="56" spans="7:16" x14ac:dyDescent="0.15">
      <c r="G56" s="11">
        <v>55</v>
      </c>
      <c r="H56" t="s">
        <v>773</v>
      </c>
      <c r="I56" t="s">
        <v>16</v>
      </c>
      <c r="J56" t="s">
        <v>15</v>
      </c>
      <c r="K56">
        <v>15.27</v>
      </c>
      <c r="L56" s="20">
        <v>2.59</v>
      </c>
      <c r="M56">
        <v>102.63</v>
      </c>
      <c r="N56">
        <v>95.61</v>
      </c>
      <c r="O56">
        <v>7.02</v>
      </c>
      <c r="P56" s="21">
        <v>654.96239060000005</v>
      </c>
    </row>
    <row r="57" spans="7:16" x14ac:dyDescent="0.15">
      <c r="G57" s="11">
        <v>56</v>
      </c>
      <c r="H57" t="s">
        <v>414</v>
      </c>
      <c r="I57" t="s">
        <v>22</v>
      </c>
      <c r="J57" t="s">
        <v>1703</v>
      </c>
      <c r="K57">
        <v>0.34</v>
      </c>
      <c r="L57" s="20">
        <v>-0.03</v>
      </c>
      <c r="M57">
        <v>101.76</v>
      </c>
      <c r="N57">
        <v>31.58</v>
      </c>
      <c r="O57">
        <v>70.180000000000007</v>
      </c>
      <c r="P57" s="21">
        <v>555.69550000000004</v>
      </c>
    </row>
    <row r="58" spans="7:16" x14ac:dyDescent="0.15">
      <c r="G58" s="11">
        <v>57</v>
      </c>
      <c r="H58" t="s">
        <v>502</v>
      </c>
      <c r="I58" t="s">
        <v>18</v>
      </c>
      <c r="J58" t="s">
        <v>15</v>
      </c>
      <c r="K58">
        <v>-12.97</v>
      </c>
      <c r="L58" s="20">
        <v>-0.59</v>
      </c>
      <c r="M58">
        <v>101.76</v>
      </c>
      <c r="N58">
        <v>3.51</v>
      </c>
      <c r="O58">
        <v>98.25</v>
      </c>
      <c r="P58" s="21">
        <v>88.538089999999997</v>
      </c>
    </row>
    <row r="59" spans="7:16" x14ac:dyDescent="0.15">
      <c r="G59" s="11">
        <v>58</v>
      </c>
      <c r="H59" t="s">
        <v>775</v>
      </c>
      <c r="I59" t="s">
        <v>1746</v>
      </c>
      <c r="J59" t="s">
        <v>15</v>
      </c>
      <c r="K59">
        <v>14.99</v>
      </c>
      <c r="L59" s="20">
        <v>2.56</v>
      </c>
      <c r="M59">
        <v>101.75</v>
      </c>
      <c r="N59">
        <v>93.86</v>
      </c>
      <c r="O59">
        <v>7.89</v>
      </c>
      <c r="P59" s="21">
        <v>851.01138479999997</v>
      </c>
    </row>
    <row r="60" spans="7:16" x14ac:dyDescent="0.15">
      <c r="G60" s="11">
        <v>59</v>
      </c>
      <c r="H60" t="s">
        <v>622</v>
      </c>
      <c r="I60" t="s">
        <v>1742</v>
      </c>
      <c r="J60" t="s">
        <v>15</v>
      </c>
      <c r="K60">
        <v>3.61</v>
      </c>
      <c r="L60" s="20">
        <v>0.09</v>
      </c>
      <c r="M60">
        <v>101.75</v>
      </c>
      <c r="N60">
        <v>61.4</v>
      </c>
      <c r="O60">
        <v>40.35</v>
      </c>
      <c r="P60" s="21">
        <v>53.481299999999997</v>
      </c>
    </row>
    <row r="61" spans="7:16" x14ac:dyDescent="0.15">
      <c r="G61" s="11">
        <v>60</v>
      </c>
      <c r="H61" t="s">
        <v>406</v>
      </c>
      <c r="I61" t="s">
        <v>30</v>
      </c>
      <c r="J61" t="s">
        <v>1703</v>
      </c>
      <c r="K61">
        <v>4.87</v>
      </c>
      <c r="L61" s="20">
        <v>0.18</v>
      </c>
      <c r="M61">
        <v>101.75</v>
      </c>
      <c r="N61">
        <v>64.91</v>
      </c>
      <c r="O61">
        <v>36.840000000000003</v>
      </c>
      <c r="P61" s="21">
        <v>5236.1716299999998</v>
      </c>
    </row>
    <row r="62" spans="7:16" x14ac:dyDescent="0.15">
      <c r="G62" s="11">
        <v>61</v>
      </c>
      <c r="H62" t="s">
        <v>726</v>
      </c>
      <c r="I62" t="s">
        <v>1743</v>
      </c>
      <c r="J62" t="s">
        <v>15</v>
      </c>
      <c r="K62">
        <v>7</v>
      </c>
      <c r="L62" s="20">
        <v>0.56000000000000005</v>
      </c>
      <c r="M62">
        <v>100.88000000000001</v>
      </c>
      <c r="N62">
        <v>71.930000000000007</v>
      </c>
      <c r="O62">
        <v>28.95</v>
      </c>
      <c r="P62" s="21">
        <v>9064.7235000000001</v>
      </c>
    </row>
    <row r="63" spans="7:16" x14ac:dyDescent="0.15">
      <c r="G63" s="11">
        <v>62</v>
      </c>
      <c r="H63" t="s">
        <v>367</v>
      </c>
      <c r="I63" t="s">
        <v>23</v>
      </c>
      <c r="J63" t="s">
        <v>1703</v>
      </c>
      <c r="K63">
        <v>0.36</v>
      </c>
      <c r="L63" s="20">
        <v>-0.03</v>
      </c>
      <c r="M63">
        <v>100.88</v>
      </c>
      <c r="N63">
        <v>32.46</v>
      </c>
      <c r="O63">
        <v>68.42</v>
      </c>
      <c r="P63" s="21">
        <v>446.5693</v>
      </c>
    </row>
    <row r="64" spans="7:16" x14ac:dyDescent="0.15">
      <c r="G64" s="11">
        <v>63</v>
      </c>
      <c r="H64" t="s">
        <v>302</v>
      </c>
      <c r="I64" t="s">
        <v>29</v>
      </c>
      <c r="J64" t="s">
        <v>1703</v>
      </c>
      <c r="K64">
        <v>-4.54</v>
      </c>
      <c r="L64" s="20">
        <v>-0.31</v>
      </c>
      <c r="M64">
        <v>100.86999999999999</v>
      </c>
      <c r="N64">
        <v>14.91</v>
      </c>
      <c r="O64">
        <v>85.96</v>
      </c>
      <c r="P64" s="21">
        <v>7703.2407900000007</v>
      </c>
    </row>
    <row r="65" spans="7:16" x14ac:dyDescent="0.15">
      <c r="G65" s="11">
        <v>64</v>
      </c>
      <c r="H65" t="s">
        <v>778</v>
      </c>
      <c r="I65" t="s">
        <v>1748</v>
      </c>
      <c r="J65" t="s">
        <v>15</v>
      </c>
      <c r="K65">
        <v>15.06</v>
      </c>
      <c r="L65" s="20">
        <v>2.76</v>
      </c>
      <c r="M65">
        <v>100</v>
      </c>
      <c r="N65">
        <v>94.74</v>
      </c>
      <c r="O65">
        <v>5.26</v>
      </c>
      <c r="P65" s="21">
        <v>756.04449999999997</v>
      </c>
    </row>
    <row r="66" spans="7:16" x14ac:dyDescent="0.15">
      <c r="G66" s="11">
        <v>65</v>
      </c>
      <c r="H66" t="s">
        <v>750</v>
      </c>
      <c r="I66" t="s">
        <v>1744</v>
      </c>
      <c r="J66" t="s">
        <v>15</v>
      </c>
      <c r="K66">
        <v>6.98</v>
      </c>
      <c r="L66" s="20">
        <v>0.57999999999999996</v>
      </c>
      <c r="M66">
        <v>99.12</v>
      </c>
      <c r="N66">
        <v>71.05</v>
      </c>
      <c r="O66">
        <v>28.07</v>
      </c>
      <c r="P66" s="21">
        <v>7593.5699000000004</v>
      </c>
    </row>
    <row r="67" spans="7:16" x14ac:dyDescent="0.15">
      <c r="G67" s="11">
        <v>66</v>
      </c>
      <c r="H67" t="s">
        <v>724</v>
      </c>
      <c r="I67" t="s">
        <v>1747</v>
      </c>
      <c r="J67" t="s">
        <v>15</v>
      </c>
      <c r="K67">
        <v>5.81</v>
      </c>
      <c r="L67" s="20">
        <v>0.62</v>
      </c>
      <c r="M67">
        <v>95.61</v>
      </c>
      <c r="N67">
        <v>68.42</v>
      </c>
      <c r="O67">
        <v>27.19</v>
      </c>
      <c r="P67" s="21">
        <v>20.8931</v>
      </c>
    </row>
    <row r="68" spans="7:16" x14ac:dyDescent="0.15">
      <c r="G68" s="11">
        <v>67</v>
      </c>
      <c r="H68" t="s">
        <v>362</v>
      </c>
      <c r="I68" t="s">
        <v>1745</v>
      </c>
      <c r="J68" t="s">
        <v>1703</v>
      </c>
      <c r="K68">
        <v>0.36</v>
      </c>
      <c r="L68" s="20">
        <v>0</v>
      </c>
      <c r="M68">
        <v>93.86</v>
      </c>
      <c r="N68">
        <v>33.33</v>
      </c>
      <c r="O68">
        <v>60.53</v>
      </c>
      <c r="P68" s="21">
        <v>1899.5229999999999</v>
      </c>
    </row>
    <row r="69" spans="7:16" x14ac:dyDescent="0.15">
      <c r="G69" s="11">
        <v>68</v>
      </c>
      <c r="H69" t="s">
        <v>286</v>
      </c>
      <c r="I69" t="s">
        <v>20</v>
      </c>
      <c r="J69" t="s">
        <v>15</v>
      </c>
      <c r="K69">
        <v>7.64</v>
      </c>
      <c r="L69" s="20">
        <v>1.52</v>
      </c>
      <c r="M69">
        <v>92.98</v>
      </c>
      <c r="N69">
        <v>73.680000000000007</v>
      </c>
      <c r="O69">
        <v>19.3</v>
      </c>
      <c r="P69" s="21">
        <v>143.1398672</v>
      </c>
    </row>
    <row r="70" spans="7:16" x14ac:dyDescent="0.15">
      <c r="G70" s="11">
        <v>69</v>
      </c>
      <c r="H70" t="s">
        <v>767</v>
      </c>
      <c r="I70" t="s">
        <v>1754</v>
      </c>
      <c r="J70" t="s">
        <v>15</v>
      </c>
      <c r="K70">
        <v>8.35</v>
      </c>
      <c r="L70" s="20">
        <v>1.88</v>
      </c>
      <c r="M70">
        <v>92.97999999999999</v>
      </c>
      <c r="N70">
        <v>77.19</v>
      </c>
      <c r="O70">
        <v>15.79</v>
      </c>
      <c r="P70" s="21">
        <v>9736.8758999999991</v>
      </c>
    </row>
    <row r="71" spans="7:16" x14ac:dyDescent="0.15">
      <c r="G71" s="11">
        <v>70</v>
      </c>
      <c r="H71" t="s">
        <v>754</v>
      </c>
      <c r="I71" t="s">
        <v>1755</v>
      </c>
      <c r="J71" t="s">
        <v>15</v>
      </c>
      <c r="K71">
        <v>9.85</v>
      </c>
      <c r="L71" s="20">
        <v>2.42</v>
      </c>
      <c r="M71">
        <v>92.11</v>
      </c>
      <c r="N71">
        <v>81.58</v>
      </c>
      <c r="O71">
        <v>10.53</v>
      </c>
      <c r="P71" s="21">
        <v>46.989919300000004</v>
      </c>
    </row>
    <row r="72" spans="7:16" x14ac:dyDescent="0.15">
      <c r="G72" s="11">
        <v>71</v>
      </c>
      <c r="H72" t="s">
        <v>412</v>
      </c>
      <c r="I72" t="s">
        <v>1749</v>
      </c>
      <c r="J72" t="s">
        <v>1729</v>
      </c>
      <c r="K72">
        <v>0.51</v>
      </c>
      <c r="L72" s="20">
        <v>0</v>
      </c>
      <c r="M72">
        <v>92.11</v>
      </c>
      <c r="N72">
        <v>37.72</v>
      </c>
      <c r="O72">
        <v>54.39</v>
      </c>
      <c r="P72" s="21">
        <v>1558.5171</v>
      </c>
    </row>
    <row r="73" spans="7:16" x14ac:dyDescent="0.15">
      <c r="G73" s="11">
        <v>72</v>
      </c>
      <c r="H73" t="s">
        <v>1750</v>
      </c>
      <c r="I73" t="s">
        <v>1751</v>
      </c>
      <c r="J73" t="s">
        <v>1702</v>
      </c>
      <c r="K73">
        <v>0.8</v>
      </c>
      <c r="L73" s="20">
        <v>0.06</v>
      </c>
      <c r="M73">
        <v>92.1</v>
      </c>
      <c r="N73">
        <v>49.12</v>
      </c>
      <c r="O73">
        <v>42.98</v>
      </c>
      <c r="P73" s="21">
        <v>274.21236570000002</v>
      </c>
    </row>
    <row r="74" spans="7:16" x14ac:dyDescent="0.15">
      <c r="G74" s="11">
        <v>73</v>
      </c>
      <c r="H74" t="s">
        <v>1752</v>
      </c>
      <c r="I74" t="s">
        <v>1753</v>
      </c>
      <c r="J74" t="s">
        <v>1702</v>
      </c>
      <c r="K74">
        <v>0.86</v>
      </c>
      <c r="L74" s="20">
        <v>0.13</v>
      </c>
      <c r="M74">
        <v>90.35</v>
      </c>
      <c r="N74">
        <v>51.75</v>
      </c>
      <c r="O74">
        <v>38.6</v>
      </c>
      <c r="P74" s="21">
        <v>463.0879908</v>
      </c>
    </row>
    <row r="75" spans="7:16" x14ac:dyDescent="0.15">
      <c r="G75" s="11">
        <v>74</v>
      </c>
      <c r="H75" t="s">
        <v>1756</v>
      </c>
      <c r="I75" t="s">
        <v>1757</v>
      </c>
      <c r="J75" t="s">
        <v>1702</v>
      </c>
      <c r="K75">
        <v>0.74</v>
      </c>
      <c r="L75" s="20">
        <v>7.0000000000000007E-2</v>
      </c>
      <c r="M75">
        <v>89.47999999999999</v>
      </c>
      <c r="N75">
        <v>47.37</v>
      </c>
      <c r="O75">
        <v>42.11</v>
      </c>
      <c r="P75" s="21">
        <v>20.252140000000001</v>
      </c>
    </row>
    <row r="76" spans="7:16" x14ac:dyDescent="0.15">
      <c r="G76" s="11">
        <v>75</v>
      </c>
      <c r="H76" t="s">
        <v>764</v>
      </c>
      <c r="I76" t="s">
        <v>1761</v>
      </c>
      <c r="J76" t="s">
        <v>15</v>
      </c>
      <c r="K76">
        <v>10.56</v>
      </c>
      <c r="L76" s="20">
        <v>6.56</v>
      </c>
      <c r="M76">
        <v>89.47999999999999</v>
      </c>
      <c r="N76">
        <v>88.6</v>
      </c>
      <c r="O76">
        <v>0.88</v>
      </c>
      <c r="P76" s="21">
        <v>197289.70079999999</v>
      </c>
    </row>
    <row r="77" spans="7:16" x14ac:dyDescent="0.15">
      <c r="G77" s="11">
        <v>76</v>
      </c>
      <c r="H77" t="s">
        <v>1762</v>
      </c>
      <c r="I77" t="s">
        <v>1763</v>
      </c>
      <c r="J77" t="s">
        <v>1707</v>
      </c>
      <c r="K77">
        <v>-2.21</v>
      </c>
      <c r="L77" s="20">
        <v>-0.01</v>
      </c>
      <c r="M77">
        <v>89.47</v>
      </c>
      <c r="N77">
        <v>23.68</v>
      </c>
      <c r="O77">
        <v>65.790000000000006</v>
      </c>
      <c r="P77" s="21">
        <v>91.322100000000006</v>
      </c>
    </row>
    <row r="78" spans="7:16" x14ac:dyDescent="0.15">
      <c r="G78" s="11">
        <v>77</v>
      </c>
      <c r="H78" t="s">
        <v>472</v>
      </c>
      <c r="I78" t="s">
        <v>1760</v>
      </c>
      <c r="J78" t="s">
        <v>1702</v>
      </c>
      <c r="K78">
        <v>0.57999999999999996</v>
      </c>
      <c r="L78" s="20">
        <v>0.05</v>
      </c>
      <c r="M78">
        <v>88.6</v>
      </c>
      <c r="N78">
        <v>44.74</v>
      </c>
      <c r="O78">
        <v>43.86</v>
      </c>
      <c r="P78" s="21">
        <v>209.21559999999999</v>
      </c>
    </row>
    <row r="79" spans="7:16" x14ac:dyDescent="0.15">
      <c r="G79" s="11">
        <v>78</v>
      </c>
      <c r="H79" t="s">
        <v>1758</v>
      </c>
      <c r="I79" t="s">
        <v>1759</v>
      </c>
      <c r="J79" t="s">
        <v>1702</v>
      </c>
      <c r="K79">
        <v>0.78</v>
      </c>
      <c r="L79" s="20">
        <v>0.11</v>
      </c>
      <c r="M79">
        <v>87.72</v>
      </c>
      <c r="N79">
        <v>48.25</v>
      </c>
      <c r="O79">
        <v>39.47</v>
      </c>
      <c r="P79" s="21">
        <v>27.64077</v>
      </c>
    </row>
    <row r="80" spans="7:16" x14ac:dyDescent="0.15">
      <c r="G80" s="11">
        <v>79</v>
      </c>
      <c r="H80" t="s">
        <v>1764</v>
      </c>
      <c r="I80" t="s">
        <v>1765</v>
      </c>
      <c r="J80" t="s">
        <v>1707</v>
      </c>
      <c r="K80">
        <v>-0.33</v>
      </c>
      <c r="L80" s="20">
        <v>0</v>
      </c>
      <c r="M80">
        <v>86.84</v>
      </c>
      <c r="N80">
        <v>24.56</v>
      </c>
      <c r="O80">
        <v>62.28</v>
      </c>
      <c r="P80" s="21">
        <v>4812.1844000000001</v>
      </c>
    </row>
    <row r="81" spans="7:16" x14ac:dyDescent="0.15">
      <c r="G81" s="11">
        <v>80</v>
      </c>
      <c r="H81" t="s">
        <v>757</v>
      </c>
      <c r="I81" t="s">
        <v>25</v>
      </c>
      <c r="J81" t="s">
        <v>15</v>
      </c>
      <c r="K81">
        <v>7.67</v>
      </c>
      <c r="L81" s="20">
        <v>2.44</v>
      </c>
      <c r="M81">
        <v>84.210000000000008</v>
      </c>
      <c r="N81">
        <v>74.56</v>
      </c>
      <c r="O81">
        <v>9.65</v>
      </c>
      <c r="P81" s="21">
        <v>103.10185</v>
      </c>
    </row>
    <row r="82" spans="7:16" x14ac:dyDescent="0.15">
      <c r="G82" s="11">
        <v>81</v>
      </c>
      <c r="H82" t="s">
        <v>453</v>
      </c>
      <c r="I82" t="s">
        <v>1778</v>
      </c>
      <c r="J82" t="s">
        <v>1707</v>
      </c>
      <c r="K82">
        <v>-2.89</v>
      </c>
      <c r="L82" s="20">
        <v>0</v>
      </c>
      <c r="M82">
        <v>84.21</v>
      </c>
      <c r="N82">
        <v>21.05</v>
      </c>
      <c r="O82">
        <v>63.16</v>
      </c>
      <c r="P82" s="21">
        <v>3837.8177000000001</v>
      </c>
    </row>
    <row r="83" spans="7:16" x14ac:dyDescent="0.15">
      <c r="G83" s="11">
        <v>82</v>
      </c>
      <c r="H83" t="s">
        <v>1767</v>
      </c>
      <c r="I83" t="s">
        <v>1768</v>
      </c>
      <c r="J83" t="s">
        <v>1702</v>
      </c>
      <c r="K83">
        <v>0.64</v>
      </c>
      <c r="L83" s="20">
        <v>0.14000000000000001</v>
      </c>
      <c r="M83">
        <v>83.33</v>
      </c>
      <c r="N83">
        <v>45.61</v>
      </c>
      <c r="O83">
        <v>37.72</v>
      </c>
      <c r="P83" s="21">
        <v>2201.8598274000001</v>
      </c>
    </row>
    <row r="84" spans="7:16" x14ac:dyDescent="0.15">
      <c r="G84" s="11">
        <v>83</v>
      </c>
      <c r="H84" t="s">
        <v>400</v>
      </c>
      <c r="I84" t="s">
        <v>1766</v>
      </c>
      <c r="J84" t="s">
        <v>1729</v>
      </c>
      <c r="K84">
        <v>0.49</v>
      </c>
      <c r="L84" s="20">
        <v>0.03</v>
      </c>
      <c r="M84">
        <v>81.569999999999993</v>
      </c>
      <c r="N84">
        <v>35.96</v>
      </c>
      <c r="O84">
        <v>45.61</v>
      </c>
      <c r="P84" s="21">
        <v>168.83670000000001</v>
      </c>
    </row>
    <row r="85" spans="7:16" x14ac:dyDescent="0.15">
      <c r="G85" s="11">
        <v>84</v>
      </c>
      <c r="H85" t="s">
        <v>719</v>
      </c>
      <c r="I85" t="s">
        <v>31</v>
      </c>
      <c r="J85" t="s">
        <v>15</v>
      </c>
      <c r="K85">
        <v>8.49</v>
      </c>
      <c r="L85" s="20">
        <v>5.8</v>
      </c>
      <c r="M85">
        <v>79.819999999999993</v>
      </c>
      <c r="N85">
        <v>78.069999999999993</v>
      </c>
      <c r="O85">
        <v>1.75</v>
      </c>
      <c r="P85" s="21">
        <v>8808.0426626000008</v>
      </c>
    </row>
    <row r="86" spans="7:16" x14ac:dyDescent="0.15">
      <c r="G86" s="11">
        <v>85</v>
      </c>
      <c r="H86" t="s">
        <v>770</v>
      </c>
      <c r="I86" t="s">
        <v>1772</v>
      </c>
      <c r="J86" t="s">
        <v>15</v>
      </c>
      <c r="K86">
        <v>2.29</v>
      </c>
      <c r="L86" s="20">
        <v>1.1000000000000001</v>
      </c>
      <c r="M86">
        <v>78.95</v>
      </c>
      <c r="N86">
        <v>56.14</v>
      </c>
      <c r="O86">
        <v>22.81</v>
      </c>
      <c r="P86" s="21">
        <v>263.68979999999999</v>
      </c>
    </row>
    <row r="87" spans="7:16" x14ac:dyDescent="0.15">
      <c r="G87" s="11">
        <v>86</v>
      </c>
      <c r="H87" t="s">
        <v>433</v>
      </c>
      <c r="I87" t="s">
        <v>1773</v>
      </c>
      <c r="J87" t="s">
        <v>1707</v>
      </c>
      <c r="K87">
        <v>-5.43</v>
      </c>
      <c r="L87" s="20">
        <v>-0.01</v>
      </c>
      <c r="M87">
        <v>78.069999999999993</v>
      </c>
      <c r="N87">
        <v>13.16</v>
      </c>
      <c r="O87">
        <v>64.91</v>
      </c>
      <c r="P87" s="21">
        <v>208158.99710000001</v>
      </c>
    </row>
    <row r="88" spans="7:16" x14ac:dyDescent="0.15">
      <c r="G88" s="11">
        <v>87</v>
      </c>
      <c r="H88" t="s">
        <v>427</v>
      </c>
      <c r="I88" t="s">
        <v>1771</v>
      </c>
      <c r="J88" t="s">
        <v>1702</v>
      </c>
      <c r="K88">
        <v>0.26</v>
      </c>
      <c r="L88" s="20">
        <v>0.01</v>
      </c>
      <c r="M88">
        <v>77.2</v>
      </c>
      <c r="N88">
        <v>28.95</v>
      </c>
      <c r="O88">
        <v>48.25</v>
      </c>
      <c r="P88" s="21">
        <v>416503.06199999998</v>
      </c>
    </row>
    <row r="89" spans="7:16" x14ac:dyDescent="0.15">
      <c r="G89" s="11">
        <v>88</v>
      </c>
      <c r="H89" t="s">
        <v>1769</v>
      </c>
      <c r="I89" t="s">
        <v>1770</v>
      </c>
      <c r="J89" t="s">
        <v>1707</v>
      </c>
      <c r="K89">
        <v>-3.97</v>
      </c>
      <c r="L89" s="20">
        <v>0</v>
      </c>
      <c r="M89">
        <v>77.19</v>
      </c>
      <c r="N89">
        <v>18.420000000000002</v>
      </c>
      <c r="O89">
        <v>58.77</v>
      </c>
      <c r="P89" s="21">
        <v>228.00569999999999</v>
      </c>
    </row>
    <row r="90" spans="7:16" x14ac:dyDescent="0.15">
      <c r="G90" s="11">
        <v>89</v>
      </c>
      <c r="H90" t="s">
        <v>759</v>
      </c>
      <c r="I90" t="s">
        <v>1774</v>
      </c>
      <c r="J90" t="s">
        <v>15</v>
      </c>
      <c r="K90">
        <v>3.21</v>
      </c>
      <c r="L90" s="20">
        <v>1.65</v>
      </c>
      <c r="M90">
        <v>77.19</v>
      </c>
      <c r="N90">
        <v>58.77</v>
      </c>
      <c r="O90">
        <v>18.420000000000002</v>
      </c>
      <c r="P90" s="21">
        <v>730.74950000000001</v>
      </c>
    </row>
    <row r="91" spans="7:16" x14ac:dyDescent="0.15">
      <c r="G91" s="11">
        <v>90</v>
      </c>
      <c r="H91" t="s">
        <v>1776</v>
      </c>
      <c r="I91" t="s">
        <v>1777</v>
      </c>
      <c r="J91" t="s">
        <v>15</v>
      </c>
      <c r="K91">
        <v>5.45</v>
      </c>
      <c r="L91" s="20">
        <v>2.5</v>
      </c>
      <c r="M91">
        <v>76.31</v>
      </c>
      <c r="N91">
        <v>67.540000000000006</v>
      </c>
      <c r="O91">
        <v>8.77</v>
      </c>
      <c r="P91" s="21">
        <v>46.522128500000001</v>
      </c>
    </row>
    <row r="92" spans="7:16" x14ac:dyDescent="0.15">
      <c r="G92" s="11">
        <v>91</v>
      </c>
      <c r="H92" t="s">
        <v>423</v>
      </c>
      <c r="I92" t="s">
        <v>1775</v>
      </c>
      <c r="J92" t="s">
        <v>1707</v>
      </c>
      <c r="K92">
        <v>0.13</v>
      </c>
      <c r="L92" s="20">
        <v>0.01</v>
      </c>
      <c r="M92">
        <v>74.56</v>
      </c>
      <c r="N92">
        <v>27.19</v>
      </c>
      <c r="O92">
        <v>47.37</v>
      </c>
      <c r="P92" s="21">
        <v>1290543.9336999999</v>
      </c>
    </row>
    <row r="93" spans="7:16" x14ac:dyDescent="0.15">
      <c r="G93" s="11">
        <v>92</v>
      </c>
      <c r="H93" t="s">
        <v>447</v>
      </c>
      <c r="I93" t="s">
        <v>1779</v>
      </c>
      <c r="J93" t="s">
        <v>1707</v>
      </c>
      <c r="K93">
        <v>0.05</v>
      </c>
      <c r="L93" s="20">
        <v>0.02</v>
      </c>
      <c r="M93">
        <v>71.930000000000007</v>
      </c>
      <c r="N93">
        <v>25.44</v>
      </c>
      <c r="O93">
        <v>46.49</v>
      </c>
      <c r="P93" s="21">
        <v>786.5018</v>
      </c>
    </row>
    <row r="94" spans="7:16" x14ac:dyDescent="0.15">
      <c r="G94" s="11">
        <v>93</v>
      </c>
      <c r="H94" t="s">
        <v>769</v>
      </c>
      <c r="I94" t="s">
        <v>1780</v>
      </c>
      <c r="J94" t="s">
        <v>15</v>
      </c>
      <c r="K94">
        <v>5.05</v>
      </c>
      <c r="L94" s="20">
        <v>3.03</v>
      </c>
      <c r="M94">
        <v>70.180000000000007</v>
      </c>
      <c r="N94">
        <v>65.790000000000006</v>
      </c>
      <c r="O94">
        <v>4.3899999999999997</v>
      </c>
      <c r="P94" s="21">
        <v>928.60115999999994</v>
      </c>
    </row>
    <row r="95" spans="7:16" x14ac:dyDescent="0.15">
      <c r="G95" s="11">
        <v>94</v>
      </c>
      <c r="H95" t="s">
        <v>437</v>
      </c>
      <c r="I95" t="s">
        <v>1784</v>
      </c>
      <c r="J95" t="s">
        <v>1707</v>
      </c>
      <c r="K95">
        <v>-12.73</v>
      </c>
      <c r="L95" s="20">
        <v>0</v>
      </c>
      <c r="M95">
        <v>69.300000000000011</v>
      </c>
      <c r="N95">
        <v>5.26</v>
      </c>
      <c r="O95">
        <v>64.040000000000006</v>
      </c>
      <c r="P95" s="21">
        <v>58349.193973499998</v>
      </c>
    </row>
    <row r="96" spans="7:16" x14ac:dyDescent="0.15">
      <c r="G96" s="11">
        <v>95</v>
      </c>
      <c r="H96" t="s">
        <v>443</v>
      </c>
      <c r="I96" t="s">
        <v>1783</v>
      </c>
      <c r="J96" t="s">
        <v>1707</v>
      </c>
      <c r="K96">
        <v>-4.37</v>
      </c>
      <c r="L96" s="20">
        <v>0.01</v>
      </c>
      <c r="M96">
        <v>66.67</v>
      </c>
      <c r="N96">
        <v>16.670000000000002</v>
      </c>
      <c r="O96">
        <v>50</v>
      </c>
      <c r="P96" s="21">
        <v>1982469.6558999999</v>
      </c>
    </row>
    <row r="97" spans="7:16" x14ac:dyDescent="0.15">
      <c r="G97" s="11">
        <v>96</v>
      </c>
      <c r="H97" t="s">
        <v>438</v>
      </c>
      <c r="I97" t="s">
        <v>1782</v>
      </c>
      <c r="J97" t="s">
        <v>1707</v>
      </c>
      <c r="K97">
        <v>-8.25</v>
      </c>
      <c r="L97" s="20">
        <v>0</v>
      </c>
      <c r="M97">
        <v>65.78</v>
      </c>
      <c r="N97">
        <v>7.89</v>
      </c>
      <c r="O97">
        <v>57.89</v>
      </c>
      <c r="P97" s="21">
        <v>229298.9449</v>
      </c>
    </row>
    <row r="98" spans="7:16" x14ac:dyDescent="0.15">
      <c r="G98" s="11">
        <v>97</v>
      </c>
      <c r="H98" t="s">
        <v>1789</v>
      </c>
      <c r="I98" t="s">
        <v>1790</v>
      </c>
      <c r="J98" t="s">
        <v>1707</v>
      </c>
      <c r="K98">
        <v>-22.21</v>
      </c>
      <c r="L98" s="20">
        <v>0</v>
      </c>
      <c r="M98">
        <v>63.15</v>
      </c>
      <c r="N98">
        <v>1.75</v>
      </c>
      <c r="O98">
        <v>61.4</v>
      </c>
      <c r="P98" s="21">
        <v>4127.5564999999997</v>
      </c>
    </row>
    <row r="99" spans="7:16" x14ac:dyDescent="0.15">
      <c r="G99" s="11">
        <v>98</v>
      </c>
      <c r="H99" t="s">
        <v>426</v>
      </c>
      <c r="I99" t="s">
        <v>1781</v>
      </c>
      <c r="J99" t="s">
        <v>1707</v>
      </c>
      <c r="K99">
        <v>-10.49</v>
      </c>
      <c r="L99" s="20">
        <v>0</v>
      </c>
      <c r="M99">
        <v>61.4</v>
      </c>
      <c r="N99">
        <v>6.14</v>
      </c>
      <c r="O99">
        <v>55.26</v>
      </c>
      <c r="P99" s="21">
        <v>1651.9278746999998</v>
      </c>
    </row>
    <row r="100" spans="7:16" x14ac:dyDescent="0.15">
      <c r="G100" s="11">
        <v>99</v>
      </c>
      <c r="H100" t="s">
        <v>1785</v>
      </c>
      <c r="I100" t="s">
        <v>1786</v>
      </c>
      <c r="J100" t="s">
        <v>1707</v>
      </c>
      <c r="K100">
        <v>-16.850000000000001</v>
      </c>
      <c r="L100" s="20">
        <v>0</v>
      </c>
      <c r="M100">
        <v>59.650000000000006</v>
      </c>
      <c r="N100">
        <v>2.63</v>
      </c>
      <c r="O100">
        <v>57.02</v>
      </c>
      <c r="P100" s="21">
        <v>42.046399999999998</v>
      </c>
    </row>
    <row r="101" spans="7:16" x14ac:dyDescent="0.15">
      <c r="G101" s="11">
        <v>100</v>
      </c>
      <c r="H101" t="s">
        <v>1787</v>
      </c>
      <c r="I101" t="s">
        <v>1788</v>
      </c>
      <c r="J101" t="s">
        <v>1707</v>
      </c>
      <c r="K101">
        <v>-5.42</v>
      </c>
      <c r="L101" s="20">
        <v>0.03</v>
      </c>
      <c r="M101">
        <v>58.78</v>
      </c>
      <c r="N101">
        <v>14.04</v>
      </c>
      <c r="O101">
        <v>44.74</v>
      </c>
      <c r="P101" s="21">
        <v>48.020299999999999</v>
      </c>
    </row>
    <row r="102" spans="7:16" x14ac:dyDescent="0.15">
      <c r="G102" s="11">
        <v>101</v>
      </c>
      <c r="H102" t="s">
        <v>1791</v>
      </c>
      <c r="I102" t="s">
        <v>1792</v>
      </c>
      <c r="J102" t="s">
        <v>1707</v>
      </c>
      <c r="K102">
        <v>-32.58</v>
      </c>
      <c r="L102" s="20">
        <v>0</v>
      </c>
      <c r="M102">
        <v>57.02</v>
      </c>
      <c r="N102">
        <v>0.88</v>
      </c>
      <c r="O102">
        <v>56.14</v>
      </c>
      <c r="P102" s="21">
        <v>160.01249999999999</v>
      </c>
    </row>
    <row r="103" spans="7:16" x14ac:dyDescent="0.15">
      <c r="G103" s="11">
        <v>102</v>
      </c>
      <c r="H103" t="s">
        <v>669</v>
      </c>
      <c r="I103" t="s">
        <v>1794</v>
      </c>
      <c r="J103" t="s">
        <v>15</v>
      </c>
      <c r="K103">
        <v>-2.81</v>
      </c>
      <c r="L103" s="20">
        <v>0.86</v>
      </c>
      <c r="M103">
        <v>47.370000000000005</v>
      </c>
      <c r="N103">
        <v>21.93</v>
      </c>
      <c r="O103">
        <v>25.44</v>
      </c>
      <c r="P103" s="21">
        <v>26096.743699999999</v>
      </c>
    </row>
    <row r="104" spans="7:16" x14ac:dyDescent="0.15">
      <c r="G104" s="11">
        <v>103</v>
      </c>
      <c r="H104" t="s">
        <v>1795</v>
      </c>
      <c r="I104" t="s">
        <v>1796</v>
      </c>
      <c r="J104" t="s">
        <v>1707</v>
      </c>
      <c r="K104">
        <v>-5.95</v>
      </c>
      <c r="L104" s="20">
        <v>0.3</v>
      </c>
      <c r="M104">
        <v>44.74</v>
      </c>
      <c r="N104">
        <v>12.28</v>
      </c>
      <c r="O104">
        <v>32.46</v>
      </c>
      <c r="P104" s="21">
        <v>39.790700000000001</v>
      </c>
    </row>
    <row r="105" spans="7:16" x14ac:dyDescent="0.15">
      <c r="G105" s="11">
        <v>104</v>
      </c>
      <c r="H105" t="s">
        <v>768</v>
      </c>
      <c r="I105" t="s">
        <v>1793</v>
      </c>
      <c r="J105" t="s">
        <v>15</v>
      </c>
      <c r="K105">
        <v>-6.86</v>
      </c>
      <c r="L105" s="20">
        <v>0.19</v>
      </c>
      <c r="M105">
        <v>44.74</v>
      </c>
      <c r="N105">
        <v>10.53</v>
      </c>
      <c r="O105">
        <v>34.21</v>
      </c>
      <c r="P105" s="21">
        <v>18010.705300000001</v>
      </c>
    </row>
    <row r="106" spans="7:16" x14ac:dyDescent="0.15">
      <c r="G106" s="11">
        <v>105</v>
      </c>
      <c r="H106" t="s">
        <v>1797</v>
      </c>
      <c r="I106" t="s">
        <v>1798</v>
      </c>
      <c r="J106" t="s">
        <v>1703</v>
      </c>
      <c r="K106">
        <v>-4.3099999999999996</v>
      </c>
      <c r="L106" s="20">
        <v>1.02</v>
      </c>
      <c r="M106">
        <v>41.22</v>
      </c>
      <c r="N106">
        <v>17.54</v>
      </c>
      <c r="O106">
        <v>23.68</v>
      </c>
      <c r="P106" s="21">
        <v>3969.4927880000005</v>
      </c>
    </row>
    <row r="107" spans="7:16" x14ac:dyDescent="0.15">
      <c r="G107" s="11">
        <v>106</v>
      </c>
      <c r="H107" t="s">
        <v>1799</v>
      </c>
      <c r="I107" t="s">
        <v>1800</v>
      </c>
      <c r="J107" t="s">
        <v>15</v>
      </c>
      <c r="K107">
        <v>-2.5299999999999998</v>
      </c>
      <c r="L107" s="20">
        <v>2.17</v>
      </c>
      <c r="M107">
        <v>35.089999999999996</v>
      </c>
      <c r="N107">
        <v>22.81</v>
      </c>
      <c r="O107">
        <v>12.28</v>
      </c>
      <c r="P107" s="21">
        <v>115.2781178</v>
      </c>
    </row>
    <row r="108" spans="7:16" x14ac:dyDescent="0.15">
      <c r="G108" s="11">
        <v>107</v>
      </c>
      <c r="H108" t="s">
        <v>1801</v>
      </c>
      <c r="I108" t="s">
        <v>1802</v>
      </c>
      <c r="J108" t="s">
        <v>15</v>
      </c>
      <c r="K108">
        <v>-10.11</v>
      </c>
      <c r="L108" s="20">
        <v>0.69</v>
      </c>
      <c r="M108">
        <v>33.340000000000003</v>
      </c>
      <c r="N108">
        <v>7.02</v>
      </c>
      <c r="O108">
        <v>26.32</v>
      </c>
      <c r="P108" s="21">
        <v>20.062085699999997</v>
      </c>
    </row>
    <row r="109" spans="7:16" x14ac:dyDescent="0.15">
      <c r="G109" s="11">
        <v>108</v>
      </c>
      <c r="H109" t="s">
        <v>630</v>
      </c>
      <c r="I109" t="s">
        <v>1803</v>
      </c>
      <c r="J109" t="s">
        <v>15</v>
      </c>
      <c r="K109">
        <v>-7.12</v>
      </c>
      <c r="L109" s="20">
        <v>0.99</v>
      </c>
      <c r="M109">
        <v>33.33</v>
      </c>
      <c r="N109">
        <v>8.77</v>
      </c>
      <c r="O109">
        <v>24.56</v>
      </c>
      <c r="P109" s="21">
        <v>30352.965318199997</v>
      </c>
    </row>
    <row r="110" spans="7:16" x14ac:dyDescent="0.15">
      <c r="G110" s="11">
        <v>109</v>
      </c>
      <c r="H110" t="s">
        <v>715</v>
      </c>
      <c r="I110" t="s">
        <v>1804</v>
      </c>
      <c r="J110" t="s">
        <v>15</v>
      </c>
      <c r="K110">
        <v>-6.9</v>
      </c>
      <c r="L110" s="20">
        <v>1.44</v>
      </c>
      <c r="M110">
        <v>29.83</v>
      </c>
      <c r="N110">
        <v>9.65</v>
      </c>
      <c r="O110">
        <v>20.18</v>
      </c>
      <c r="P110" s="21">
        <v>44551.589699999997</v>
      </c>
    </row>
    <row r="111" spans="7:16" x14ac:dyDescent="0.15">
      <c r="G111" s="11">
        <v>110</v>
      </c>
      <c r="H111" t="s">
        <v>771</v>
      </c>
      <c r="I111" t="s">
        <v>1805</v>
      </c>
      <c r="J111" t="s">
        <v>15</v>
      </c>
      <c r="K111">
        <v>-4.46</v>
      </c>
      <c r="L111" s="20">
        <v>2.13</v>
      </c>
      <c r="M111">
        <v>28.95</v>
      </c>
      <c r="N111">
        <v>15.79</v>
      </c>
      <c r="O111">
        <v>13.16</v>
      </c>
      <c r="P111" s="21">
        <v>147.1487735</v>
      </c>
    </row>
    <row r="112" spans="7:16" x14ac:dyDescent="0.15">
      <c r="G112" s="11">
        <v>111</v>
      </c>
      <c r="H112" t="s">
        <v>776</v>
      </c>
      <c r="I112" t="s">
        <v>1806</v>
      </c>
      <c r="J112" t="s">
        <v>15</v>
      </c>
      <c r="K112">
        <v>-3.22</v>
      </c>
      <c r="L112" s="20">
        <v>2.62</v>
      </c>
      <c r="M112">
        <v>26.32</v>
      </c>
      <c r="N112">
        <v>20.18</v>
      </c>
      <c r="O112">
        <v>6.14</v>
      </c>
      <c r="P112" s="21">
        <v>79.849201899999997</v>
      </c>
    </row>
    <row r="113" spans="7:16" x14ac:dyDescent="0.15">
      <c r="G113" s="11">
        <v>112</v>
      </c>
      <c r="H113" t="s">
        <v>1807</v>
      </c>
      <c r="I113" t="s">
        <v>1808</v>
      </c>
      <c r="J113" t="s">
        <v>1729</v>
      </c>
      <c r="K113">
        <v>-3.28</v>
      </c>
      <c r="L113" s="20">
        <v>4.3899999999999997</v>
      </c>
      <c r="M113">
        <v>21.93</v>
      </c>
      <c r="N113">
        <v>19.3</v>
      </c>
      <c r="O113">
        <v>2.63</v>
      </c>
      <c r="P113" s="21">
        <v>35.430828300000002</v>
      </c>
    </row>
    <row r="114" spans="7:16" x14ac:dyDescent="0.15">
      <c r="G114" s="11">
        <v>113</v>
      </c>
      <c r="H114" t="s">
        <v>777</v>
      </c>
      <c r="I114" t="s">
        <v>1809</v>
      </c>
      <c r="J114" t="s">
        <v>15</v>
      </c>
      <c r="K114">
        <v>-12.78</v>
      </c>
      <c r="L114" s="20">
        <v>1.97</v>
      </c>
      <c r="M114">
        <v>19.3</v>
      </c>
      <c r="N114">
        <v>4.3899999999999997</v>
      </c>
      <c r="O114">
        <v>14.91</v>
      </c>
      <c r="P114" s="21">
        <v>388.30239190000003</v>
      </c>
    </row>
    <row r="115" spans="7:16" ht="15" customHeight="1" x14ac:dyDescent="0.15">
      <c r="G115" s="11">
        <v>114</v>
      </c>
      <c r="H115" t="s">
        <v>772</v>
      </c>
      <c r="I115" t="s">
        <v>1810</v>
      </c>
      <c r="J115" t="s">
        <v>15</v>
      </c>
      <c r="K115">
        <v>-6.25</v>
      </c>
      <c r="L115" s="20">
        <v>3.63</v>
      </c>
      <c r="M115">
        <v>14.91</v>
      </c>
      <c r="N115">
        <v>11.4</v>
      </c>
      <c r="O115">
        <v>3.51</v>
      </c>
      <c r="P115" s="21">
        <v>434.47401739999998</v>
      </c>
    </row>
  </sheetData>
  <autoFilter ref="A1:P115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模块1.rotate_abroad_fund">
                <anchor moveWithCells="1" sizeWithCells="1">
                  <from>
                    <xdr:col>5</xdr:col>
                    <xdr:colOff>123825</xdr:colOff>
                    <xdr:row>2</xdr:row>
                    <xdr:rowOff>66675</xdr:rowOff>
                  </from>
                  <to>
                    <xdr:col>5</xdr:col>
                    <xdr:colOff>923925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4.25" x14ac:dyDescent="0.15"/>
  <sheetData/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>
      <selection activeCell="D9" sqref="D9"/>
    </sheetView>
  </sheetViews>
  <sheetFormatPr defaultColWidth="8.875" defaultRowHeight="14.25" x14ac:dyDescent="0.15"/>
  <cols>
    <col min="1" max="1" width="14.75" style="1" customWidth="1"/>
    <col min="2" max="2" width="9.25" style="1" customWidth="1"/>
    <col min="3" max="16384" width="8.875" style="1"/>
  </cols>
  <sheetData>
    <row r="1" spans="1:2" x14ac:dyDescent="0.15">
      <c r="A1" s="1" t="s">
        <v>8</v>
      </c>
      <c r="B1" s="1" t="s">
        <v>13</v>
      </c>
    </row>
    <row r="2" spans="1:2" x14ac:dyDescent="0.15">
      <c r="A2" s="1" t="s">
        <v>9</v>
      </c>
    </row>
    <row r="3" spans="1:2" x14ac:dyDescent="0.15">
      <c r="A3" s="1" t="s">
        <v>0</v>
      </c>
    </row>
    <row r="4" spans="1:2" x14ac:dyDescent="0.15">
      <c r="A4" s="1" t="s">
        <v>7</v>
      </c>
    </row>
    <row r="5" spans="1:2" x14ac:dyDescent="0.15">
      <c r="A5" s="1" t="s">
        <v>5</v>
      </c>
    </row>
    <row r="6" spans="1:2" x14ac:dyDescent="0.15">
      <c r="A6" s="1" t="s">
        <v>1</v>
      </c>
    </row>
    <row r="7" spans="1:2" x14ac:dyDescent="0.15">
      <c r="A7" s="1" t="s">
        <v>2</v>
      </c>
      <c r="B7" s="1" t="b">
        <v>0</v>
      </c>
    </row>
    <row r="8" spans="1:2" x14ac:dyDescent="0.15">
      <c r="A8" s="1" t="s">
        <v>3</v>
      </c>
      <c r="B8" s="1" t="b">
        <v>0</v>
      </c>
    </row>
    <row r="9" spans="1:2" x14ac:dyDescent="0.15">
      <c r="A9" s="1" t="s">
        <v>14</v>
      </c>
      <c r="B9" s="1" t="b">
        <v>1</v>
      </c>
    </row>
    <row r="13" spans="1:2" x14ac:dyDescent="0.15">
      <c r="A13" s="2" t="s">
        <v>4</v>
      </c>
    </row>
    <row r="14" spans="1:2" x14ac:dyDescent="0.15">
      <c r="A14" s="1" t="s">
        <v>10</v>
      </c>
    </row>
    <row r="15" spans="1:2" x14ac:dyDescent="0.15">
      <c r="A15" s="1" t="s">
        <v>11</v>
      </c>
    </row>
    <row r="16" spans="1:2" x14ac:dyDescent="0.15">
      <c r="A16" s="1" t="s">
        <v>6</v>
      </c>
    </row>
    <row r="17" spans="1:1" x14ac:dyDescent="0.15">
      <c r="A17" s="1" t="s">
        <v>12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可转债实时数据</vt:lpstr>
      <vt:lpstr>低溢价可转债轮动</vt:lpstr>
      <vt:lpstr>双低可转债轮动</vt:lpstr>
      <vt:lpstr>20天净值增长率和溢价率轮动LOF、ETF和封基</vt:lpstr>
      <vt:lpstr>20天净值增长率和溢价率轮动债券和境外基金</vt:lpstr>
      <vt:lpstr>temp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Administrator</cp:lastModifiedBy>
  <dcterms:created xsi:type="dcterms:W3CDTF">2015-01-25T11:31:25Z</dcterms:created>
  <dcterms:modified xsi:type="dcterms:W3CDTF">2022-05-29T09:41:24Z</dcterms:modified>
</cp:coreProperties>
</file>