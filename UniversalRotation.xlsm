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activeTab="6"/>
  </bookViews>
  <sheets>
    <sheet name="Readme" sheetId="14" r:id="rId1"/>
    <sheet name="wbb任我行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<sst xmlns="http://schemas.openxmlformats.org/spreadsheetml/2006/main" count="2420" uniqueCount="1203">
  <si>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</si>
  <si>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</si>
  <si>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</si>
  <si>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</si>
  <si>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</si>
  <si>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</si>
  <si>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</si>
  <si>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</si>
  <si>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</si>
  <si>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</si>
  <si>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</si>
  <si>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</si>
  <si>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</si>
  <si>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</si>
  <si>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</si>
  <si>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</si>
  <si>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</si>
  <si>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</si>
  <si>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</si>
  <si>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</si>
  <si>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</si>
  <si>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</si>
  <si>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</si>
  <si>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</si>
  <si>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</si>
  <si>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</si>
  <si>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</si>
  <si>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</si>
  <si>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</si>
  <si>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</si>
  <si>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</si>
  <si>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</si>
  <si>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</si>
  <si>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</si>
  <si>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</si>
  <si>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</si>
  <si>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</si>
  <si>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</si>
  <si>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</si>
  <si>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</si>
  <si>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</si>
  <si>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</si>
  <si>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</si>
  <si>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</si>
  <si>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</si>
  <si>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</si>
  <si>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</si>
  <si>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</si>
  <si>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</si>
  <si>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</si>
  <si>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</si>
  <si>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</si>
  <si>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</si>
  <si>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</si>
  <si>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</si>
  <si>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</si>
  <si>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</si>
  <si>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</si>
  <si>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</si>
  <si>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</si>
  <si>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</si>
  <si>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</si>
  <si>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</si>
  <si>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</si>
  <si>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</si>
  <si>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</si>
  <si>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</si>
  <si>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</si>
  <si>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</si>
  <si>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</si>
  <si>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</si>
  <si>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</si>
  <si>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</si>
  <si>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</si>
  <si>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</si>
  <si>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</si>
  <si>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</si>
  <si>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</si>
  <si>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</si>
  <si>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</si>
  <si>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</si>
  <si>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</si>
  <si>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</si>
  <si>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</si>
  <si>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</si>
  <si>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</si>
  <si>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</si>
  <si>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</si>
  <si>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</si>
  <si>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</si>
  <si>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</si>
  <si>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</si>
  <si>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</si>
  <si>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</si>
  <si>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</si>
  <si>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</si>
  <si>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</si>
  <si>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</si>
  <si>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</si>
  <si>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</si>
  <si>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</si>
  <si>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</si>
  <si>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</si>
  <si>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</si>
  <si>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</si>
  <si>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</si>
  <si>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</si>
  <si>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</si>
  <si>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</si>
  <si>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</si>
  <si>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</si>
  <si>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</si>
  <si>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</si>
  <si>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</si>
  <si>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</si>
  <si>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</si>
  <si>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</si>
  <si>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</si>
  <si>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</si>
  <si>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</si>
  <si>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</si>
  <si>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</si>
  <si>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</si>
  <si>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</si>
  <si>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</si>
  <si>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</si>
  <si>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</si>
  <si>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</si>
  <si>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</si>
  <si>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</si>
  <si>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</si>
  <si>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</si>
  <si>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</si>
  <si>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</si>
  <si>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</si>
  <si>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</si>
  <si>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</si>
  <si>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</si>
  <si>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</si>
  <si>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</si>
  <si>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</si>
  <si>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</si>
  <si>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</si>
  <si>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</si>
  <si>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</si>
  <si>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</si>
  <si>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</si>
  <si>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</si>
  <si>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</si>
  <si>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</si>
  <si>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</si>
  <si>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</si>
  <si>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</si>
  <si>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</si>
  <si>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</si>
  <si>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</si>
  <si>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</si>
  <si>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</si>
  <si>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</si>
  <si>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</si>
  <si>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</si>
  <si>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</si>
  <si>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</si>
  <si>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</si>
  <si>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</si>
  <si>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</si>
  <si>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</si>
  <si>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</si>
  <si>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</si>
  <si>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</si>
  <si>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</si>
  <si>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</si>
  <si>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</si>
  <si>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</si>
  <si>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</si>
  <si>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</si>
  <si>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</si>
  <si>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</si>
  <si>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</si>
  <si>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</si>
  <si>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</si>
  <si>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</si>
  <si>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</si>
  <si>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</si>
  <si>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</si>
  <si>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</si>
  <si>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</si>
  <si>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</si>
  <si>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</si>
  <si>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</si>
  <si>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</si>
  <si>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</si>
  <si>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</si>
  <si>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</si>
  <si>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</si>
  <si>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</si>
  <si>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</si>
  <si>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</si>
  <si>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</si>
  <si>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</si>
  <si>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</si>
  <si>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</si>
  <si>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</si>
  <si>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</si>
  <si>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</si>
  <si>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</si>
  <si>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</si>
  <si>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</si>
  <si>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</si>
  <si>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</si>
  <si>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</si>
  <si>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</si>
  <si>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</si>
  <si>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</si>
  <si>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</si>
  <si>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</si>
  <si>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湖广转债</t>
  </si>
  <si>
    <t>寿仙转债</t>
  </si>
  <si>
    <t>日经ETF</t>
  </si>
  <si>
    <t>有色ETF</t>
  </si>
  <si>
    <t>能源化工</t>
  </si>
  <si>
    <t>恒生科技</t>
  </si>
  <si>
    <t>金禾转债</t>
  </si>
  <si>
    <t>苏试转债</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</si>
  <si>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</si>
  <si>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</si>
  <si>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</si>
  <si>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</si>
  <si>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</si>
  <si>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</si>
  <si>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</si>
  <si>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</si>
  <si>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</si>
  <si>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</si>
  <si>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</si>
  <si>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</si>
  <si>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</si>
  <si>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</si>
  <si>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</si>
  <si>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</si>
  <si>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</si>
  <si>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</si>
  <si>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</si>
  <si>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</si>
  <si>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</si>
  <si>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</si>
  <si>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</si>
  <si>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</si>
  <si>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</si>
  <si>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</si>
  <si>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</si>
  <si>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</si>
  <si>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</si>
  <si>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</si>
  <si>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</si>
  <si>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</si>
  <si>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</si>
  <si>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</si>
  <si>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</si>
  <si>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</si>
  <si>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</si>
  <si>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</si>
  <si>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</si>
  <si>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</si>
  <si>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</si>
  <si>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</si>
  <si>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</si>
  <si>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</si>
  <si>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</si>
  <si>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</si>
  <si>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</si>
  <si>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</si>
  <si>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</si>
  <si>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</si>
  <si>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</si>
  <si>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</si>
  <si>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</si>
  <si>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</si>
  <si>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</si>
  <si>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</si>
  <si>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</si>
  <si>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</si>
  <si>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</si>
  <si>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</si>
  <si>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</si>
  <si>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</si>
  <si>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</si>
  <si>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</si>
  <si>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</si>
  <si>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</si>
  <si>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</si>
  <si>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</si>
  <si>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</si>
  <si>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</si>
  <si>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</si>
  <si>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</si>
  <si>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</si>
  <si>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</si>
  <si>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</si>
  <si>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</si>
  <si>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</si>
  <si>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</si>
  <si>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</si>
  <si>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</si>
  <si>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</si>
  <si>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</si>
  <si>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</si>
  <si>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</si>
  <si>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</si>
  <si>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</si>
  <si>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</si>
  <si>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</si>
  <si>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</si>
  <si>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</si>
  <si>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</si>
  <si>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</si>
  <si>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</si>
  <si>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</si>
  <si>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</si>
  <si>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</si>
  <si>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</si>
  <si>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</si>
  <si>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</si>
  <si>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</si>
  <si>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</si>
  <si>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</si>
  <si>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</si>
  <si>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</si>
  <si>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</si>
  <si>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</si>
  <si>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</si>
  <si>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</si>
  <si>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</si>
  <si>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</si>
  <si>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</si>
  <si>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</si>
  <si>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</si>
  <si>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</si>
  <si>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</si>
  <si>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</si>
  <si>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</si>
  <si>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</si>
  <si>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</si>
  <si>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</si>
  <si>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</si>
  <si>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</si>
  <si>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</si>
  <si>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</si>
  <si>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</si>
  <si>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</si>
  <si>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</si>
  <si>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</si>
  <si>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</si>
  <si>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</si>
  <si>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</si>
  <si>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</si>
  <si>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</si>
  <si>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</si>
  <si>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</si>
  <si>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</si>
  <si>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</si>
  <si>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</si>
  <si>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</si>
  <si>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</si>
  <si>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</si>
  <si>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</si>
  <si>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</si>
  <si>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</si>
  <si>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</si>
  <si>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</si>
  <si>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</si>
  <si>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</si>
  <si>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</si>
  <si>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</si>
  <si>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</si>
  <si>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</si>
  <si>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</si>
  <si>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</si>
  <si>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</si>
  <si>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</si>
  <si>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</si>
  <si>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</si>
  <si>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</si>
  <si>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</si>
  <si>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</si>
  <si>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</si>
  <si>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</si>
  <si>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</si>
  <si>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</si>
  <si>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</si>
  <si>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</si>
  <si>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</si>
  <si>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</si>
  <si>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</si>
  <si>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</si>
  <si>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</si>
  <si>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</si>
  <si>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</si>
  <si>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</si>
  <si>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</si>
  <si>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</si>
  <si>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</si>
  <si>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</si>
  <si>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</si>
  <si>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</si>
  <si>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</si>
  <si>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</si>
  <si>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</si>
  <si>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</si>
  <si>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</si>
  <si>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</si>
  <si>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</si>
  <si>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</si>
  <si>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</si>
  <si>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</si>
  <si>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</si>
  <si>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</si>
  <si>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</si>
  <si>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</si>
  <si>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</si>
  <si>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</si>
  <si>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</si>
  <si>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</si>
  <si>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</si>
  <si>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</si>
  <si>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</si>
  <si>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</si>
  <si>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</si>
  <si>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</si>
  <si>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</si>
  <si>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</si>
  <si>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</si>
  <si>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</si>
  <si>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</si>
  <si>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</si>
  <si>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</si>
  <si>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</si>
  <si>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</si>
  <si>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</si>
  <si>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一品转债</t>
  </si>
  <si>
    <t>太极转债</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</si>
  <si>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</si>
  <si>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</si>
  <si>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</si>
  <si>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</si>
  <si>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</si>
  <si>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</si>
  <si>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</si>
  <si>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</si>
  <si>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</si>
  <si>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</si>
  <si>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</si>
  <si>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</si>
  <si>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</si>
  <si>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</si>
  <si>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</si>
  <si>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</si>
  <si>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</si>
  <si>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</si>
  <si>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</si>
  <si>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</si>
  <si>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</si>
  <si>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</si>
  <si>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</si>
  <si>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</si>
  <si>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</si>
  <si>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</si>
  <si>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</si>
  <si>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</si>
  <si>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</si>
  <si>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</si>
  <si>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</si>
  <si>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</si>
  <si>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</si>
  <si>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</si>
  <si>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</si>
  <si>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</si>
  <si>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</si>
  <si>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</si>
  <si>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</si>
  <si>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</si>
  <si>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</si>
  <si>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</si>
  <si>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</si>
  <si>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</si>
  <si>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</si>
  <si>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</si>
  <si>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</si>
  <si>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</si>
  <si>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</si>
  <si>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</si>
  <si>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</si>
  <si>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</si>
  <si>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</si>
  <si>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</si>
  <si>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</si>
  <si>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</si>
  <si>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</si>
  <si>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</si>
  <si>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</si>
  <si>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</si>
  <si>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</si>
  <si>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</si>
  <si>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</si>
  <si>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</si>
  <si>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</si>
  <si>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</si>
  <si>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</si>
  <si>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</si>
  <si>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</si>
  <si>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</si>
  <si>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</si>
  <si>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</si>
  <si>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</si>
  <si>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</si>
  <si>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</si>
  <si>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</si>
  <si>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</si>
  <si>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</si>
  <si>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</si>
  <si>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</si>
  <si>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</si>
  <si>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</si>
  <si>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</si>
  <si>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</si>
  <si>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</si>
  <si>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</si>
  <si>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</si>
  <si>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</si>
  <si>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</si>
  <si>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</si>
  <si>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</si>
  <si>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</si>
  <si>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</si>
  <si>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</si>
  <si>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</si>
  <si>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</si>
  <si>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</si>
  <si>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</si>
  <si>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</si>
  <si>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</si>
  <si>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</si>
  <si>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</si>
  <si>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</si>
  <si>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</si>
  <si>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</si>
  <si>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</si>
  <si>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</si>
  <si>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</si>
  <si>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</si>
  <si>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</si>
  <si>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</si>
  <si>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</si>
  <si>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</si>
  <si>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</si>
  <si>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</si>
  <si>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</si>
  <si>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</si>
  <si>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</si>
  <si>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</si>
  <si>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</si>
  <si>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</si>
  <si>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</si>
  <si>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</si>
  <si>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</si>
  <si>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</si>
  <si>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</si>
  <si>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</si>
  <si>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</si>
  <si>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</si>
  <si>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</si>
  <si>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</si>
  <si>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</si>
  <si>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</si>
  <si>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</si>
  <si>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</si>
  <si>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</si>
  <si>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</si>
  <si>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</si>
  <si>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</si>
  <si>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</si>
  <si>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</si>
  <si>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</si>
  <si>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</si>
  <si>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</si>
  <si>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</si>
  <si>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</si>
  <si>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</si>
  <si>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</si>
  <si>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</si>
  <si>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</si>
  <si>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</si>
  <si>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</si>
  <si>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</si>
  <si>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</si>
  <si>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</si>
  <si>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</si>
  <si>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</si>
  <si>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</si>
  <si>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</si>
  <si>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</si>
  <si>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</si>
  <si>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</si>
  <si>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</si>
  <si>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</si>
  <si>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</si>
  <si>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</si>
  <si>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</si>
  <si>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</si>
  <si>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</si>
  <si>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</si>
  <si>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</si>
  <si>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</si>
  <si>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</si>
  <si>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</si>
  <si>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</si>
  <si>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</si>
  <si>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</si>
  <si>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</si>
  <si>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</si>
  <si>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</si>
  <si>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</si>
  <si>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</si>
  <si>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</si>
  <si>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</si>
  <si>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</si>
  <si>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</si>
  <si>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</si>
  <si>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</si>
  <si>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</si>
  <si>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</si>
  <si>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</si>
  <si>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</si>
  <si>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</si>
  <si>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</si>
  <si>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</si>
  <si>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</si>
  <si>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</si>
  <si>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</si>
  <si>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</si>
  <si>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</si>
  <si>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</si>
  <si>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</si>
  <si>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</si>
  <si>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</si>
  <si>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</si>
  <si>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</si>
  <si>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</si>
  <si>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</si>
  <si>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</si>
  <si>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</si>
  <si>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</si>
  <si>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</si>
  <si>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</si>
  <si>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</si>
  <si>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</si>
  <si>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</si>
  <si>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</si>
  <si>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</si>
  <si>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</si>
  <si>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</si>
  <si>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</si>
  <si>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</si>
  <si>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</si>
  <si>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</si>
  <si>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</si>
  <si>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</si>
  <si>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</si>
  <si>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</si>
  <si>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</si>
  <si>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</si>
  <si>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</si>
  <si>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</si>
  <si>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</si>
  <si>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</si>
  <si>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</si>
  <si>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</si>
  <si>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</si>
  <si>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华锋转债!</t>
  </si>
  <si>
    <t>大禹转债</t>
  </si>
  <si>
    <t>奇正转债</t>
  </si>
  <si>
    <t>蒙泰转债</t>
  </si>
  <si>
    <t>天能转债</t>
  </si>
  <si>
    <t>设研转债</t>
  </si>
  <si>
    <t>华翔转债</t>
  </si>
  <si>
    <t>沿浦转债</t>
  </si>
  <si>
    <t>隆华转债</t>
  </si>
  <si>
    <t>洁美转债</t>
  </si>
  <si>
    <t>微芯转债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</si>
  <si>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</si>
  <si>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</si>
  <si>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</si>
  <si>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</si>
  <si>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</si>
  <si>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</si>
  <si>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</si>
  <si>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</si>
  <si>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</si>
  <si>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</si>
  <si>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</si>
  <si>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</si>
  <si>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</si>
  <si>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</si>
  <si>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</si>
  <si>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</si>
  <si>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</si>
  <si>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</si>
  <si>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</si>
  <si>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</si>
  <si>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</si>
  <si>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</si>
  <si>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</si>
  <si>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</si>
  <si>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</si>
  <si>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</si>
  <si>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</si>
  <si>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</si>
  <si>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银微转债!</t>
  </si>
  <si>
    <t>彤程转债!</t>
  </si>
  <si>
    <t>瑞科转债!</t>
  </si>
  <si>
    <t>宏川转债!</t>
  </si>
  <si>
    <t>惠云转债</t>
  </si>
  <si>
    <t>裕兴转债!</t>
  </si>
  <si>
    <t>九洲转2!</t>
  </si>
  <si>
    <t>商络转债</t>
  </si>
  <si>
    <t>新化转债</t>
  </si>
  <si>
    <t>金沃转债!</t>
  </si>
  <si>
    <t>银轮转债!!</t>
  </si>
  <si>
    <t>寿22转债</t>
  </si>
  <si>
    <t>明新转债!</t>
  </si>
  <si>
    <t>华锐转债!</t>
  </si>
  <si>
    <t>万顺转2!!</t>
  </si>
  <si>
    <t>火炬转债!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</si>
  <si>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</si>
  <si>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</si>
  <si>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</si>
  <si>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</si>
  <si>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</si>
  <si>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</si>
  <si>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</si>
  <si>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</si>
  <si>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</si>
  <si>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</si>
  <si>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新天转债!</t>
  </si>
  <si>
    <t>恒锋转债</t>
  </si>
  <si>
    <t>华亚转债</t>
  </si>
  <si>
    <t>精达转债!</t>
  </si>
  <si>
    <t>福新转债</t>
  </si>
  <si>
    <t>智能转债!</t>
  </si>
  <si>
    <t>冠盛转债</t>
  </si>
  <si>
    <t>招商沪深300增强策略ETF</t>
  </si>
  <si>
    <t>中国国企开放共赢ETF</t>
  </si>
  <si>
    <t>港股通红利ETF</t>
  </si>
  <si>
    <t>百畅转债</t>
  </si>
  <si>
    <t>声迅转债</t>
  </si>
  <si>
    <t>小熊转债!</t>
  </si>
  <si>
    <t>永安转债</t>
  </si>
  <si>
    <t>齐翔转2</t>
  </si>
  <si>
    <t>淳中转债</t>
  </si>
  <si>
    <t>贵广转债!!</t>
  </si>
  <si>
    <t>博汇转债</t>
  </si>
  <si>
    <t>水羊转债</t>
  </si>
  <si>
    <t>海波转债!</t>
  </si>
  <si>
    <t>华特转债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</si>
  <si>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</si>
  <si>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</si>
  <si>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</si>
  <si>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</si>
  <si>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</si>
  <si>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</si>
  <si>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</si>
  <si>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</si>
  <si>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</si>
  <si>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</si>
  <si>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</si>
  <si>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</si>
  <si>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</si>
  <si>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</si>
  <si>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</si>
  <si>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</si>
  <si>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</si>
  <si>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</si>
  <si>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</si>
  <si>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</si>
  <si>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</si>
  <si>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</si>
  <si>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</si>
  <si>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</si>
  <si>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</si>
  <si>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</si>
  <si>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</si>
  <si>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</si>
  <si>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</si>
  <si>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</si>
  <si>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</si>
  <si>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</si>
  <si>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</si>
  <si>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</si>
  <si>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</si>
  <si>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</si>
  <si>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</si>
  <si>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</si>
  <si>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</si>
  <si>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</si>
  <si>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</si>
  <si>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</si>
  <si>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</si>
  <si>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</si>
  <si>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</si>
  <si>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</si>
  <si>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</si>
  <si>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</si>
  <si>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</si>
  <si>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</si>
  <si>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</si>
  <si>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</si>
  <si>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</si>
  <si>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</si>
  <si>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</si>
  <si>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</si>
  <si>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</si>
  <si>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</si>
  <si>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</si>
  <si>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</si>
  <si>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</si>
  <si>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</si>
  <si>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</si>
  <si>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</si>
  <si>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</si>
  <si>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</si>
  <si>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</si>
  <si>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</si>
  <si>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</si>
  <si>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</si>
  <si>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</si>
  <si>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</si>
  <si>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</si>
  <si>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</si>
  <si>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</si>
  <si>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</si>
  <si>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</si>
  <si>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</si>
  <si>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</si>
  <si>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</si>
  <si>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</si>
  <si>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</si>
  <si>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</si>
  <si>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</si>
  <si>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</si>
  <si>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</si>
  <si>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</si>
  <si>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</si>
  <si>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</si>
  <si>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</si>
  <si>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</si>
  <si>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</si>
  <si>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</si>
  <si>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</si>
  <si>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</si>
  <si>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</si>
  <si>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</si>
  <si>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</si>
  <si>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</si>
  <si>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</si>
  <si>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</si>
  <si>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</si>
  <si>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</si>
  <si>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</si>
  <si>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</si>
  <si>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</si>
  <si>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</si>
  <si>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</si>
  <si>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</si>
  <si>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</si>
  <si>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</si>
  <si>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</si>
  <si>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</si>
  <si>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</si>
  <si>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</si>
  <si>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</si>
  <si>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</si>
  <si>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</si>
  <si>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</si>
  <si>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</si>
  <si>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</si>
  <si>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</si>
  <si>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</si>
  <si>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</si>
  <si>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</si>
  <si>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</si>
  <si>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</si>
  <si>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</si>
  <si>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</si>
  <si>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</si>
  <si>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</si>
  <si>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</si>
  <si>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</si>
  <si>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</si>
  <si>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</si>
  <si>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</si>
  <si>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</si>
  <si>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</si>
  <si>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</si>
  <si>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</si>
  <si>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</si>
  <si>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</si>
  <si>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</si>
  <si>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</si>
  <si>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</si>
  <si>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</si>
  <si>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</si>
  <si>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</si>
  <si>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</si>
  <si>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</si>
  <si>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</si>
  <si>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</si>
  <si>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</si>
  <si>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</si>
  <si>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</si>
  <si>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</si>
  <si>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</si>
  <si>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</si>
  <si>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</si>
  <si>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</si>
  <si>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</si>
  <si>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</si>
  <si>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</si>
  <si>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</si>
  <si>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</si>
  <si>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</si>
  <si>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</si>
  <si>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</si>
  <si>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</si>
  <si>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</si>
  <si>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</si>
  <si>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</si>
  <si>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</si>
  <si>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</si>
  <si>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</si>
  <si>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</si>
  <si>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</si>
  <si>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</si>
  <si>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</si>
  <si>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</si>
  <si>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</si>
  <si>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</si>
  <si>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</si>
  <si>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</si>
  <si>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</si>
  <si>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</si>
  <si>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</si>
  <si>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</si>
  <si>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</si>
  <si>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</si>
  <si>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</si>
  <si>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</si>
  <si>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</si>
  <si>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</si>
  <si>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</si>
  <si>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</si>
  <si>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</si>
  <si>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</si>
  <si>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</si>
  <si>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</si>
  <si>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</si>
  <si>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</si>
  <si>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</si>
  <si>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</si>
  <si>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</si>
  <si>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</si>
  <si>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</si>
  <si>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</si>
  <si>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</si>
  <si>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</si>
  <si>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</si>
  <si>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</si>
  <si>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</si>
  <si>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</si>
  <si>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</si>
  <si>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</si>
  <si>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</si>
  <si>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</si>
  <si>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</si>
  <si>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</si>
  <si>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</si>
  <si>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</si>
  <si>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</si>
  <si>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</si>
  <si>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</si>
  <si>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</si>
  <si>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</si>
  <si>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</si>
  <si>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</si>
  <si>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</si>
  <si>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</si>
  <si>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</si>
  <si>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</si>
  <si>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</si>
  <si>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</si>
  <si>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</si>
  <si>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奇精转债</t>
  </si>
  <si>
    <t>永鼎转债!</t>
  </si>
  <si>
    <t>正裕转债!</t>
  </si>
  <si>
    <t>新星转债</t>
  </si>
  <si>
    <t>丰山转债</t>
  </si>
  <si>
    <t>康医转债!</t>
  </si>
  <si>
    <t>晨丰转债</t>
  </si>
  <si>
    <t>崧盛转债!</t>
  </si>
  <si>
    <t>共同转债!</t>
  </si>
  <si>
    <t>漱玉转债</t>
  </si>
  <si>
    <t>汇通转债!</t>
  </si>
  <si>
    <t>中旗转债!</t>
  </si>
  <si>
    <t>智尚转债</t>
  </si>
  <si>
    <t>科思转债</t>
  </si>
  <si>
    <t>蓝晓转02</t>
  </si>
  <si>
    <t>光力转债</t>
  </si>
  <si>
    <t>金埔转债</t>
  </si>
  <si>
    <t>星帅转2</t>
  </si>
  <si>
    <t>海泰转债</t>
  </si>
  <si>
    <t>SZ159513</t>
  </si>
  <si>
    <t>纳斯达克100指数ETF</t>
  </si>
  <si>
    <t>鼎胜转债!</t>
  </si>
  <si>
    <t>精测转债!!</t>
  </si>
  <si>
    <t>北方转债!!</t>
  </si>
  <si>
    <t>天壕转债!</t>
  </si>
  <si>
    <t>纽泰转债</t>
  </si>
  <si>
    <t>祥源转债</t>
  </si>
  <si>
    <t>新港转债</t>
  </si>
  <si>
    <t>东亚转债</t>
  </si>
  <si>
    <t>金丹转债</t>
  </si>
  <si>
    <t>赫达转债</t>
  </si>
  <si>
    <t>力合转债</t>
  </si>
  <si>
    <t>山河转债!</t>
  </si>
  <si>
    <t>明电转02</t>
  </si>
  <si>
    <t>高测转债!</t>
  </si>
  <si>
    <t>武进转债</t>
  </si>
  <si>
    <t>双箭转债</t>
  </si>
  <si>
    <t>东宝转债</t>
  </si>
  <si>
    <t>星球转债</t>
  </si>
  <si>
    <t>聚隆转债</t>
  </si>
  <si>
    <t>阳谷转债</t>
  </si>
  <si>
    <t>神通转债</t>
  </si>
  <si>
    <t>冠中转债</t>
  </si>
  <si>
    <t>华设转债</t>
  </si>
  <si>
    <t>开能转债</t>
  </si>
  <si>
    <t>福蓉转债</t>
  </si>
  <si>
    <t>广联转债!</t>
  </si>
  <si>
    <t>锋龙转债</t>
  </si>
  <si>
    <t>聚飞转债</t>
  </si>
  <si>
    <t>伊力转债!!</t>
  </si>
  <si>
    <t>红利低波100ETF</t>
  </si>
  <si>
    <t>医疗器械指数ETF</t>
  </si>
  <si>
    <t>海富通上证10年期地方债ETF</t>
  </si>
  <si>
    <t>海富通上证5年期地方债ETF</t>
  </si>
  <si>
    <t>易方达中证人工智能主题ETF</t>
  </si>
  <si>
    <t>永和转债</t>
  </si>
  <si>
    <t>力诺转债</t>
  </si>
  <si>
    <t>易瑞转债</t>
  </si>
  <si>
    <t>宇瞳转债</t>
  </si>
  <si>
    <t>富仕转债</t>
  </si>
  <si>
    <t>宏微转债!</t>
  </si>
  <si>
    <t>海顺转债!</t>
  </si>
  <si>
    <t>华宏转债!</t>
  </si>
  <si>
    <t>永02转债!</t>
  </si>
  <si>
    <t>湘佳转债!</t>
  </si>
  <si>
    <t>精装转债!</t>
  </si>
  <si>
    <t>华正转债!</t>
  </si>
  <si>
    <t>朗科转债!</t>
  </si>
  <si>
    <t>北陆转债!</t>
  </si>
  <si>
    <t>嘉泽转债!!</t>
  </si>
  <si>
    <t>起步转债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</si>
  <si>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</si>
  <si>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</si>
  <si>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</si>
  <si>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</si>
  <si>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</si>
  <si>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</si>
  <si>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</si>
  <si>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</si>
  <si>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</si>
  <si>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</si>
  <si>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</si>
  <si>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</si>
  <si>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</si>
  <si>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</si>
  <si>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</si>
  <si>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</si>
  <si>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</si>
  <si>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</si>
  <si>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</si>
  <si>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</si>
  <si>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</si>
  <si>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</si>
  <si>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</si>
  <si>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</si>
  <si>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</si>
  <si>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</si>
  <si>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富淼转债!</t>
  </si>
  <si>
    <t>信测转债</t>
  </si>
  <si>
    <t>芯能转债</t>
  </si>
  <si>
    <t>艾录转债</t>
  </si>
  <si>
    <t>中贝转债</t>
  </si>
  <si>
    <t>红墙转债</t>
  </si>
  <si>
    <t>雅创转债</t>
  </si>
  <si>
    <t>章鼓转债</t>
  </si>
  <si>
    <t>广泰转债</t>
  </si>
  <si>
    <t>中富转债</t>
  </si>
  <si>
    <t>翔丰转债</t>
  </si>
  <si>
    <t>运机转债</t>
  </si>
  <si>
    <t>宇邦转债</t>
  </si>
  <si>
    <t>九典转02</t>
  </si>
  <si>
    <t>盟升转债</t>
  </si>
  <si>
    <t>赛特转债</t>
  </si>
  <si>
    <t>博俊转债</t>
  </si>
  <si>
    <t>荣23转债!</t>
  </si>
  <si>
    <t>蓝天转债</t>
  </si>
  <si>
    <t>福立转债!</t>
  </si>
  <si>
    <t>宏昌转债</t>
  </si>
  <si>
    <t>铭利转债!</t>
  </si>
  <si>
    <t>天源转债</t>
  </si>
  <si>
    <t>立中转债</t>
  </si>
  <si>
    <t>兴瑞转债!</t>
  </si>
  <si>
    <t>煜邦转债!</t>
  </si>
  <si>
    <t>岱美转债</t>
  </si>
  <si>
    <t>大叶转债!</t>
  </si>
  <si>
    <t>上声转债</t>
  </si>
  <si>
    <t>李子转债!</t>
  </si>
  <si>
    <t>国力转债!</t>
  </si>
  <si>
    <t>百洋转债!</t>
  </si>
  <si>
    <t>超达转债!</t>
  </si>
  <si>
    <t>天阳转债</t>
  </si>
  <si>
    <t>春23转债</t>
  </si>
  <si>
    <t>测绘转债!</t>
  </si>
  <si>
    <t>精锻转债</t>
  </si>
  <si>
    <t>豪美转债!</t>
  </si>
  <si>
    <t>博瑞转债</t>
  </si>
  <si>
    <t>泰林转债</t>
  </si>
  <si>
    <t>甬金转债!</t>
  </si>
  <si>
    <t>豪能转债</t>
  </si>
  <si>
    <t>南电转债</t>
  </si>
  <si>
    <t>中宠转2</t>
  </si>
  <si>
    <t>回天转债!</t>
  </si>
  <si>
    <t>百川转2!</t>
  </si>
  <si>
    <t>金盘转债</t>
  </si>
  <si>
    <t>天箭转债!</t>
  </si>
  <si>
    <t>顺博转债!</t>
  </si>
  <si>
    <t>润禾转债</t>
  </si>
  <si>
    <t>芯海转债!</t>
  </si>
  <si>
    <t>中环转2!</t>
  </si>
  <si>
    <t>永东转2</t>
  </si>
  <si>
    <t>胜蓝转债</t>
  </si>
  <si>
    <t>风语转债!</t>
  </si>
  <si>
    <t>申昊转债</t>
  </si>
  <si>
    <t>阿拉转债</t>
  </si>
  <si>
    <t>苏利转债!</t>
  </si>
  <si>
    <t>思创转债</t>
  </si>
  <si>
    <t>世运转债</t>
  </si>
  <si>
    <t>威唐转债!</t>
  </si>
  <si>
    <t>皖天转债</t>
  </si>
  <si>
    <t>锦鸡转债!</t>
  </si>
  <si>
    <t>嘉美转债!</t>
  </si>
  <si>
    <t>起帆转债</t>
  </si>
  <si>
    <t>三角转债</t>
  </si>
  <si>
    <t>联得转债!</t>
  </si>
  <si>
    <t>迪龙转债*</t>
  </si>
  <si>
    <t>飞凯转债!</t>
  </si>
  <si>
    <t>斯莱转债</t>
  </si>
  <si>
    <t>景兴转债</t>
  </si>
  <si>
    <t>文科转债!</t>
  </si>
  <si>
    <t>润达转债!</t>
  </si>
  <si>
    <t>思特转债!</t>
  </si>
  <si>
    <t>红相转债</t>
  </si>
  <si>
    <t>翔港转债!</t>
  </si>
  <si>
    <t>宏辉转债</t>
  </si>
  <si>
    <t>天康转债!*</t>
  </si>
  <si>
    <t>白电转债</t>
  </si>
  <si>
    <t>天路转债!</t>
  </si>
  <si>
    <t>兴森转债</t>
  </si>
  <si>
    <t>华钰转债!</t>
  </si>
  <si>
    <t>亚泰转债</t>
  </si>
  <si>
    <t>亚药转债</t>
  </si>
  <si>
    <t>海环转债</t>
  </si>
  <si>
    <t>今飞转债</t>
  </si>
  <si>
    <t>东南亚科技ETF</t>
  </si>
  <si>
    <t>SH513730</t>
  </si>
  <si>
    <t>丽岛转债</t>
  </si>
  <si>
    <t>金钟转债</t>
  </si>
  <si>
    <t>正元转02</t>
  </si>
  <si>
    <t>海能转债!</t>
  </si>
  <si>
    <t>晓鸣转债!</t>
  </si>
  <si>
    <t>能辉转债!</t>
  </si>
  <si>
    <t>佩蒂转债!</t>
  </si>
  <si>
    <t>利元转债</t>
  </si>
  <si>
    <t>深科转债!</t>
  </si>
  <si>
    <t>巨星转债!!</t>
  </si>
  <si>
    <t>艾迪转债!</t>
  </si>
  <si>
    <t>三诺转债!</t>
  </si>
  <si>
    <t>XD珀莱转!</t>
  </si>
  <si>
    <t>XD特纸转</t>
  </si>
  <si>
    <t>普利转债</t>
  </si>
  <si>
    <t>更新时间:2023-12-10__11.20.29</t>
    <phoneticPr fontId="2" type="noConversion"/>
  </si>
  <si>
    <t>更新时间:2023-12-10__11.23.33</t>
    <phoneticPr fontId="2" type="noConversion"/>
  </si>
  <si>
    <t>更新时间:2023-12-10__11.24.58</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</si>
</sst>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4</xdr:row>
      <xdr:rowOff>38100</xdr:rowOff>
    </xdr:from>
    <xdr:to>
      <xdr:col>2</xdr:col>
      <xdr:colOff>104506</xdr:colOff>
      <xdr:row>16</xdr:row>
      <xdr:rowOff>114019</xdr:rowOff>
    </xdr:to>
    <xdr:pic>
      <xdr:nvPicPr>
        <xdr:cNvPr id="3" name="图片 2"/>
        <xdr:cNvPicPr>
          <a:picLocks noChangeAspect="1"/>
        </xdr:cNvPicPr>
      </xdr:nvPicPr>
      <xdr:blipFill>
        <a:blip xmlns:r="http://schemas.openxmlformats.org/officeDocument/2006/relationships" r:embed="rId1"/>
        <a:stretch>
          <a:fillRect/>
        </a:stretch>
      </xdr:blipFill>
      <xdr:spPr>
        <a:xfrm>
          <a:off x="57150" y="762000"/>
          <a:ext cx="2152381" cy="2247619"/>
        </a:xfrm>
        <a:prstGeom prst="rect">
          <a:avLst/>
        </a:prstGeom>
      </xdr:spPr>
    </xdr:pic>
    <xdr:clientData/>
  </xdr:twoCellAnchor>
  <xdr:twoCellAnchor editAs="oneCell">
    <xdr:from>
      <xdr:col>0</xdr:col>
      <xdr:colOff>47625</xdr:colOff>
      <xdr:row>19</xdr:row>
      <xdr:rowOff>47625</xdr:rowOff>
    </xdr:from>
    <xdr:to>
      <xdr:col>1</xdr:col>
      <xdr:colOff>637969</xdr:colOff>
      <xdr:row>25</xdr:row>
      <xdr:rowOff>37965</xdr:rowOff>
    </xdr:to>
    <xdr:pic>
      <xdr:nvPicPr>
        <xdr:cNvPr id="7" name="图片 6"/>
        <xdr:cNvPicPr>
          <a:picLocks noChangeAspect="1"/>
        </xdr:cNvPicPr>
      </xdr:nvPicPr>
      <xdr:blipFill>
        <a:blip xmlns:r="http://schemas.openxmlformats.org/officeDocument/2006/relationships" r:embed="rId2"/>
        <a:stretch>
          <a:fillRect/>
        </a:stretch>
      </xdr:blipFill>
      <xdr:spPr>
        <a:xfrm>
          <a:off x="47625" y="3486150"/>
          <a:ext cx="1647619" cy="1076190"/>
        </a:xfrm>
        <a:prstGeom prst="rect">
          <a:avLst/>
        </a:prstGeom>
      </xdr:spPr>
    </xdr:pic>
    <xdr:clientData/>
  </xdr:twoCellAnchor>
  <xdr:twoCellAnchor editAs="oneCell">
    <xdr:from>
      <xdr:col>0</xdr:col>
      <xdr:colOff>38100</xdr:colOff>
      <xdr:row>27</xdr:row>
      <xdr:rowOff>47625</xdr:rowOff>
    </xdr:from>
    <xdr:to>
      <xdr:col>1</xdr:col>
      <xdr:colOff>847492</xdr:colOff>
      <xdr:row>33</xdr:row>
      <xdr:rowOff>85585</xdr:rowOff>
    </xdr:to>
    <xdr:pic>
      <xdr:nvPicPr>
        <xdr:cNvPr id="8" name="图片 7"/>
        <xdr:cNvPicPr>
          <a:picLocks noChangeAspect="1"/>
        </xdr:cNvPicPr>
      </xdr:nvPicPr>
      <xdr:blipFill>
        <a:blip xmlns:r="http://schemas.openxmlformats.org/officeDocument/2006/relationships" r:embed="rId3"/>
        <a:stretch>
          <a:fillRect/>
        </a:stretch>
      </xdr:blipFill>
      <xdr:spPr>
        <a:xfrm>
          <a:off x="38100" y="4933950"/>
          <a:ext cx="1866667" cy="11238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473</v>
      </c>
      <c r="B1" s="92"/>
      <c r="C1" s="92"/>
      <c r="D1" s="92"/>
      <c r="E1" s="92"/>
      <c r="F1" s="92"/>
    </row>
    <row r="2" spans="1:10" x14ac:dyDescent="0.15">
      <c r="A2" s="93" t="s">
        <v>474</v>
      </c>
      <c r="B2" s="93"/>
      <c r="C2" s="93"/>
      <c r="D2" s="93"/>
      <c r="E2" s="93"/>
      <c r="F2" s="93"/>
    </row>
    <row r="4" spans="1:10" x14ac:dyDescent="0.15">
      <c r="A4" s="77" t="s">
        <v>422</v>
      </c>
    </row>
    <row r="5" spans="1:10" s="79" customFormat="1" x14ac:dyDescent="0.15">
      <c r="A5" s="78" t="s">
        <v>999</v>
      </c>
      <c r="B5" s="78"/>
      <c r="C5" s="78"/>
      <c r="D5" s="78"/>
      <c r="E5" s="78"/>
      <c r="F5" s="78"/>
      <c r="G5" s="78"/>
      <c r="H5" s="78"/>
      <c r="I5" s="78"/>
      <c r="J5" s="78"/>
    </row>
    <row r="26" spans="1:1" s="77" customFormat="1" x14ac:dyDescent="0.15">
      <c r="A26" s="77" t="s">
        <v>427</v>
      </c>
    </row>
    <row r="27" spans="1:1" x14ac:dyDescent="0.15">
      <c r="A27" s="78" t="s">
        <v>1073</v>
      </c>
    </row>
    <row r="28" spans="1:1" x14ac:dyDescent="0.15">
      <c r="A28" s="76" t="s">
        <v>1074</v>
      </c>
    </row>
    <row r="29" spans="1:1" x14ac:dyDescent="0.15">
      <c r="A29" s="76" t="s">
        <v>1075</v>
      </c>
    </row>
    <row r="30" spans="1:1" x14ac:dyDescent="0.15">
      <c r="A30" s="76" t="s">
        <v>1076</v>
      </c>
    </row>
    <row r="31" spans="1:1" x14ac:dyDescent="0.15">
      <c r="A31" s="76" t="s">
        <v>1077</v>
      </c>
    </row>
    <row r="32" spans="1:1" x14ac:dyDescent="0.15">
      <c r="A32" s="76" t="s">
        <v>1078</v>
      </c>
    </row>
    <row r="34" spans="1:1" x14ac:dyDescent="0.15">
      <c r="A34" s="76" t="s">
        <v>428</v>
      </c>
    </row>
    <row r="35" spans="1:1" x14ac:dyDescent="0.15">
      <c r="A35" s="76" t="s">
        <v>429</v>
      </c>
    </row>
    <row r="36" spans="1:1" x14ac:dyDescent="0.15">
      <c r="A36" s="76" t="s">
        <v>1079</v>
      </c>
    </row>
    <row r="37" spans="1:1" x14ac:dyDescent="0.15">
      <c r="A37" s="76" t="s">
        <v>1080</v>
      </c>
    </row>
    <row r="38" spans="1:1" x14ac:dyDescent="0.15">
      <c r="A38" s="76" t="s">
        <v>1081</v>
      </c>
    </row>
    <row r="40" spans="1:1" x14ac:dyDescent="0.15">
      <c r="A40" s="76" t="s">
        <v>740</v>
      </c>
    </row>
    <row r="41" spans="1:1" x14ac:dyDescent="0.15">
      <c r="A41" s="76" t="s">
        <v>742</v>
      </c>
    </row>
    <row r="43" spans="1:1" x14ac:dyDescent="0.15">
      <c r="A43" s="76" t="s">
        <v>741</v>
      </c>
    </row>
    <row r="44" spans="1:1" s="77" customFormat="1" x14ac:dyDescent="0.15"/>
    <row r="46" spans="1:1" s="77" customFormat="1" x14ac:dyDescent="0.15">
      <c r="A46" s="77" t="s">
        <v>430</v>
      </c>
    </row>
    <row r="47" spans="1:1" x14ac:dyDescent="0.15">
      <c r="A47" s="76" t="s">
        <v>709</v>
      </c>
    </row>
    <row r="48" spans="1:1" x14ac:dyDescent="0.15">
      <c r="A48" s="76" t="s">
        <v>423</v>
      </c>
    </row>
    <row r="49" spans="1:1" x14ac:dyDescent="0.15">
      <c r="A49" s="76" t="s">
        <v>696</v>
      </c>
    </row>
    <row r="50" spans="1:1" x14ac:dyDescent="0.15">
      <c r="A50" s="76" t="s">
        <v>431</v>
      </c>
    </row>
    <row r="52" spans="1:1" x14ac:dyDescent="0.15">
      <c r="A52" s="76" t="s">
        <v>432</v>
      </c>
    </row>
    <row r="54" spans="1:1" x14ac:dyDescent="0.15">
      <c r="A54" s="76" t="s">
        <v>697</v>
      </c>
    </row>
    <row r="56" spans="1:1" x14ac:dyDescent="0.15">
      <c r="A56" s="76" t="s">
        <v>433</v>
      </c>
    </row>
    <row r="57" spans="1:1" x14ac:dyDescent="0.15">
      <c r="A57" s="76" t="s">
        <v>424</v>
      </c>
    </row>
    <row r="60" spans="1:1" s="77" customFormat="1" x14ac:dyDescent="0.15">
      <c r="A60" s="77" t="s">
        <v>436</v>
      </c>
    </row>
    <row r="61" spans="1:1" x14ac:dyDescent="0.15">
      <c r="A61" s="76" t="s">
        <v>434</v>
      </c>
    </row>
    <row r="62" spans="1:1" x14ac:dyDescent="0.15">
      <c r="A62" s="76" t="s">
        <v>435</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D2" sqref="D2"/>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1086</v>
      </c>
      <c r="B1" s="90" t="s">
        <v>1095</v>
      </c>
      <c r="C1" s="90" t="s">
        <v>1087</v>
      </c>
      <c r="D1" s="90" t="s">
        <v>1090</v>
      </c>
      <c r="E1" s="90" t="s">
        <v>1091</v>
      </c>
      <c r="F1" s="90" t="s">
        <v>1088</v>
      </c>
    </row>
    <row r="2" spans="1:6" x14ac:dyDescent="0.15">
      <c r="A2" s="88" t="s">
        <v>1089</v>
      </c>
      <c r="B2" s="89">
        <v>0.3</v>
      </c>
      <c r="C2" s="89">
        <v>0.3</v>
      </c>
      <c r="D2" s="89">
        <v>0.2</v>
      </c>
      <c r="E2" s="89">
        <v>0.1</v>
      </c>
      <c r="F2" s="89">
        <v>0.1</v>
      </c>
    </row>
    <row r="4" spans="1:6" x14ac:dyDescent="0.15">
      <c r="A4" s="90" t="s">
        <v>1090</v>
      </c>
    </row>
    <row r="19" spans="1:1" x14ac:dyDescent="0.15">
      <c r="A19" s="90" t="s">
        <v>1092</v>
      </c>
    </row>
    <row r="27" spans="1:1" x14ac:dyDescent="0.15">
      <c r="A27" s="90" t="s">
        <v>1093</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56"/>
  <sheetViews>
    <sheetView workbookViewId="0">
      <pane ySplit="7" topLeftCell="A20" activePane="bottomLeft" state="frozen"/>
      <selection pane="bottomLeft" activeCell="K19" sqref="K19"/>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705</v>
      </c>
      <c r="D1" s="56" t="s">
        <v>706</v>
      </c>
      <c r="H1" s="56" t="s">
        <v>707</v>
      </c>
      <c r="I1" s="25"/>
      <c r="J1" s="25"/>
      <c r="L1" s="56" t="s">
        <v>708</v>
      </c>
      <c r="U1" s="25"/>
    </row>
    <row r="2" spans="1:24" x14ac:dyDescent="0.15">
      <c r="A2" s="26" t="s">
        <v>669</v>
      </c>
      <c r="B2" s="58"/>
      <c r="C2" s="58"/>
      <c r="D2" s="58">
        <v>200</v>
      </c>
      <c r="E2" s="59"/>
      <c r="F2" s="58"/>
      <c r="G2" s="58"/>
      <c r="H2" s="72">
        <v>0.5</v>
      </c>
      <c r="I2" s="58"/>
      <c r="J2" s="58"/>
      <c r="K2" s="60"/>
      <c r="L2" s="60">
        <v>11</v>
      </c>
      <c r="M2" s="60"/>
      <c r="N2" s="59"/>
      <c r="O2" s="59"/>
      <c r="P2" s="58"/>
      <c r="Q2" s="58"/>
      <c r="R2" s="58"/>
      <c r="S2" s="58"/>
      <c r="T2" s="58"/>
    </row>
    <row r="3" spans="1:24" x14ac:dyDescent="0.15">
      <c r="A3" s="26" t="s">
        <v>670</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671</v>
      </c>
      <c r="D4" s="56" t="s">
        <v>698</v>
      </c>
      <c r="H4" s="56" t="s">
        <v>698</v>
      </c>
      <c r="I4" s="25"/>
      <c r="J4" s="25"/>
      <c r="L4" s="56" t="s">
        <v>698</v>
      </c>
      <c r="U4" s="25"/>
    </row>
    <row r="5" spans="1:24" x14ac:dyDescent="0.15">
      <c r="A5" s="26" t="s">
        <v>673</v>
      </c>
      <c r="B5" s="64"/>
      <c r="C5" s="64"/>
      <c r="D5" s="58" t="s">
        <v>701</v>
      </c>
      <c r="E5" s="68"/>
      <c r="F5" s="64"/>
      <c r="G5" s="64"/>
      <c r="H5" s="74" t="s">
        <v>700</v>
      </c>
      <c r="I5" s="64"/>
      <c r="J5" s="64"/>
      <c r="K5" s="69"/>
      <c r="L5" s="69" t="s">
        <v>699</v>
      </c>
      <c r="M5" s="69"/>
      <c r="N5" s="68"/>
      <c r="O5" s="68"/>
      <c r="P5" s="64"/>
      <c r="Q5" s="64"/>
      <c r="R5" s="64"/>
      <c r="S5" s="64"/>
      <c r="T5" s="64"/>
    </row>
    <row r="6" spans="1:24" x14ac:dyDescent="0.15">
      <c r="A6" s="26" t="s">
        <v>672</v>
      </c>
      <c r="B6" s="66"/>
      <c r="C6" s="66"/>
      <c r="D6" s="66" t="s">
        <v>702</v>
      </c>
      <c r="E6" s="70"/>
      <c r="F6" s="66"/>
      <c r="G6" s="66"/>
      <c r="H6" s="75" t="s">
        <v>703</v>
      </c>
      <c r="I6" s="66"/>
      <c r="J6" s="66"/>
      <c r="K6" s="71"/>
      <c r="L6" s="71" t="s">
        <v>704</v>
      </c>
      <c r="M6" s="71"/>
      <c r="N6" s="70"/>
      <c r="O6" s="70"/>
      <c r="P6" s="66"/>
      <c r="Q6" s="66"/>
      <c r="R6" s="66"/>
      <c r="S6" s="66"/>
      <c r="T6" s="66"/>
    </row>
    <row r="7" spans="1:24" s="52" customFormat="1" ht="36" customHeight="1" x14ac:dyDescent="0.15">
      <c r="A7" s="50"/>
      <c r="B7" s="47" t="s">
        <v>400</v>
      </c>
      <c r="C7" s="47" t="s">
        <v>401</v>
      </c>
      <c r="D7" s="48" t="s">
        <v>398</v>
      </c>
      <c r="E7" s="51" t="s">
        <v>408</v>
      </c>
      <c r="F7" s="52" t="s">
        <v>409</v>
      </c>
      <c r="G7" s="52" t="s">
        <v>410</v>
      </c>
      <c r="H7" s="52" t="s">
        <v>29</v>
      </c>
      <c r="I7" s="52" t="s">
        <v>402</v>
      </c>
      <c r="J7" s="52" t="s">
        <v>411</v>
      </c>
      <c r="K7" s="53" t="s">
        <v>412</v>
      </c>
      <c r="L7" s="54" t="s">
        <v>403</v>
      </c>
      <c r="M7" s="48" t="s">
        <v>413</v>
      </c>
      <c r="N7" s="49" t="s">
        <v>414</v>
      </c>
      <c r="O7" s="55" t="s">
        <v>415</v>
      </c>
      <c r="P7" s="48" t="s">
        <v>416</v>
      </c>
      <c r="Q7" s="48" t="s">
        <v>417</v>
      </c>
      <c r="R7" s="51" t="s">
        <v>418</v>
      </c>
      <c r="S7" s="51" t="s">
        <v>676</v>
      </c>
      <c r="T7" s="51" t="s">
        <v>677</v>
      </c>
    </row>
    <row r="8" spans="1:24" x14ac:dyDescent="0.15">
      <c r="A8" s="26">
        <v>1</v>
      </c>
      <c r="B8" s="25">
        <v>113648</v>
      </c>
      <c r="C8" s="25" t="s">
        <v>1194</v>
      </c>
      <c r="D8" s="25">
        <v>142.43299999999999</v>
      </c>
      <c r="E8" s="34">
        <v>-2.5499999999999998E-2</v>
      </c>
      <c r="F8" s="25">
        <v>25.21</v>
      </c>
      <c r="G8" s="25">
        <v>143.99</v>
      </c>
      <c r="H8" s="43">
        <v>-1.0800000000000001E-2</v>
      </c>
      <c r="I8" s="57">
        <v>141.35299999999998</v>
      </c>
      <c r="J8" s="32">
        <v>46868</v>
      </c>
      <c r="K8" s="33">
        <v>4.3810000000000002</v>
      </c>
      <c r="L8" s="33">
        <v>9.88781</v>
      </c>
      <c r="M8" s="33">
        <v>14738.036899999999</v>
      </c>
      <c r="N8" s="34">
        <v>0.10464751146664876</v>
      </c>
      <c r="O8" s="34">
        <v>-4.2876000000000004E-2</v>
      </c>
      <c r="P8" s="25">
        <v>146.96799999999999</v>
      </c>
      <c r="Q8" s="25">
        <v>140.86000000000001</v>
      </c>
      <c r="R8" s="34">
        <v>4.3362203606417543E-2</v>
      </c>
    </row>
    <row r="9" spans="1:24" x14ac:dyDescent="0.15">
      <c r="A9" s="26">
        <v>2</v>
      </c>
      <c r="B9" s="25">
        <v>128082</v>
      </c>
      <c r="C9" s="25" t="s">
        <v>678</v>
      </c>
      <c r="D9" s="25">
        <v>155.94</v>
      </c>
      <c r="E9" s="34">
        <v>1.5100000000000001E-2</v>
      </c>
      <c r="F9" s="25">
        <v>9.1300000000000008</v>
      </c>
      <c r="G9" s="25">
        <v>155.09</v>
      </c>
      <c r="H9" s="43">
        <v>5.5000000000000005E-3</v>
      </c>
      <c r="I9" s="57">
        <v>156.49</v>
      </c>
      <c r="J9" s="32">
        <v>45995</v>
      </c>
      <c r="K9" s="33">
        <v>1.9890000000000001</v>
      </c>
      <c r="L9" s="33">
        <v>2.0094319999999999</v>
      </c>
      <c r="M9" s="33">
        <v>100741.0857783</v>
      </c>
      <c r="N9" s="34">
        <v>3.2149615508778115</v>
      </c>
      <c r="O9" s="34">
        <v>-0.134355</v>
      </c>
      <c r="P9" s="25">
        <v>161.98599999999999</v>
      </c>
      <c r="Q9" s="25">
        <v>152.51</v>
      </c>
      <c r="R9" s="34">
        <v>6.2133630581601207E-2</v>
      </c>
      <c r="W9" s="27"/>
      <c r="X9" s="27"/>
    </row>
    <row r="10" spans="1:24" x14ac:dyDescent="0.15">
      <c r="A10" s="26">
        <v>3</v>
      </c>
      <c r="B10" s="25">
        <v>113595</v>
      </c>
      <c r="C10" s="25" t="s">
        <v>67</v>
      </c>
      <c r="D10" s="25">
        <v>101.925</v>
      </c>
      <c r="E10" s="34">
        <v>-1.2699999999999999E-2</v>
      </c>
      <c r="F10" s="25">
        <v>4.4800000000000004</v>
      </c>
      <c r="G10" s="25">
        <v>101.12</v>
      </c>
      <c r="H10" s="43">
        <v>8.0000000000000002E-3</v>
      </c>
      <c r="I10" s="57">
        <v>102.72499999999999</v>
      </c>
      <c r="J10" s="32">
        <v>46224</v>
      </c>
      <c r="K10" s="33">
        <v>2.6160000000000001</v>
      </c>
      <c r="L10" s="33">
        <v>2.2404299999999999</v>
      </c>
      <c r="M10" s="33">
        <v>1305.9289000000001</v>
      </c>
      <c r="N10" s="34">
        <v>5.7188332475127744E-2</v>
      </c>
      <c r="O10" s="34">
        <v>7.5812999999999992E-2</v>
      </c>
      <c r="P10" s="25">
        <v>103.66</v>
      </c>
      <c r="Q10" s="25">
        <v>101.8</v>
      </c>
      <c r="R10" s="34">
        <v>1.8271119842829073E-2</v>
      </c>
      <c r="W10" s="27"/>
      <c r="X10" s="27"/>
    </row>
    <row r="11" spans="1:24" x14ac:dyDescent="0.15">
      <c r="A11" s="26">
        <v>4</v>
      </c>
      <c r="B11" s="25">
        <v>113534</v>
      </c>
      <c r="C11" s="25" t="s">
        <v>1021</v>
      </c>
      <c r="D11" s="25">
        <v>164</v>
      </c>
      <c r="E11" s="34">
        <v>-1.0200000000000001E-2</v>
      </c>
      <c r="F11" s="25">
        <v>7.84</v>
      </c>
      <c r="G11" s="25">
        <v>162.12</v>
      </c>
      <c r="H11" s="43">
        <v>1.1599999999999999E-2</v>
      </c>
      <c r="I11" s="57">
        <v>165.16</v>
      </c>
      <c r="J11" s="32">
        <v>45756</v>
      </c>
      <c r="K11" s="33">
        <v>1.3340000000000001</v>
      </c>
      <c r="L11" s="33">
        <v>3.6909100000000001</v>
      </c>
      <c r="M11" s="33">
        <v>6281.0821999999998</v>
      </c>
      <c r="N11" s="34">
        <v>0.10376650123497205</v>
      </c>
      <c r="O11" s="34">
        <v>-0.251448</v>
      </c>
      <c r="P11" s="25">
        <v>167</v>
      </c>
      <c r="Q11" s="25">
        <v>163.82</v>
      </c>
      <c r="R11" s="34">
        <v>1.9411549261384487E-2</v>
      </c>
      <c r="W11" s="27"/>
      <c r="X11" s="27"/>
    </row>
    <row r="12" spans="1:24" x14ac:dyDescent="0.15">
      <c r="A12" s="26">
        <v>5</v>
      </c>
      <c r="B12" s="25">
        <v>123194</v>
      </c>
      <c r="C12" s="25" t="s">
        <v>1128</v>
      </c>
      <c r="D12" s="25">
        <v>136.11099999999999</v>
      </c>
      <c r="E12" s="34">
        <v>-1.44E-2</v>
      </c>
      <c r="F12" s="25">
        <v>26.88</v>
      </c>
      <c r="G12" s="25">
        <v>134.04</v>
      </c>
      <c r="H12" s="43">
        <v>1.55E-2</v>
      </c>
      <c r="I12" s="57">
        <v>137.661</v>
      </c>
      <c r="J12" s="32">
        <v>47222</v>
      </c>
      <c r="K12" s="33">
        <v>5.351</v>
      </c>
      <c r="L12" s="33">
        <v>8.4628589999999999</v>
      </c>
      <c r="M12" s="33">
        <v>13461.579969</v>
      </c>
      <c r="N12" s="34">
        <v>0.11686533426798595</v>
      </c>
      <c r="O12" s="34">
        <v>-2.6313E-2</v>
      </c>
      <c r="P12" s="25">
        <v>138.43</v>
      </c>
      <c r="Q12" s="25">
        <v>135.30000000000001</v>
      </c>
      <c r="R12" s="34">
        <v>2.3133776792313342E-2</v>
      </c>
      <c r="W12" s="25" t="s">
        <v>1201</v>
      </c>
    </row>
    <row r="13" spans="1:24" x14ac:dyDescent="0.15">
      <c r="A13" s="26">
        <v>6</v>
      </c>
      <c r="B13" s="25">
        <v>128033</v>
      </c>
      <c r="C13" s="25" t="s">
        <v>1164</v>
      </c>
      <c r="D13" s="25">
        <v>107.81</v>
      </c>
      <c r="E13" s="34">
        <v>-3.4000000000000002E-3</v>
      </c>
      <c r="F13" s="25">
        <v>7.87</v>
      </c>
      <c r="G13" s="25">
        <v>105.97</v>
      </c>
      <c r="H13" s="43">
        <v>1.7399999999999999E-2</v>
      </c>
      <c r="I13" s="57">
        <v>109.55</v>
      </c>
      <c r="J13" s="32">
        <v>45287</v>
      </c>
      <c r="K13" s="33">
        <v>4.9000000000000002E-2</v>
      </c>
      <c r="L13" s="33">
        <v>2.5758719999999999</v>
      </c>
      <c r="M13" s="33">
        <v>7454.2362743000003</v>
      </c>
      <c r="N13" s="34">
        <v>0.26842306432595764</v>
      </c>
      <c r="O13" s="34">
        <v>-0.27765999999999996</v>
      </c>
      <c r="P13" s="25">
        <v>111.944</v>
      </c>
      <c r="Q13" s="25">
        <v>107.574</v>
      </c>
      <c r="R13" s="34">
        <v>4.0623198914235825E-2</v>
      </c>
    </row>
    <row r="14" spans="1:24" x14ac:dyDescent="0.15">
      <c r="A14" s="26">
        <v>7</v>
      </c>
      <c r="B14" s="25">
        <v>118017</v>
      </c>
      <c r="C14" s="25" t="s">
        <v>1193</v>
      </c>
      <c r="D14" s="25">
        <v>145.78</v>
      </c>
      <c r="E14" s="34">
        <v>-5.9999999999999995E-4</v>
      </c>
      <c r="F14" s="25">
        <v>26.68</v>
      </c>
      <c r="G14" s="25">
        <v>142.94999999999999</v>
      </c>
      <c r="H14" s="43">
        <v>1.9799999999999998E-2</v>
      </c>
      <c r="I14" s="57">
        <v>147.76</v>
      </c>
      <c r="J14" s="32">
        <v>46973</v>
      </c>
      <c r="K14" s="33">
        <v>4.6680000000000001</v>
      </c>
      <c r="L14" s="33">
        <v>3.59998</v>
      </c>
      <c r="M14" s="33">
        <v>33007.749499999998</v>
      </c>
      <c r="N14" s="34">
        <v>0.62895254793000244</v>
      </c>
      <c r="O14" s="34">
        <v>-4.018E-2</v>
      </c>
      <c r="P14" s="25">
        <v>155.84800000000001</v>
      </c>
      <c r="Q14" s="25">
        <v>144.929</v>
      </c>
      <c r="R14" s="34">
        <v>7.5340339062575548E-2</v>
      </c>
    </row>
    <row r="15" spans="1:24" x14ac:dyDescent="0.15">
      <c r="A15" s="26">
        <v>8</v>
      </c>
      <c r="B15" s="25">
        <v>123096</v>
      </c>
      <c r="C15" s="25" t="s">
        <v>1155</v>
      </c>
      <c r="D15" s="25">
        <v>105.28</v>
      </c>
      <c r="E15" s="34">
        <v>-4.4000000000000003E-3</v>
      </c>
      <c r="F15" s="25">
        <v>4.5</v>
      </c>
      <c r="G15" s="25">
        <v>103.11</v>
      </c>
      <c r="H15" s="43">
        <v>2.1000000000000001E-2</v>
      </c>
      <c r="I15" s="57">
        <v>107.38</v>
      </c>
      <c r="J15" s="32">
        <v>46413</v>
      </c>
      <c r="K15" s="33">
        <v>3.1339999999999999</v>
      </c>
      <c r="L15" s="33">
        <v>6.5940399999999997</v>
      </c>
      <c r="M15" s="33">
        <v>2005.4924853</v>
      </c>
      <c r="N15" s="34">
        <v>2.8888406423725199E-2</v>
      </c>
      <c r="O15" s="34">
        <v>5.2076999999999998E-2</v>
      </c>
      <c r="P15" s="25">
        <v>106.27</v>
      </c>
      <c r="Q15" s="25">
        <v>105.1</v>
      </c>
      <c r="R15" s="34">
        <v>1.1132254995242643E-2</v>
      </c>
    </row>
    <row r="16" spans="1:24" x14ac:dyDescent="0.15">
      <c r="A16" s="26">
        <v>9</v>
      </c>
      <c r="B16" s="25">
        <v>113588</v>
      </c>
      <c r="C16" s="25" t="s">
        <v>1169</v>
      </c>
      <c r="D16" s="25">
        <v>192.28100000000001</v>
      </c>
      <c r="E16" s="34">
        <v>-4.3299999999999998E-2</v>
      </c>
      <c r="F16" s="25">
        <v>13.1</v>
      </c>
      <c r="G16" s="25">
        <v>187.4</v>
      </c>
      <c r="H16" s="43">
        <v>2.6000000000000002E-2</v>
      </c>
      <c r="I16" s="57">
        <v>194.881</v>
      </c>
      <c r="J16" s="32">
        <v>46190</v>
      </c>
      <c r="K16" s="33">
        <v>2.5230000000000001</v>
      </c>
      <c r="L16" s="33">
        <v>3.1854499999999999</v>
      </c>
      <c r="M16" s="33">
        <v>160453.76699999999</v>
      </c>
      <c r="N16" s="34">
        <v>2.6196468743424188</v>
      </c>
      <c r="O16" s="34">
        <v>-0.19426200000000002</v>
      </c>
      <c r="P16" s="25">
        <v>201.53800000000001</v>
      </c>
      <c r="Q16" s="25">
        <v>188.261</v>
      </c>
      <c r="R16" s="34">
        <v>7.0524431507322363E-2</v>
      </c>
    </row>
    <row r="17" spans="1:18" x14ac:dyDescent="0.15">
      <c r="A17" s="26">
        <v>10</v>
      </c>
      <c r="B17" s="25">
        <v>113594</v>
      </c>
      <c r="C17" s="25" t="s">
        <v>758</v>
      </c>
      <c r="D17" s="25">
        <v>138.84299999999999</v>
      </c>
      <c r="E17" s="34">
        <v>-3.9000000000000003E-3</v>
      </c>
      <c r="F17" s="25">
        <v>17.93</v>
      </c>
      <c r="G17" s="25">
        <v>134.97</v>
      </c>
      <c r="H17" s="43">
        <v>2.87E-2</v>
      </c>
      <c r="I17" s="57">
        <v>141.71299999999999</v>
      </c>
      <c r="J17" s="32">
        <v>46224</v>
      </c>
      <c r="K17" s="33">
        <v>2.6160000000000001</v>
      </c>
      <c r="L17" s="33">
        <v>2.9956200000000002</v>
      </c>
      <c r="M17" s="33">
        <v>11632.257600000001</v>
      </c>
      <c r="N17" s="34">
        <v>0.2796747772104799</v>
      </c>
      <c r="O17" s="34">
        <v>-5.8183999999999993E-2</v>
      </c>
      <c r="P17" s="25">
        <v>140.22800000000001</v>
      </c>
      <c r="Q17" s="25">
        <v>137.31</v>
      </c>
      <c r="R17" s="34">
        <v>2.1251183453499425E-2</v>
      </c>
    </row>
    <row r="18" spans="1:18" x14ac:dyDescent="0.15">
      <c r="A18" s="26">
        <v>11</v>
      </c>
      <c r="B18" s="25">
        <v>127053</v>
      </c>
      <c r="C18" s="25" t="s">
        <v>1134</v>
      </c>
      <c r="D18" s="25">
        <v>146.61000000000001</v>
      </c>
      <c r="E18" s="34">
        <v>2.98E-2</v>
      </c>
      <c r="F18" s="25">
        <v>17.97</v>
      </c>
      <c r="G18" s="25">
        <v>142.4</v>
      </c>
      <c r="H18" s="43">
        <v>2.9600000000000001E-2</v>
      </c>
      <c r="I18" s="57">
        <v>149.57000000000002</v>
      </c>
      <c r="J18" s="32">
        <v>46776</v>
      </c>
      <c r="K18" s="33">
        <v>4.1289999999999996</v>
      </c>
      <c r="L18" s="33">
        <v>4.8172750000000004</v>
      </c>
      <c r="M18" s="33">
        <v>51885.598376000002</v>
      </c>
      <c r="N18" s="34">
        <v>0.73465222227357352</v>
      </c>
      <c r="O18" s="34">
        <v>-4.1125999999999996E-2</v>
      </c>
      <c r="P18" s="25">
        <v>146.999</v>
      </c>
      <c r="Q18" s="25">
        <v>142.19999999999999</v>
      </c>
      <c r="R18" s="34">
        <v>3.3748241912798925E-2</v>
      </c>
    </row>
    <row r="19" spans="1:18" x14ac:dyDescent="0.15">
      <c r="A19" s="26">
        <v>12</v>
      </c>
      <c r="B19" s="25">
        <v>123127</v>
      </c>
      <c r="C19" s="25" t="s">
        <v>57</v>
      </c>
      <c r="D19" s="25">
        <v>139.38900000000001</v>
      </c>
      <c r="E19" s="34">
        <v>-1.2999999999999999E-3</v>
      </c>
      <c r="F19" s="25">
        <v>24.4</v>
      </c>
      <c r="G19" s="25">
        <v>133.77000000000001</v>
      </c>
      <c r="H19" s="43">
        <v>4.2000000000000003E-2</v>
      </c>
      <c r="I19" s="57">
        <v>143.589</v>
      </c>
      <c r="J19" s="32">
        <v>46689</v>
      </c>
      <c r="K19" s="33">
        <v>3.89</v>
      </c>
      <c r="L19" s="33">
        <v>3.9971580000000002</v>
      </c>
      <c r="M19" s="33">
        <v>4390.5532873000002</v>
      </c>
      <c r="N19" s="34">
        <v>7.880239820543225E-2</v>
      </c>
      <c r="O19" s="34">
        <v>-4.8705999999999999E-2</v>
      </c>
      <c r="P19" s="25">
        <v>140.274</v>
      </c>
      <c r="Q19" s="25">
        <v>137.72999999999999</v>
      </c>
      <c r="R19" s="34">
        <v>1.8470921367893786E-2</v>
      </c>
    </row>
    <row r="20" spans="1:18" x14ac:dyDescent="0.15">
      <c r="A20" s="26">
        <v>13</v>
      </c>
      <c r="B20" s="25">
        <v>123092</v>
      </c>
      <c r="C20" s="25" t="s">
        <v>1024</v>
      </c>
      <c r="D20" s="25">
        <v>167.804</v>
      </c>
      <c r="E20" s="34">
        <v>4.6799999999999994E-2</v>
      </c>
      <c r="F20" s="25">
        <v>5.0599999999999996</v>
      </c>
      <c r="G20" s="25">
        <v>160.08000000000001</v>
      </c>
      <c r="H20" s="43">
        <v>4.8300000000000003E-2</v>
      </c>
      <c r="I20" s="57">
        <v>172.63400000000001</v>
      </c>
      <c r="J20" s="32">
        <v>46380</v>
      </c>
      <c r="K20" s="33">
        <v>3.044</v>
      </c>
      <c r="L20" s="33">
        <v>3.996658</v>
      </c>
      <c r="M20" s="33">
        <v>33025.3142764</v>
      </c>
      <c r="N20" s="34">
        <v>0.49243358321932895</v>
      </c>
      <c r="O20" s="34">
        <v>-0.10558099999999999</v>
      </c>
      <c r="P20" s="25">
        <v>175.4</v>
      </c>
      <c r="Q20" s="25">
        <v>161.5</v>
      </c>
      <c r="R20" s="34">
        <v>8.6068111455108398E-2</v>
      </c>
    </row>
    <row r="21" spans="1:18" x14ac:dyDescent="0.15">
      <c r="A21" s="26">
        <v>14</v>
      </c>
      <c r="B21" s="25">
        <v>123054</v>
      </c>
      <c r="C21" s="25" t="s">
        <v>1170</v>
      </c>
      <c r="D21" s="25">
        <v>170.982</v>
      </c>
      <c r="E21" s="34">
        <v>-3.4500000000000003E-2</v>
      </c>
      <c r="F21" s="25">
        <v>9.89</v>
      </c>
      <c r="G21" s="25">
        <v>163.09</v>
      </c>
      <c r="H21" s="43">
        <v>4.8399999999999999E-2</v>
      </c>
      <c r="I21" s="57">
        <v>175.822</v>
      </c>
      <c r="J21" s="32">
        <v>46183</v>
      </c>
      <c r="K21" s="33">
        <v>2.504</v>
      </c>
      <c r="L21" s="33">
        <v>1.67441</v>
      </c>
      <c r="M21" s="33">
        <v>70467.787960000001</v>
      </c>
      <c r="N21" s="34">
        <v>2.4613786943327702</v>
      </c>
      <c r="O21" s="34">
        <v>-0.13605499999999998</v>
      </c>
      <c r="P21" s="25">
        <v>176.89</v>
      </c>
      <c r="Q21" s="25">
        <v>166.5</v>
      </c>
      <c r="R21" s="34">
        <v>6.2402402402402322E-2</v>
      </c>
    </row>
    <row r="22" spans="1:18" x14ac:dyDescent="0.15">
      <c r="A22" s="26">
        <v>15</v>
      </c>
      <c r="B22" s="25">
        <v>128087</v>
      </c>
      <c r="C22" s="25" t="s">
        <v>60</v>
      </c>
      <c r="D22" s="25">
        <v>124.76900000000001</v>
      </c>
      <c r="E22" s="34">
        <v>-4.0999999999999995E-3</v>
      </c>
      <c r="F22" s="25">
        <v>4.16</v>
      </c>
      <c r="G22" s="25">
        <v>118.99</v>
      </c>
      <c r="H22" s="43">
        <v>4.8600000000000004E-2</v>
      </c>
      <c r="I22" s="57">
        <v>129.62900000000002</v>
      </c>
      <c r="J22" s="32">
        <v>46008</v>
      </c>
      <c r="K22" s="33">
        <v>2.0249999999999999</v>
      </c>
      <c r="L22" s="33">
        <v>6.4427640000000004</v>
      </c>
      <c r="M22" s="33">
        <v>1920.2934090999997</v>
      </c>
      <c r="N22" s="34">
        <v>2.3888488623371507E-2</v>
      </c>
      <c r="O22" s="34">
        <v>-5.5892999999999998E-2</v>
      </c>
      <c r="P22" s="25">
        <v>125.502</v>
      </c>
      <c r="Q22" s="25">
        <v>124.396</v>
      </c>
      <c r="R22" s="34">
        <v>8.8909611241518582E-3</v>
      </c>
    </row>
    <row r="23" spans="1:18" x14ac:dyDescent="0.15">
      <c r="A23" s="26">
        <v>16</v>
      </c>
      <c r="B23" s="25">
        <v>127037</v>
      </c>
      <c r="C23" s="25" t="s">
        <v>727</v>
      </c>
      <c r="D23" s="25">
        <v>177.9</v>
      </c>
      <c r="E23" s="34">
        <v>-1.77E-2</v>
      </c>
      <c r="F23" s="25">
        <v>10.61</v>
      </c>
      <c r="G23" s="25">
        <v>169.56</v>
      </c>
      <c r="H23" s="43">
        <v>4.9200000000000001E-2</v>
      </c>
      <c r="I23" s="57">
        <v>182.82</v>
      </c>
      <c r="J23" s="32">
        <v>46545</v>
      </c>
      <c r="K23" s="33">
        <v>3.496</v>
      </c>
      <c r="L23" s="33">
        <v>6.99404</v>
      </c>
      <c r="M23" s="33">
        <v>12875.0348325</v>
      </c>
      <c r="N23" s="34">
        <v>0.10347712476090096</v>
      </c>
      <c r="O23" s="34">
        <v>-0.12071999999999999</v>
      </c>
      <c r="P23" s="25">
        <v>182.25700000000001</v>
      </c>
      <c r="Q23" s="25">
        <v>176.2</v>
      </c>
      <c r="R23" s="34">
        <v>3.4375709421112469E-2</v>
      </c>
    </row>
    <row r="24" spans="1:18" x14ac:dyDescent="0.15">
      <c r="A24" s="26">
        <v>17</v>
      </c>
      <c r="B24" s="25">
        <v>113549</v>
      </c>
      <c r="C24" s="25" t="s">
        <v>1175</v>
      </c>
      <c r="D24" s="25">
        <v>128.40700000000001</v>
      </c>
      <c r="E24" s="34">
        <v>-1.26E-2</v>
      </c>
      <c r="F24" s="25">
        <v>9</v>
      </c>
      <c r="G24" s="25">
        <v>121.67</v>
      </c>
      <c r="H24" s="43">
        <v>5.5399999999999998E-2</v>
      </c>
      <c r="I24" s="57">
        <v>133.947</v>
      </c>
      <c r="J24" s="32">
        <v>45976</v>
      </c>
      <c r="K24" s="33">
        <v>1.9370000000000001</v>
      </c>
      <c r="L24" s="33">
        <v>8.0396300000000007</v>
      </c>
      <c r="M24" s="33">
        <v>13581.6134</v>
      </c>
      <c r="N24" s="34">
        <v>0.13156082931249885</v>
      </c>
      <c r="O24" s="34">
        <v>-6.9446000000000008E-2</v>
      </c>
      <c r="P24" s="25">
        <v>129.94900000000001</v>
      </c>
      <c r="Q24" s="25">
        <v>127.51</v>
      </c>
      <c r="R24" s="34">
        <v>1.9127911536350146E-2</v>
      </c>
    </row>
    <row r="25" spans="1:18" x14ac:dyDescent="0.15">
      <c r="A25" s="26">
        <v>18</v>
      </c>
      <c r="B25" s="25">
        <v>128030</v>
      </c>
      <c r="C25" s="25" t="s">
        <v>1174</v>
      </c>
      <c r="D25" s="25">
        <v>127.399</v>
      </c>
      <c r="E25" s="34">
        <v>-2.1899999999999999E-2</v>
      </c>
      <c r="F25" s="25">
        <v>7.18</v>
      </c>
      <c r="G25" s="25">
        <v>120.47</v>
      </c>
      <c r="H25" s="43">
        <v>5.7500000000000002E-2</v>
      </c>
      <c r="I25" s="57">
        <v>133.149</v>
      </c>
      <c r="J25" s="32">
        <v>45282</v>
      </c>
      <c r="K25" s="33">
        <v>3.5999999999999997E-2</v>
      </c>
      <c r="L25" s="33">
        <v>0.79018600000000006</v>
      </c>
      <c r="M25" s="33">
        <v>19632.2800264</v>
      </c>
      <c r="N25" s="34">
        <v>1.9501831066552051</v>
      </c>
      <c r="O25" s="34">
        <v>-1.108328</v>
      </c>
      <c r="P25" s="25">
        <v>133.499</v>
      </c>
      <c r="Q25" s="25">
        <v>126.599</v>
      </c>
      <c r="R25" s="34">
        <v>5.4502800180096143E-2</v>
      </c>
    </row>
    <row r="26" spans="1:18" x14ac:dyDescent="0.15">
      <c r="A26" s="26">
        <v>19</v>
      </c>
      <c r="B26" s="25">
        <v>127065</v>
      </c>
      <c r="C26" s="25" t="s">
        <v>736</v>
      </c>
      <c r="D26" s="25">
        <v>201</v>
      </c>
      <c r="E26" s="34">
        <v>1.7000000000000001E-3</v>
      </c>
      <c r="F26" s="25">
        <v>17.059999999999999</v>
      </c>
      <c r="G26" s="25">
        <v>189.68</v>
      </c>
      <c r="H26" s="43">
        <v>5.9699999999999996E-2</v>
      </c>
      <c r="I26" s="57">
        <v>206.97</v>
      </c>
      <c r="J26" s="32">
        <v>46926</v>
      </c>
      <c r="K26" s="33">
        <v>4.54</v>
      </c>
      <c r="L26" s="33">
        <v>1.8685740000000004</v>
      </c>
      <c r="M26" s="33">
        <v>12946.954949999999</v>
      </c>
      <c r="N26" s="34">
        <v>0.34471586993091974</v>
      </c>
      <c r="O26" s="34">
        <v>-0.10763</v>
      </c>
      <c r="P26" s="25">
        <v>203.88399999999999</v>
      </c>
      <c r="Q26" s="25">
        <v>200.42</v>
      </c>
      <c r="R26" s="34">
        <v>1.728370422113561E-2</v>
      </c>
    </row>
    <row r="27" spans="1:18" x14ac:dyDescent="0.15">
      <c r="A27" s="26">
        <v>20</v>
      </c>
      <c r="B27" s="25">
        <v>123187</v>
      </c>
      <c r="C27" s="25" t="s">
        <v>1129</v>
      </c>
      <c r="D27" s="25">
        <v>128.1</v>
      </c>
      <c r="E27" s="34">
        <v>6.5000000000000006E-3</v>
      </c>
      <c r="F27" s="25">
        <v>32.6</v>
      </c>
      <c r="G27" s="25">
        <v>120.61</v>
      </c>
      <c r="H27" s="43">
        <v>6.2100000000000002E-2</v>
      </c>
      <c r="I27" s="57">
        <v>134.31</v>
      </c>
      <c r="J27" s="32">
        <v>47212</v>
      </c>
      <c r="K27" s="33">
        <v>5.3230000000000004</v>
      </c>
      <c r="L27" s="33">
        <v>4.5301070000000001</v>
      </c>
      <c r="M27" s="33">
        <v>6827.6902539000002</v>
      </c>
      <c r="N27" s="34">
        <v>0.11765658013374811</v>
      </c>
      <c r="O27" s="34">
        <v>-1.0709999999999999E-2</v>
      </c>
      <c r="P27" s="25">
        <v>128.92599999999999</v>
      </c>
      <c r="Q27" s="25">
        <v>127.512</v>
      </c>
      <c r="R27" s="34">
        <v>1.1089152393500119E-2</v>
      </c>
    </row>
    <row r="28" spans="1:18" x14ac:dyDescent="0.15">
      <c r="A28" s="26">
        <v>21</v>
      </c>
      <c r="B28" s="25">
        <v>113631</v>
      </c>
      <c r="C28" s="25" t="s">
        <v>1158</v>
      </c>
      <c r="D28" s="25">
        <v>124.61799999999999</v>
      </c>
      <c r="E28" s="34">
        <v>4.0999999999999995E-3</v>
      </c>
      <c r="F28" s="25">
        <v>7.56</v>
      </c>
      <c r="G28" s="25">
        <v>117.2</v>
      </c>
      <c r="H28" s="43">
        <v>6.3299999999999995E-2</v>
      </c>
      <c r="I28" s="57">
        <v>130.94800000000001</v>
      </c>
      <c r="J28" s="32">
        <v>46699</v>
      </c>
      <c r="K28" s="33">
        <v>3.9180000000000001</v>
      </c>
      <c r="L28" s="33">
        <v>9.2987199999999994</v>
      </c>
      <c r="M28" s="33">
        <v>4603.1349</v>
      </c>
      <c r="N28" s="34">
        <v>3.97237056397894E-2</v>
      </c>
      <c r="O28" s="34">
        <v>-2.3006000000000002E-2</v>
      </c>
      <c r="P28" s="25">
        <v>126.499</v>
      </c>
      <c r="Q28" s="25">
        <v>124.434</v>
      </c>
      <c r="R28" s="34">
        <v>1.6595142806628396E-2</v>
      </c>
    </row>
    <row r="29" spans="1:18" x14ac:dyDescent="0.15">
      <c r="A29" s="26">
        <v>22</v>
      </c>
      <c r="B29" s="25">
        <v>128091</v>
      </c>
      <c r="C29" s="25" t="s">
        <v>743</v>
      </c>
      <c r="D29" s="25">
        <v>164.16499999999999</v>
      </c>
      <c r="E29" s="34">
        <v>-9.300000000000001E-3</v>
      </c>
      <c r="F29" s="25">
        <v>8.11</v>
      </c>
      <c r="G29" s="25">
        <v>154.38</v>
      </c>
      <c r="H29" s="43">
        <v>6.3399999999999998E-2</v>
      </c>
      <c r="I29" s="57">
        <v>170.505</v>
      </c>
      <c r="J29" s="32">
        <v>46021</v>
      </c>
      <c r="K29" s="33">
        <v>2.06</v>
      </c>
      <c r="L29" s="33">
        <v>1.523163</v>
      </c>
      <c r="M29" s="33">
        <v>3160.7448289999998</v>
      </c>
      <c r="N29" s="34">
        <v>0.12640448501271856</v>
      </c>
      <c r="O29" s="34">
        <v>-0.15385199999999999</v>
      </c>
      <c r="P29" s="25">
        <v>166.5</v>
      </c>
      <c r="Q29" s="25">
        <v>163.80000000000001</v>
      </c>
      <c r="R29" s="34">
        <v>1.6483516483516415E-2</v>
      </c>
    </row>
    <row r="30" spans="1:18" x14ac:dyDescent="0.15">
      <c r="A30" s="26">
        <v>23</v>
      </c>
      <c r="B30" s="25">
        <v>128083</v>
      </c>
      <c r="C30" s="25" t="s">
        <v>70</v>
      </c>
      <c r="D30" s="25">
        <v>129.47800000000001</v>
      </c>
      <c r="E30" s="34">
        <v>2.2000000000000001E-3</v>
      </c>
      <c r="F30" s="25">
        <v>6.49</v>
      </c>
      <c r="G30" s="25">
        <v>121.42</v>
      </c>
      <c r="H30" s="43">
        <v>6.6400000000000001E-2</v>
      </c>
      <c r="I30" s="57">
        <v>136.11799999999999</v>
      </c>
      <c r="J30" s="32">
        <v>46003</v>
      </c>
      <c r="K30" s="33">
        <v>2.0110000000000001</v>
      </c>
      <c r="L30" s="33">
        <v>8.7676800000000004</v>
      </c>
      <c r="M30" s="33">
        <v>2909.4753190000001</v>
      </c>
      <c r="N30" s="34">
        <v>2.5629138283931537E-2</v>
      </c>
      <c r="O30" s="34">
        <v>-6.5395999999999996E-2</v>
      </c>
      <c r="P30" s="25">
        <v>130.24299999999999</v>
      </c>
      <c r="Q30" s="25">
        <v>128.79900000000001</v>
      </c>
      <c r="R30" s="34">
        <v>1.1211267168223266E-2</v>
      </c>
    </row>
    <row r="31" spans="1:18" x14ac:dyDescent="0.15">
      <c r="A31" s="26">
        <v>24</v>
      </c>
      <c r="B31" s="25">
        <v>128062</v>
      </c>
      <c r="C31" s="25" t="s">
        <v>1180</v>
      </c>
      <c r="D31" s="25">
        <v>116</v>
      </c>
      <c r="E31" s="34">
        <v>-2.8999999999999998E-3</v>
      </c>
      <c r="F31" s="25">
        <v>4.21</v>
      </c>
      <c r="G31" s="25">
        <v>108.31</v>
      </c>
      <c r="H31" s="43">
        <v>7.0999999999999994E-2</v>
      </c>
      <c r="I31" s="57">
        <v>123.1</v>
      </c>
      <c r="J31" s="32">
        <v>45749</v>
      </c>
      <c r="K31" s="33">
        <v>1.3149999999999999</v>
      </c>
      <c r="L31" s="33">
        <v>6.5678210000000012</v>
      </c>
      <c r="M31" s="33">
        <v>1583.8046140000001</v>
      </c>
      <c r="N31" s="34">
        <v>2.0788459447546051E-2</v>
      </c>
      <c r="O31" s="34">
        <v>5.2910000000000006E-3</v>
      </c>
      <c r="P31" s="25">
        <v>116.6</v>
      </c>
      <c r="Q31" s="25">
        <v>115.81</v>
      </c>
      <c r="R31" s="34">
        <v>6.8215180036265612E-3</v>
      </c>
    </row>
    <row r="32" spans="1:18" x14ac:dyDescent="0.15">
      <c r="A32" s="26">
        <v>25</v>
      </c>
      <c r="B32" s="25">
        <v>127014</v>
      </c>
      <c r="C32" s="25" t="s">
        <v>1023</v>
      </c>
      <c r="D32" s="25">
        <v>150.60300000000001</v>
      </c>
      <c r="E32" s="34">
        <v>-2.0799999999999999E-2</v>
      </c>
      <c r="F32" s="25">
        <v>7.74</v>
      </c>
      <c r="G32" s="25">
        <v>140.31</v>
      </c>
      <c r="H32" s="43">
        <v>7.3399999999999993E-2</v>
      </c>
      <c r="I32" s="57">
        <v>157.94300000000001</v>
      </c>
      <c r="J32" s="32">
        <v>45954</v>
      </c>
      <c r="K32" s="33">
        <v>1.877</v>
      </c>
      <c r="L32" s="33">
        <v>5.3382250000000004</v>
      </c>
      <c r="M32" s="33">
        <v>4770.6904490000006</v>
      </c>
      <c r="N32" s="34">
        <v>5.9340436955166193E-2</v>
      </c>
      <c r="O32" s="34">
        <v>-0.147677</v>
      </c>
      <c r="P32" s="25">
        <v>155.16</v>
      </c>
      <c r="Q32" s="25">
        <v>150.41999999999999</v>
      </c>
      <c r="R32" s="34">
        <v>3.1511767052253753E-2</v>
      </c>
    </row>
    <row r="33" spans="1:18" x14ac:dyDescent="0.15">
      <c r="A33" s="26">
        <v>26</v>
      </c>
      <c r="B33" s="25">
        <v>123221</v>
      </c>
      <c r="C33" s="25" t="s">
        <v>1056</v>
      </c>
      <c r="D33" s="25">
        <v>132.19999999999999</v>
      </c>
      <c r="E33" s="34">
        <v>1.15E-2</v>
      </c>
      <c r="F33" s="25">
        <v>14.4</v>
      </c>
      <c r="G33" s="25">
        <v>123.13</v>
      </c>
      <c r="H33" s="43">
        <v>7.3700000000000002E-2</v>
      </c>
      <c r="I33" s="57">
        <v>139.57</v>
      </c>
      <c r="J33" s="32">
        <v>47353</v>
      </c>
      <c r="K33" s="33">
        <v>5.71</v>
      </c>
      <c r="L33" s="33">
        <v>5</v>
      </c>
      <c r="M33" s="33">
        <v>9295.4931370000013</v>
      </c>
      <c r="N33" s="34">
        <v>0.14062773278366114</v>
      </c>
      <c r="O33" s="34">
        <v>-2.7403E-2</v>
      </c>
      <c r="P33" s="25">
        <v>134.5</v>
      </c>
      <c r="Q33" s="25">
        <v>130.30000000000001</v>
      </c>
      <c r="R33" s="34">
        <v>3.2233307751342963E-2</v>
      </c>
    </row>
    <row r="34" spans="1:18" x14ac:dyDescent="0.15">
      <c r="A34" s="26">
        <v>27</v>
      </c>
      <c r="B34" s="25">
        <v>111011</v>
      </c>
      <c r="C34" s="25" t="s">
        <v>749</v>
      </c>
      <c r="D34" s="25">
        <v>133.053</v>
      </c>
      <c r="E34" s="34">
        <v>3.5999999999999999E-3</v>
      </c>
      <c r="F34" s="25">
        <v>17.61</v>
      </c>
      <c r="G34" s="25">
        <v>123.74</v>
      </c>
      <c r="H34" s="43">
        <v>7.5300000000000006E-2</v>
      </c>
      <c r="I34" s="57">
        <v>140.583</v>
      </c>
      <c r="J34" s="32">
        <v>47121</v>
      </c>
      <c r="K34" s="33">
        <v>5.0739999999999998</v>
      </c>
      <c r="L34" s="33">
        <v>6.0157800000000003</v>
      </c>
      <c r="M34" s="33">
        <v>2173.7997</v>
      </c>
      <c r="N34" s="34">
        <v>2.7158320409953328E-2</v>
      </c>
      <c r="O34" s="34">
        <v>-2.0474000000000003E-2</v>
      </c>
      <c r="P34" s="25">
        <v>134.15</v>
      </c>
      <c r="Q34" s="25">
        <v>132.54900000000001</v>
      </c>
      <c r="R34" s="34">
        <v>1.2078552082626041E-2</v>
      </c>
    </row>
    <row r="35" spans="1:18" x14ac:dyDescent="0.15">
      <c r="A35" s="26">
        <v>28</v>
      </c>
      <c r="B35" s="25">
        <v>123044</v>
      </c>
      <c r="C35" s="25" t="s">
        <v>1171</v>
      </c>
      <c r="D35" s="25">
        <v>103.105</v>
      </c>
      <c r="E35" s="34">
        <v>1.1999999999999999E-3</v>
      </c>
      <c r="F35" s="25">
        <v>7.08</v>
      </c>
      <c r="G35" s="25">
        <v>95.76</v>
      </c>
      <c r="H35" s="43">
        <v>7.6700000000000004E-2</v>
      </c>
      <c r="I35" s="57">
        <v>110.77500000000001</v>
      </c>
      <c r="J35" s="32">
        <v>46093</v>
      </c>
      <c r="K35" s="33">
        <v>2.258</v>
      </c>
      <c r="L35" s="33">
        <v>5.4927549999999998</v>
      </c>
      <c r="M35" s="33">
        <v>981.04682799999989</v>
      </c>
      <c r="N35" s="34">
        <v>1.7322867488056427E-2</v>
      </c>
      <c r="O35" s="34">
        <v>8.2575999999999997E-2</v>
      </c>
      <c r="P35" s="25">
        <v>104.196</v>
      </c>
      <c r="Q35" s="25">
        <v>102.76</v>
      </c>
      <c r="R35" s="34">
        <v>1.3974309069676847E-2</v>
      </c>
    </row>
    <row r="36" spans="1:18" x14ac:dyDescent="0.15">
      <c r="A36" s="26">
        <v>29</v>
      </c>
      <c r="B36" s="25">
        <v>123202</v>
      </c>
      <c r="C36" s="25" t="s">
        <v>1026</v>
      </c>
      <c r="D36" s="25">
        <v>135.04</v>
      </c>
      <c r="E36" s="34">
        <v>-1.6000000000000001E-3</v>
      </c>
      <c r="F36" s="25">
        <v>19.489999999999998</v>
      </c>
      <c r="G36" s="25">
        <v>125.14</v>
      </c>
      <c r="H36" s="43">
        <v>7.9100000000000004E-2</v>
      </c>
      <c r="I36" s="57">
        <v>142.94999999999999</v>
      </c>
      <c r="J36" s="32">
        <v>47302</v>
      </c>
      <c r="K36" s="33">
        <v>5.57</v>
      </c>
      <c r="L36" s="33">
        <v>4.5999999999999996</v>
      </c>
      <c r="M36" s="33">
        <v>3246.3083715999996</v>
      </c>
      <c r="N36" s="34">
        <v>5.2260012679012979E-2</v>
      </c>
      <c r="O36" s="34">
        <v>-2.1143000000000002E-2</v>
      </c>
      <c r="P36" s="25">
        <v>135.71299999999999</v>
      </c>
      <c r="Q36" s="25">
        <v>133</v>
      </c>
      <c r="R36" s="34">
        <v>2.0398496240601457E-2</v>
      </c>
    </row>
    <row r="37" spans="1:18" x14ac:dyDescent="0.15">
      <c r="A37" s="26">
        <v>30</v>
      </c>
      <c r="B37" s="25">
        <v>118028</v>
      </c>
      <c r="C37" s="25" t="s">
        <v>1096</v>
      </c>
      <c r="D37" s="25">
        <v>126.51</v>
      </c>
      <c r="E37" s="34">
        <v>-3.0000000000000001E-3</v>
      </c>
      <c r="F37" s="25">
        <v>9.31</v>
      </c>
      <c r="G37" s="25">
        <v>117.08</v>
      </c>
      <c r="H37" s="43">
        <v>8.0500000000000002E-2</v>
      </c>
      <c r="I37" s="57">
        <v>134.56</v>
      </c>
      <c r="J37" s="32">
        <v>47093</v>
      </c>
      <c r="K37" s="33">
        <v>4.9969999999999999</v>
      </c>
      <c r="L37" s="33">
        <v>8.2998999999999992</v>
      </c>
      <c r="M37" s="33">
        <v>2414.0812999999998</v>
      </c>
      <c r="N37" s="34">
        <v>2.2990804914391236E-2</v>
      </c>
      <c r="O37" s="34">
        <v>-1.0685E-2</v>
      </c>
      <c r="P37" s="25">
        <v>128.11199999999999</v>
      </c>
      <c r="Q37" s="25">
        <v>126.236</v>
      </c>
      <c r="R37" s="34">
        <v>1.4861053899046156E-2</v>
      </c>
    </row>
    <row r="38" spans="1:18" x14ac:dyDescent="0.15">
      <c r="A38" s="26">
        <v>31</v>
      </c>
      <c r="B38" s="25">
        <v>110052</v>
      </c>
      <c r="C38" s="25" t="s">
        <v>759</v>
      </c>
      <c r="D38" s="25">
        <v>138.31399999999999</v>
      </c>
      <c r="E38" s="34">
        <v>-8.5000000000000006E-3</v>
      </c>
      <c r="F38" s="25">
        <v>7.94</v>
      </c>
      <c r="G38" s="25">
        <v>127.96</v>
      </c>
      <c r="H38" s="43">
        <v>8.09E-2</v>
      </c>
      <c r="I38" s="57">
        <v>146.404</v>
      </c>
      <c r="J38" s="32">
        <v>45721</v>
      </c>
      <c r="K38" s="33">
        <v>1.238</v>
      </c>
      <c r="L38" s="33">
        <v>2.64188</v>
      </c>
      <c r="M38" s="33">
        <v>2073.6487000000002</v>
      </c>
      <c r="N38" s="34">
        <v>5.674870501089866E-2</v>
      </c>
      <c r="O38" s="34">
        <v>-0.13989200000000002</v>
      </c>
      <c r="P38" s="25">
        <v>139.6</v>
      </c>
      <c r="Q38" s="25">
        <v>138.15100000000001</v>
      </c>
      <c r="R38" s="34">
        <v>1.0488523427264253E-2</v>
      </c>
    </row>
    <row r="39" spans="1:18" x14ac:dyDescent="0.15">
      <c r="A39" s="26">
        <v>32</v>
      </c>
      <c r="B39" s="25">
        <v>123177</v>
      </c>
      <c r="C39" s="25" t="s">
        <v>1132</v>
      </c>
      <c r="D39" s="25">
        <v>149.499</v>
      </c>
      <c r="E39" s="34">
        <v>-1.47E-2</v>
      </c>
      <c r="F39" s="25">
        <v>13.28</v>
      </c>
      <c r="G39" s="25">
        <v>137.80000000000001</v>
      </c>
      <c r="H39" s="43">
        <v>8.4900000000000003E-2</v>
      </c>
      <c r="I39" s="57">
        <v>157.989</v>
      </c>
      <c r="J39" s="32">
        <v>47179</v>
      </c>
      <c r="K39" s="33">
        <v>5.2329999999999997</v>
      </c>
      <c r="L39" s="33">
        <v>2.4368310000000002</v>
      </c>
      <c r="M39" s="33">
        <v>5103.4223110000003</v>
      </c>
      <c r="N39" s="34">
        <v>0.14008699178142742</v>
      </c>
      <c r="O39" s="34">
        <v>-4.1611000000000002E-2</v>
      </c>
      <c r="P39" s="25">
        <v>152.428</v>
      </c>
      <c r="Q39" s="25">
        <v>149.30000000000001</v>
      </c>
      <c r="R39" s="34">
        <v>2.0951105157401111E-2</v>
      </c>
    </row>
    <row r="40" spans="1:18" x14ac:dyDescent="0.15">
      <c r="A40" s="26">
        <v>33</v>
      </c>
      <c r="B40" s="25">
        <v>110084</v>
      </c>
      <c r="C40" s="25" t="s">
        <v>79</v>
      </c>
      <c r="D40" s="25">
        <v>122.99</v>
      </c>
      <c r="E40" s="34">
        <v>1.5E-3</v>
      </c>
      <c r="F40" s="25">
        <v>7.18</v>
      </c>
      <c r="G40" s="25">
        <v>113.37</v>
      </c>
      <c r="H40" s="43">
        <v>8.4900000000000003E-2</v>
      </c>
      <c r="I40" s="57">
        <v>131.47999999999999</v>
      </c>
      <c r="J40" s="32">
        <v>46748</v>
      </c>
      <c r="K40" s="33">
        <v>4.0519999999999996</v>
      </c>
      <c r="L40" s="33">
        <v>9.15151</v>
      </c>
      <c r="M40" s="33">
        <v>2731.9569000000001</v>
      </c>
      <c r="N40" s="34">
        <v>2.4272319681752558E-2</v>
      </c>
      <c r="O40" s="34">
        <v>-1.7203E-2</v>
      </c>
      <c r="P40" s="25">
        <v>124.4</v>
      </c>
      <c r="Q40" s="25">
        <v>122.85</v>
      </c>
      <c r="R40" s="34">
        <v>1.261701261701271E-2</v>
      </c>
    </row>
    <row r="41" spans="1:18" x14ac:dyDescent="0.15">
      <c r="A41" s="26">
        <v>34</v>
      </c>
      <c r="B41" s="25">
        <v>123129</v>
      </c>
      <c r="C41" s="25" t="s">
        <v>1159</v>
      </c>
      <c r="D41" s="25">
        <v>139.99299999999999</v>
      </c>
      <c r="E41" s="34">
        <v>-1.2800000000000001E-2</v>
      </c>
      <c r="F41" s="25">
        <v>7.95</v>
      </c>
      <c r="G41" s="25">
        <v>128.55000000000001</v>
      </c>
      <c r="H41" s="43">
        <v>8.900000000000001E-2</v>
      </c>
      <c r="I41" s="57">
        <v>148.893</v>
      </c>
      <c r="J41" s="32">
        <v>46695</v>
      </c>
      <c r="K41" s="33">
        <v>3.907</v>
      </c>
      <c r="L41" s="33">
        <v>1.941565</v>
      </c>
      <c r="M41" s="33">
        <v>9202.7167485999998</v>
      </c>
      <c r="N41" s="34">
        <v>0.33857727096607165</v>
      </c>
      <c r="O41" s="34">
        <v>-4.6052999999999997E-2</v>
      </c>
      <c r="P41" s="25">
        <v>142.833</v>
      </c>
      <c r="Q41" s="25">
        <v>139.51499999999999</v>
      </c>
      <c r="R41" s="34">
        <v>2.3782388990431225E-2</v>
      </c>
    </row>
    <row r="42" spans="1:18" x14ac:dyDescent="0.15">
      <c r="A42" s="26">
        <v>35</v>
      </c>
      <c r="B42" s="25">
        <v>113628</v>
      </c>
      <c r="C42" s="25" t="s">
        <v>1006</v>
      </c>
      <c r="D42" s="25">
        <v>125.527</v>
      </c>
      <c r="E42" s="34">
        <v>-4.7999999999999996E-3</v>
      </c>
      <c r="F42" s="25">
        <v>12.94</v>
      </c>
      <c r="G42" s="25">
        <v>114.68</v>
      </c>
      <c r="H42" s="43">
        <v>9.4600000000000004E-2</v>
      </c>
      <c r="I42" s="57">
        <v>134.98699999999999</v>
      </c>
      <c r="J42" s="32">
        <v>46622</v>
      </c>
      <c r="K42" s="33">
        <v>3.7069999999999999</v>
      </c>
      <c r="L42" s="33">
        <v>4.1492800000000001</v>
      </c>
      <c r="M42" s="33">
        <v>1192.6056000000001</v>
      </c>
      <c r="N42" s="34">
        <v>2.2897441174342986E-2</v>
      </c>
      <c r="O42" s="34">
        <v>-1.1191E-2</v>
      </c>
      <c r="P42" s="25">
        <v>126.51600000000001</v>
      </c>
      <c r="Q42" s="25">
        <v>125.438</v>
      </c>
      <c r="R42" s="34">
        <v>8.5938870198823559E-3</v>
      </c>
    </row>
    <row r="43" spans="1:18" x14ac:dyDescent="0.15">
      <c r="A43" s="26">
        <v>36</v>
      </c>
      <c r="B43" s="25">
        <v>113576</v>
      </c>
      <c r="C43" s="25" t="s">
        <v>1070</v>
      </c>
      <c r="D43" s="25">
        <v>96.4</v>
      </c>
      <c r="E43" s="34">
        <v>-5.3E-3</v>
      </c>
      <c r="F43" s="25">
        <v>2.6</v>
      </c>
      <c r="G43" s="25">
        <v>87.69</v>
      </c>
      <c r="H43" s="43">
        <v>9.9299999999999999E-2</v>
      </c>
      <c r="I43" s="57">
        <v>106.33000000000001</v>
      </c>
      <c r="J43" s="32">
        <v>46122</v>
      </c>
      <c r="K43" s="33">
        <v>2.3370000000000002</v>
      </c>
      <c r="L43" s="33">
        <v>2.58474</v>
      </c>
      <c r="M43" s="33">
        <v>508.71440000000001</v>
      </c>
      <c r="N43" s="34">
        <v>2.0416445491423539E-2</v>
      </c>
      <c r="O43" s="34">
        <v>9.7776999999999989E-2</v>
      </c>
      <c r="P43" s="25">
        <v>97.188999999999993</v>
      </c>
      <c r="Q43" s="25">
        <v>96.301000000000002</v>
      </c>
      <c r="R43" s="34">
        <v>9.2210880468530029E-3</v>
      </c>
    </row>
    <row r="44" spans="1:18" x14ac:dyDescent="0.15">
      <c r="A44" s="26">
        <v>37</v>
      </c>
      <c r="B44" s="25">
        <v>123147</v>
      </c>
      <c r="C44" s="25" t="s">
        <v>437</v>
      </c>
      <c r="D44" s="25">
        <v>131.9</v>
      </c>
      <c r="E44" s="34">
        <v>-1.1000000000000001E-2</v>
      </c>
      <c r="F44" s="25">
        <v>7.78</v>
      </c>
      <c r="G44" s="25">
        <v>119.41</v>
      </c>
      <c r="H44" s="43">
        <v>0.10460000000000001</v>
      </c>
      <c r="I44" s="57">
        <v>142.36000000000001</v>
      </c>
      <c r="J44" s="32">
        <v>46904</v>
      </c>
      <c r="K44" s="33">
        <v>4.4790000000000001</v>
      </c>
      <c r="L44" s="33">
        <v>5.7046939999999999</v>
      </c>
      <c r="M44" s="33">
        <v>3592.0862936999997</v>
      </c>
      <c r="N44" s="34">
        <v>4.7738592675956849E-2</v>
      </c>
      <c r="O44" s="34">
        <v>-2.1604000000000002E-2</v>
      </c>
      <c r="P44" s="25">
        <v>134.709</v>
      </c>
      <c r="Q44" s="25">
        <v>131.43</v>
      </c>
      <c r="R44" s="34">
        <v>2.4948641862588421E-2</v>
      </c>
    </row>
    <row r="45" spans="1:18" x14ac:dyDescent="0.15">
      <c r="A45" s="26">
        <v>38</v>
      </c>
      <c r="B45" s="25">
        <v>110060</v>
      </c>
      <c r="C45" s="25" t="s">
        <v>1176</v>
      </c>
      <c r="D45" s="25">
        <v>134.774</v>
      </c>
      <c r="E45" s="34">
        <v>-7.7000000000000002E-3</v>
      </c>
      <c r="F45" s="25">
        <v>4.17</v>
      </c>
      <c r="G45" s="25">
        <v>121.82</v>
      </c>
      <c r="H45" s="43">
        <v>0.10630000000000001</v>
      </c>
      <c r="I45" s="57">
        <v>145.404</v>
      </c>
      <c r="J45" s="32">
        <v>45958</v>
      </c>
      <c r="K45" s="33">
        <v>1.8879999999999999</v>
      </c>
      <c r="L45" s="33">
        <v>5.6661799999999998</v>
      </c>
      <c r="M45" s="33">
        <v>5246.8197</v>
      </c>
      <c r="N45" s="34">
        <v>6.8706789508938257E-2</v>
      </c>
      <c r="O45" s="34">
        <v>-9.4863000000000003E-2</v>
      </c>
      <c r="P45" s="25">
        <v>136.5</v>
      </c>
      <c r="Q45" s="25">
        <v>134.29499999999999</v>
      </c>
      <c r="R45" s="34">
        <v>1.6419077404222143E-2</v>
      </c>
    </row>
    <row r="46" spans="1:18" x14ac:dyDescent="0.15">
      <c r="A46" s="26">
        <v>39</v>
      </c>
      <c r="B46" s="25">
        <v>123141</v>
      </c>
      <c r="C46" s="25" t="s">
        <v>209</v>
      </c>
      <c r="D46" s="25">
        <v>125.4</v>
      </c>
      <c r="E46" s="34">
        <v>-6.3E-3</v>
      </c>
      <c r="F46" s="25">
        <v>5.37</v>
      </c>
      <c r="G46" s="25">
        <v>113.22</v>
      </c>
      <c r="H46" s="43">
        <v>0.1076</v>
      </c>
      <c r="I46" s="57">
        <v>136.16</v>
      </c>
      <c r="J46" s="32">
        <v>46827</v>
      </c>
      <c r="K46" s="33">
        <v>4.2679999999999998</v>
      </c>
      <c r="L46" s="33">
        <v>3.2098330000000002</v>
      </c>
      <c r="M46" s="33">
        <v>1146.42768</v>
      </c>
      <c r="N46" s="34">
        <v>2.8481751253654111E-2</v>
      </c>
      <c r="O46" s="34">
        <v>-8.1349999999999999E-3</v>
      </c>
      <c r="P46" s="25">
        <v>126.746</v>
      </c>
      <c r="Q46" s="25">
        <v>125.08</v>
      </c>
      <c r="R46" s="34">
        <v>1.3319475535657155E-2</v>
      </c>
    </row>
    <row r="47" spans="1:18" x14ac:dyDescent="0.15">
      <c r="A47" s="26">
        <v>40</v>
      </c>
      <c r="B47" s="25">
        <v>113027</v>
      </c>
      <c r="C47" s="25" t="s">
        <v>1178</v>
      </c>
      <c r="D47" s="25">
        <v>139.17099999999999</v>
      </c>
      <c r="E47" s="34">
        <v>-1.7000000000000001E-3</v>
      </c>
      <c r="F47" s="25">
        <v>7.26</v>
      </c>
      <c r="G47" s="25">
        <v>124.52</v>
      </c>
      <c r="H47" s="43">
        <v>0.1177</v>
      </c>
      <c r="I47" s="57">
        <v>150.941</v>
      </c>
      <c r="J47" s="32">
        <v>45822</v>
      </c>
      <c r="K47" s="33">
        <v>1.5149999999999999</v>
      </c>
      <c r="L47" s="33">
        <v>2.3835500000000001</v>
      </c>
      <c r="M47" s="33">
        <v>1368.8937000000001</v>
      </c>
      <c r="N47" s="34">
        <v>4.1266412048316013E-2</v>
      </c>
      <c r="O47" s="34">
        <v>-0.135602</v>
      </c>
      <c r="P47" s="25">
        <v>139.87899999999999</v>
      </c>
      <c r="Q47" s="25">
        <v>138.93600000000001</v>
      </c>
      <c r="R47" s="34">
        <v>6.7872977486035553E-3</v>
      </c>
    </row>
    <row r="48" spans="1:18" x14ac:dyDescent="0.15">
      <c r="A48" s="26">
        <v>41</v>
      </c>
      <c r="B48" s="25">
        <v>128066</v>
      </c>
      <c r="C48" s="25" t="s">
        <v>1179</v>
      </c>
      <c r="D48" s="25">
        <v>119.90600000000001</v>
      </c>
      <c r="E48" s="34">
        <v>-1.0800000000000001E-2</v>
      </c>
      <c r="F48" s="25">
        <v>8.77</v>
      </c>
      <c r="G48" s="25">
        <v>107.07</v>
      </c>
      <c r="H48" s="43">
        <v>0.11990000000000001</v>
      </c>
      <c r="I48" s="57">
        <v>131.89600000000002</v>
      </c>
      <c r="J48" s="32">
        <v>45764</v>
      </c>
      <c r="K48" s="33">
        <v>1.3560000000000001</v>
      </c>
      <c r="L48" s="33">
        <v>4.6103620000000003</v>
      </c>
      <c r="M48" s="33">
        <v>2153.8131510000003</v>
      </c>
      <c r="N48" s="34">
        <v>3.896117823420913E-2</v>
      </c>
      <c r="O48" s="34">
        <v>-3.6947000000000001E-2</v>
      </c>
      <c r="P48" s="25">
        <v>121.649</v>
      </c>
      <c r="Q48" s="25">
        <v>119.8</v>
      </c>
      <c r="R48" s="34">
        <v>1.5434056761268813E-2</v>
      </c>
    </row>
    <row r="49" spans="1:18" x14ac:dyDescent="0.15">
      <c r="A49" s="26">
        <v>42</v>
      </c>
      <c r="B49" s="25">
        <v>123025</v>
      </c>
      <c r="C49" s="25" t="s">
        <v>1022</v>
      </c>
      <c r="D49" s="25">
        <v>203</v>
      </c>
      <c r="E49" s="34">
        <v>2.7300000000000001E-2</v>
      </c>
      <c r="F49" s="25">
        <v>48.79</v>
      </c>
      <c r="G49" s="25">
        <v>181.27</v>
      </c>
      <c r="H49" s="43">
        <v>0.11990000000000001</v>
      </c>
      <c r="I49" s="57">
        <v>214.99</v>
      </c>
      <c r="J49" s="32">
        <v>45745</v>
      </c>
      <c r="K49" s="33">
        <v>1.304</v>
      </c>
      <c r="L49" s="33">
        <v>3.0842489999999998</v>
      </c>
      <c r="M49" s="33">
        <v>32695.252357400001</v>
      </c>
      <c r="N49" s="34">
        <v>0.522202832651949</v>
      </c>
      <c r="O49" s="34">
        <v>-0.36005599999999999</v>
      </c>
      <c r="P49" s="25">
        <v>205.3</v>
      </c>
      <c r="Q49" s="25">
        <v>198.89</v>
      </c>
      <c r="R49" s="34">
        <v>3.2228870229775379E-2</v>
      </c>
    </row>
    <row r="50" spans="1:18" x14ac:dyDescent="0.15">
      <c r="A50" s="26">
        <v>43</v>
      </c>
      <c r="B50" s="25">
        <v>123050</v>
      </c>
      <c r="C50" s="25" t="s">
        <v>1048</v>
      </c>
      <c r="D50" s="25">
        <v>137.233</v>
      </c>
      <c r="E50" s="34">
        <v>1.7100000000000001E-2</v>
      </c>
      <c r="F50" s="25">
        <v>4.88</v>
      </c>
      <c r="G50" s="25">
        <v>122.34</v>
      </c>
      <c r="H50" s="43">
        <v>0.1217</v>
      </c>
      <c r="I50" s="57">
        <v>149.40299999999999</v>
      </c>
      <c r="J50" s="32">
        <v>46126</v>
      </c>
      <c r="K50" s="33">
        <v>2.3479999999999999</v>
      </c>
      <c r="L50" s="33">
        <v>3.7456649999999998</v>
      </c>
      <c r="M50" s="33">
        <v>6418.5564990000003</v>
      </c>
      <c r="N50" s="34">
        <v>0.12486763266537643</v>
      </c>
      <c r="O50" s="34">
        <v>-4.9715999999999996E-2</v>
      </c>
      <c r="P50" s="25">
        <v>137.88999999999999</v>
      </c>
      <c r="Q50" s="25">
        <v>135</v>
      </c>
      <c r="R50" s="34">
        <v>2.1407407407407306E-2</v>
      </c>
    </row>
    <row r="51" spans="1:18" x14ac:dyDescent="0.15">
      <c r="A51" s="26">
        <v>44</v>
      </c>
      <c r="B51" s="25">
        <v>123223</v>
      </c>
      <c r="C51" s="25" t="s">
        <v>1110</v>
      </c>
      <c r="D51" s="25">
        <v>190.62</v>
      </c>
      <c r="E51" s="34">
        <v>5.5099999999999996E-2</v>
      </c>
      <c r="F51" s="25">
        <v>21.85</v>
      </c>
      <c r="G51" s="25">
        <v>169.15</v>
      </c>
      <c r="H51" s="43">
        <v>0.12689999999999999</v>
      </c>
      <c r="I51" s="57">
        <v>203.31</v>
      </c>
      <c r="J51" s="32">
        <v>47376</v>
      </c>
      <c r="K51" s="33">
        <v>5.7729999999999997</v>
      </c>
      <c r="L51" s="33">
        <v>3.6</v>
      </c>
      <c r="M51" s="33">
        <v>211019.6008059</v>
      </c>
      <c r="N51" s="34">
        <v>3.0750475175436294</v>
      </c>
      <c r="O51" s="34">
        <v>-7.9814999999999997E-2</v>
      </c>
      <c r="P51" s="25">
        <v>197.3</v>
      </c>
      <c r="Q51" s="25">
        <v>177.57300000000001</v>
      </c>
      <c r="R51" s="34">
        <v>0.11109233948854839</v>
      </c>
    </row>
    <row r="52" spans="1:18" x14ac:dyDescent="0.15">
      <c r="A52" s="26">
        <v>45</v>
      </c>
      <c r="B52" s="25">
        <v>123099</v>
      </c>
      <c r="C52" s="25" t="s">
        <v>1199</v>
      </c>
      <c r="D52" s="25">
        <v>129.29599999999999</v>
      </c>
      <c r="E52" s="34">
        <v>-2.3E-3</v>
      </c>
      <c r="F52" s="25">
        <v>19.760000000000002</v>
      </c>
      <c r="G52" s="25">
        <v>114.73</v>
      </c>
      <c r="H52" s="43">
        <v>0.127</v>
      </c>
      <c r="I52" s="57">
        <v>141.99599999999998</v>
      </c>
      <c r="J52" s="32">
        <v>46427</v>
      </c>
      <c r="K52" s="33">
        <v>3.173</v>
      </c>
      <c r="L52" s="33">
        <v>5.3118489999999996</v>
      </c>
      <c r="M52" s="33">
        <v>7397.0376680000008</v>
      </c>
      <c r="N52" s="34">
        <v>0.10770280644923504</v>
      </c>
      <c r="O52" s="34">
        <v>-1.7204999999999998E-2</v>
      </c>
      <c r="P52" s="25">
        <v>130.452</v>
      </c>
      <c r="Q52" s="25">
        <v>128.71100000000001</v>
      </c>
      <c r="R52" s="34">
        <v>1.3526427422675492E-2</v>
      </c>
    </row>
    <row r="53" spans="1:18" x14ac:dyDescent="0.15">
      <c r="A53" s="26">
        <v>46</v>
      </c>
      <c r="B53" s="25">
        <v>127078</v>
      </c>
      <c r="C53" s="25" t="s">
        <v>738</v>
      </c>
      <c r="D53" s="25">
        <v>125.14</v>
      </c>
      <c r="E53" s="34">
        <v>7.000000000000001E-4</v>
      </c>
      <c r="F53" s="25">
        <v>7.2</v>
      </c>
      <c r="G53" s="25">
        <v>110.83</v>
      </c>
      <c r="H53" s="43">
        <v>0.12909999999999999</v>
      </c>
      <c r="I53" s="57">
        <v>138.05000000000001</v>
      </c>
      <c r="J53" s="32">
        <v>47101</v>
      </c>
      <c r="K53" s="33">
        <v>5.0190000000000001</v>
      </c>
      <c r="L53" s="33">
        <v>5.9997040000000004</v>
      </c>
      <c r="M53" s="33">
        <v>1882.4255401</v>
      </c>
      <c r="N53" s="34">
        <v>2.5072164655695971E-2</v>
      </c>
      <c r="O53" s="34">
        <v>-5.9979999999999999E-3</v>
      </c>
      <c r="P53" s="25">
        <v>125.5</v>
      </c>
      <c r="Q53" s="25">
        <v>123.8</v>
      </c>
      <c r="R53" s="34">
        <v>1.3731825525040412E-2</v>
      </c>
    </row>
    <row r="54" spans="1:18" x14ac:dyDescent="0.15">
      <c r="A54" s="26">
        <v>47</v>
      </c>
      <c r="B54" s="25">
        <v>128090</v>
      </c>
      <c r="C54" s="25" t="s">
        <v>61</v>
      </c>
      <c r="D54" s="25">
        <v>145.52000000000001</v>
      </c>
      <c r="E54" s="34">
        <v>-0.2</v>
      </c>
      <c r="F54" s="25">
        <v>4.2300000000000004</v>
      </c>
      <c r="G54" s="25">
        <v>128.13</v>
      </c>
      <c r="H54" s="43">
        <v>0.13570000000000002</v>
      </c>
      <c r="I54" s="57">
        <v>159.09</v>
      </c>
      <c r="J54" s="32">
        <v>46018</v>
      </c>
      <c r="K54" s="33">
        <v>2.052</v>
      </c>
      <c r="L54" s="33">
        <v>3.0946189999999998</v>
      </c>
      <c r="M54" s="33">
        <v>394718.04372459999</v>
      </c>
      <c r="N54" s="34">
        <v>8.7651046572557227</v>
      </c>
      <c r="O54" s="34">
        <v>-0.116732</v>
      </c>
      <c r="P54" s="25">
        <v>187.5</v>
      </c>
      <c r="Q54" s="25">
        <v>145.52000000000001</v>
      </c>
      <c r="R54" s="34">
        <v>0.28848268279274319</v>
      </c>
    </row>
    <row r="55" spans="1:18" x14ac:dyDescent="0.15">
      <c r="A55" s="26">
        <v>48</v>
      </c>
      <c r="B55" s="25">
        <v>123038</v>
      </c>
      <c r="C55" s="25" t="s">
        <v>1163</v>
      </c>
      <c r="D55" s="25">
        <v>156.935</v>
      </c>
      <c r="E55" s="34">
        <v>3.27E-2</v>
      </c>
      <c r="F55" s="25">
        <v>23.96</v>
      </c>
      <c r="G55" s="25">
        <v>137.72999999999999</v>
      </c>
      <c r="H55" s="43">
        <v>0.1394</v>
      </c>
      <c r="I55" s="57">
        <v>170.875</v>
      </c>
      <c r="J55" s="32">
        <v>46016</v>
      </c>
      <c r="K55" s="33">
        <v>2.0470000000000002</v>
      </c>
      <c r="L55" s="33">
        <v>1.4714469999999999</v>
      </c>
      <c r="M55" s="33">
        <v>167617.90174979999</v>
      </c>
      <c r="N55" s="34">
        <v>7.2586518095734363</v>
      </c>
      <c r="O55" s="34">
        <v>-0.13683799999999999</v>
      </c>
      <c r="P55" s="25">
        <v>169.55</v>
      </c>
      <c r="Q55" s="25">
        <v>153</v>
      </c>
      <c r="R55" s="34">
        <v>0.10816993464052295</v>
      </c>
    </row>
    <row r="56" spans="1:18" x14ac:dyDescent="0.15">
      <c r="A56" s="26">
        <v>49</v>
      </c>
      <c r="B56" s="25">
        <v>128121</v>
      </c>
      <c r="C56" s="25" t="s">
        <v>720</v>
      </c>
      <c r="D56" s="25">
        <v>125.449</v>
      </c>
      <c r="E56" s="34">
        <v>-2.9999999999999997E-4</v>
      </c>
      <c r="F56" s="25">
        <v>19.14</v>
      </c>
      <c r="G56" s="25">
        <v>109.77</v>
      </c>
      <c r="H56" s="43">
        <v>0.14279999999999998</v>
      </c>
      <c r="I56" s="57">
        <v>139.72899999999998</v>
      </c>
      <c r="J56" s="32">
        <v>46220</v>
      </c>
      <c r="K56" s="33">
        <v>2.605</v>
      </c>
      <c r="L56" s="33">
        <v>6.697871000000001</v>
      </c>
      <c r="M56" s="33">
        <v>2411.9681570000002</v>
      </c>
      <c r="N56" s="34">
        <v>2.8705663352766617E-2</v>
      </c>
      <c r="O56" s="34">
        <v>-4.5555000000000005E-2</v>
      </c>
      <c r="P56" s="25">
        <v>126.05</v>
      </c>
      <c r="Q56" s="25">
        <v>125.151</v>
      </c>
      <c r="R56" s="34">
        <v>7.1833225463639998E-3</v>
      </c>
    </row>
    <row r="57" spans="1:18" x14ac:dyDescent="0.15">
      <c r="A57" s="26">
        <v>50</v>
      </c>
      <c r="B57" s="25">
        <v>123188</v>
      </c>
      <c r="C57" s="25" t="s">
        <v>761</v>
      </c>
      <c r="D57" s="25">
        <v>134.07300000000001</v>
      </c>
      <c r="E57" s="34">
        <v>-1E-3</v>
      </c>
      <c r="F57" s="25">
        <v>13.61</v>
      </c>
      <c r="G57" s="25">
        <v>117.19</v>
      </c>
      <c r="H57" s="43">
        <v>0.14410000000000001</v>
      </c>
      <c r="I57" s="57">
        <v>148.483</v>
      </c>
      <c r="J57" s="32">
        <v>47212</v>
      </c>
      <c r="K57" s="33">
        <v>5.3230000000000004</v>
      </c>
      <c r="L57" s="33">
        <v>6.9495170000000002</v>
      </c>
      <c r="M57" s="33">
        <v>1048.3817735999999</v>
      </c>
      <c r="N57" s="34">
        <v>1.1251839099851288E-2</v>
      </c>
      <c r="O57" s="34">
        <v>-1.8713E-2</v>
      </c>
      <c r="P57" s="25">
        <v>134.999</v>
      </c>
      <c r="Q57" s="25">
        <v>133.69200000000001</v>
      </c>
      <c r="R57" s="34">
        <v>9.7762020165753222E-3</v>
      </c>
    </row>
    <row r="58" spans="1:18" x14ac:dyDescent="0.15">
      <c r="A58" s="26">
        <v>51</v>
      </c>
      <c r="B58" s="25">
        <v>123167</v>
      </c>
      <c r="C58" s="25" t="s">
        <v>724</v>
      </c>
      <c r="D58" s="25">
        <v>135.33000000000001</v>
      </c>
      <c r="E58" s="34">
        <v>5.5000000000000005E-3</v>
      </c>
      <c r="F58" s="25">
        <v>6.91</v>
      </c>
      <c r="G58" s="25">
        <v>117.95</v>
      </c>
      <c r="H58" s="43">
        <v>0.1474</v>
      </c>
      <c r="I58" s="57">
        <v>150.07000000000002</v>
      </c>
      <c r="J58" s="32">
        <v>47074</v>
      </c>
      <c r="K58" s="33">
        <v>4.9450000000000003</v>
      </c>
      <c r="L58" s="33">
        <v>3.9367960000000002</v>
      </c>
      <c r="M58" s="33">
        <v>4670.2168167</v>
      </c>
      <c r="N58" s="34">
        <v>8.7659714276518017E-2</v>
      </c>
      <c r="O58" s="34">
        <v>-2.2644000000000001E-2</v>
      </c>
      <c r="P58" s="25">
        <v>136.81399999999999</v>
      </c>
      <c r="Q58" s="25">
        <v>134.69999999999999</v>
      </c>
      <c r="R58" s="34">
        <v>1.5694135115070562E-2</v>
      </c>
    </row>
    <row r="59" spans="1:18" x14ac:dyDescent="0.15">
      <c r="A59" s="26">
        <v>52</v>
      </c>
      <c r="B59" s="25">
        <v>111017</v>
      </c>
      <c r="C59" s="25" t="s">
        <v>1115</v>
      </c>
      <c r="D59" s="25">
        <v>128.04</v>
      </c>
      <c r="E59" s="34">
        <v>8.3999999999999995E-3</v>
      </c>
      <c r="F59" s="25">
        <v>10.130000000000001</v>
      </c>
      <c r="G59" s="25">
        <v>111.55</v>
      </c>
      <c r="H59" s="43">
        <v>0.14779999999999999</v>
      </c>
      <c r="I59" s="57">
        <v>142.82</v>
      </c>
      <c r="J59" s="32">
        <v>47345</v>
      </c>
      <c r="K59" s="33">
        <v>5.6879999999999997</v>
      </c>
      <c r="L59" s="33">
        <v>8.6999999999999993</v>
      </c>
      <c r="M59" s="33">
        <v>3711.5454</v>
      </c>
      <c r="N59" s="34">
        <v>3.3318838940417331E-2</v>
      </c>
      <c r="O59" s="34">
        <v>-1.8863000000000001E-2</v>
      </c>
      <c r="P59" s="25">
        <v>129.49</v>
      </c>
      <c r="Q59" s="25">
        <v>126.501</v>
      </c>
      <c r="R59" s="34">
        <v>2.3628271713267122E-2</v>
      </c>
    </row>
    <row r="60" spans="1:18" x14ac:dyDescent="0.15">
      <c r="A60" s="26">
        <v>53</v>
      </c>
      <c r="B60" s="25">
        <v>123213</v>
      </c>
      <c r="C60" s="25" t="s">
        <v>1119</v>
      </c>
      <c r="D60" s="25">
        <v>128.51</v>
      </c>
      <c r="E60" s="34">
        <v>2.4700000000000003E-2</v>
      </c>
      <c r="F60" s="25">
        <v>10.3</v>
      </c>
      <c r="G60" s="25">
        <v>111.26</v>
      </c>
      <c r="H60" s="43">
        <v>0.155</v>
      </c>
      <c r="I60" s="57">
        <v>144.01</v>
      </c>
      <c r="J60" s="32">
        <v>47327</v>
      </c>
      <c r="K60" s="33">
        <v>5.6379999999999999</v>
      </c>
      <c r="L60" s="33">
        <v>10</v>
      </c>
      <c r="M60" s="33">
        <v>10388.111234600001</v>
      </c>
      <c r="N60" s="34">
        <v>8.0835041900241239E-2</v>
      </c>
      <c r="O60" s="34">
        <v>-1.6324999999999999E-2</v>
      </c>
      <c r="P60" s="25">
        <v>129.18</v>
      </c>
      <c r="Q60" s="25">
        <v>125.173</v>
      </c>
      <c r="R60" s="34">
        <v>3.2011695812994852E-2</v>
      </c>
    </row>
    <row r="61" spans="1:18" x14ac:dyDescent="0.15">
      <c r="A61" s="26">
        <v>54</v>
      </c>
      <c r="B61" s="25">
        <v>111012</v>
      </c>
      <c r="C61" s="25" t="s">
        <v>747</v>
      </c>
      <c r="D61" s="25">
        <v>123.736</v>
      </c>
      <c r="E61" s="34">
        <v>2.5999999999999999E-3</v>
      </c>
      <c r="F61" s="25">
        <v>13.73</v>
      </c>
      <c r="G61" s="25">
        <v>106.92</v>
      </c>
      <c r="H61" s="43">
        <v>0.1573</v>
      </c>
      <c r="I61" s="57">
        <v>139.46600000000001</v>
      </c>
      <c r="J61" s="32">
        <v>47122</v>
      </c>
      <c r="K61" s="33">
        <v>5.077</v>
      </c>
      <c r="L61" s="33">
        <v>4.2877400000000003</v>
      </c>
      <c r="M61" s="33">
        <v>1092.3126999999999</v>
      </c>
      <c r="N61" s="34">
        <v>2.0588393862300439E-2</v>
      </c>
      <c r="O61" s="34">
        <v>-3.6670000000000001E-3</v>
      </c>
      <c r="P61" s="25">
        <v>124</v>
      </c>
      <c r="Q61" s="25">
        <v>122.75</v>
      </c>
      <c r="R61" s="34">
        <v>1.0183299389002037E-2</v>
      </c>
    </row>
    <row r="62" spans="1:18" x14ac:dyDescent="0.15">
      <c r="A62" s="26">
        <v>55</v>
      </c>
      <c r="B62" s="25">
        <v>110074</v>
      </c>
      <c r="C62" s="25" t="s">
        <v>746</v>
      </c>
      <c r="D62" s="25">
        <v>131.71600000000001</v>
      </c>
      <c r="E62" s="34">
        <v>-2.0000000000000001E-4</v>
      </c>
      <c r="F62" s="25">
        <v>3.57</v>
      </c>
      <c r="G62" s="25">
        <v>113.73</v>
      </c>
      <c r="H62" s="43">
        <v>0.15810000000000002</v>
      </c>
      <c r="I62" s="57">
        <v>147.52600000000001</v>
      </c>
      <c r="J62" s="32">
        <v>46253</v>
      </c>
      <c r="K62" s="33">
        <v>2.6960000000000002</v>
      </c>
      <c r="L62" s="33">
        <v>5.09354</v>
      </c>
      <c r="M62" s="33">
        <v>1371.7753</v>
      </c>
      <c r="N62" s="34">
        <v>2.0446770588641919E-2</v>
      </c>
      <c r="O62" s="34">
        <v>-4.8834999999999996E-2</v>
      </c>
      <c r="P62" s="25">
        <v>132.744</v>
      </c>
      <c r="Q62" s="25">
        <v>131.50399999999999</v>
      </c>
      <c r="R62" s="34">
        <v>9.4293709697044134E-3</v>
      </c>
    </row>
    <row r="63" spans="1:18" x14ac:dyDescent="0.15">
      <c r="A63" s="26">
        <v>56</v>
      </c>
      <c r="B63" s="25">
        <v>113651</v>
      </c>
      <c r="C63" s="25" t="s">
        <v>689</v>
      </c>
      <c r="D63" s="25">
        <v>126.78100000000001</v>
      </c>
      <c r="E63" s="34">
        <v>3.0999999999999999E-3</v>
      </c>
      <c r="F63" s="25">
        <v>16.13</v>
      </c>
      <c r="G63" s="25">
        <v>109.3</v>
      </c>
      <c r="H63" s="43">
        <v>0.15990000000000001</v>
      </c>
      <c r="I63" s="57">
        <v>142.77100000000002</v>
      </c>
      <c r="J63" s="32">
        <v>46954</v>
      </c>
      <c r="K63" s="33">
        <v>4.6159999999999997</v>
      </c>
      <c r="L63" s="33">
        <v>6.0994799999999998</v>
      </c>
      <c r="M63" s="33">
        <v>2713.9247</v>
      </c>
      <c r="N63" s="34">
        <v>3.509544948726525E-2</v>
      </c>
      <c r="O63" s="34">
        <v>-1.7911E-2</v>
      </c>
      <c r="P63" s="25">
        <v>127.501</v>
      </c>
      <c r="Q63" s="25">
        <v>125.764</v>
      </c>
      <c r="R63" s="34">
        <v>1.3811583601030573E-2</v>
      </c>
    </row>
    <row r="64" spans="1:18" x14ac:dyDescent="0.15">
      <c r="A64" s="26">
        <v>57</v>
      </c>
      <c r="B64" s="25">
        <v>127028</v>
      </c>
      <c r="C64" s="25" t="s">
        <v>46</v>
      </c>
      <c r="D64" s="25">
        <v>134.38999999999999</v>
      </c>
      <c r="E64" s="34">
        <v>3.8E-3</v>
      </c>
      <c r="F64" s="25">
        <v>9.98</v>
      </c>
      <c r="G64" s="25">
        <v>115.83</v>
      </c>
      <c r="H64" s="43">
        <v>0.16020000000000001</v>
      </c>
      <c r="I64" s="57">
        <v>150.41</v>
      </c>
      <c r="J64" s="32">
        <v>46392</v>
      </c>
      <c r="K64" s="33">
        <v>3.077</v>
      </c>
      <c r="L64" s="33">
        <v>4.0626790000000002</v>
      </c>
      <c r="M64" s="33">
        <v>1703.2736546000001</v>
      </c>
      <c r="N64" s="34">
        <v>3.1196434882155469E-2</v>
      </c>
      <c r="O64" s="34">
        <v>-5.7837E-2</v>
      </c>
      <c r="P64" s="25">
        <v>135.48699999999999</v>
      </c>
      <c r="Q64" s="25">
        <v>133.77199999999999</v>
      </c>
      <c r="R64" s="34">
        <v>1.2820321143438115E-2</v>
      </c>
    </row>
    <row r="65" spans="1:18" x14ac:dyDescent="0.15">
      <c r="A65" s="26">
        <v>58</v>
      </c>
      <c r="B65" s="25">
        <v>123160</v>
      </c>
      <c r="C65" s="25" t="s">
        <v>470</v>
      </c>
      <c r="D65" s="25">
        <v>122.523</v>
      </c>
      <c r="E65" s="34">
        <v>-6.3E-3</v>
      </c>
      <c r="F65" s="25">
        <v>19.82</v>
      </c>
      <c r="G65" s="25">
        <v>105.55</v>
      </c>
      <c r="H65" s="43">
        <v>0.16079999999999997</v>
      </c>
      <c r="I65" s="57">
        <v>138.60300000000001</v>
      </c>
      <c r="J65" s="32">
        <v>47024</v>
      </c>
      <c r="K65" s="33">
        <v>4.8079999999999998</v>
      </c>
      <c r="L65" s="33">
        <v>3.3488739999999999</v>
      </c>
      <c r="M65" s="33">
        <v>1024.0695564</v>
      </c>
      <c r="N65" s="34">
        <v>2.4958186511246674E-2</v>
      </c>
      <c r="O65" s="34">
        <v>-2.6510000000000001E-3</v>
      </c>
      <c r="P65" s="25">
        <v>124.279</v>
      </c>
      <c r="Q65" s="25">
        <v>122.5</v>
      </c>
      <c r="R65" s="34">
        <v>1.4522448979591807E-2</v>
      </c>
    </row>
    <row r="66" spans="1:18" x14ac:dyDescent="0.15">
      <c r="A66" s="26">
        <v>59</v>
      </c>
      <c r="B66" s="25">
        <v>113532</v>
      </c>
      <c r="C66" s="25" t="s">
        <v>1181</v>
      </c>
      <c r="D66" s="25">
        <v>119.021</v>
      </c>
      <c r="E66" s="34">
        <v>1E-4</v>
      </c>
      <c r="F66" s="25">
        <v>6.15</v>
      </c>
      <c r="G66" s="25">
        <v>102.44</v>
      </c>
      <c r="H66" s="43">
        <v>0.16190000000000002</v>
      </c>
      <c r="I66" s="57">
        <v>135.21100000000001</v>
      </c>
      <c r="J66" s="32">
        <v>45749</v>
      </c>
      <c r="K66" s="33">
        <v>1.3149999999999999</v>
      </c>
      <c r="L66" s="33">
        <v>4.5847199999999999</v>
      </c>
      <c r="M66" s="33">
        <v>1250.8532</v>
      </c>
      <c r="N66" s="34">
        <v>2.2922919628588573E-2</v>
      </c>
      <c r="O66" s="34">
        <v>-6.0060000000000002E-2</v>
      </c>
      <c r="P66" s="25">
        <v>119.82599999999999</v>
      </c>
      <c r="Q66" s="25">
        <v>118.718</v>
      </c>
      <c r="R66" s="34">
        <v>9.3330413248200773E-3</v>
      </c>
    </row>
    <row r="67" spans="1:18" x14ac:dyDescent="0.15">
      <c r="A67" s="26">
        <v>60</v>
      </c>
      <c r="B67" s="25">
        <v>113546</v>
      </c>
      <c r="C67" s="25" t="s">
        <v>51</v>
      </c>
      <c r="D67" s="25">
        <v>128.57499999999999</v>
      </c>
      <c r="E67" s="34">
        <v>-9.4999999999999998E-3</v>
      </c>
      <c r="F67" s="25">
        <v>13.72</v>
      </c>
      <c r="G67" s="25">
        <v>109.99</v>
      </c>
      <c r="H67" s="43">
        <v>0.16899999999999998</v>
      </c>
      <c r="I67" s="57">
        <v>145.47499999999999</v>
      </c>
      <c r="J67" s="32">
        <v>45953</v>
      </c>
      <c r="K67" s="33">
        <v>1.8740000000000001</v>
      </c>
      <c r="L67" s="33">
        <v>2.29569</v>
      </c>
      <c r="M67" s="33">
        <v>1835.6094000000001</v>
      </c>
      <c r="N67" s="34">
        <v>6.2188559556116435E-2</v>
      </c>
      <c r="O67" s="34">
        <v>-4.9454000000000005E-2</v>
      </c>
      <c r="P67" s="25">
        <v>130.417</v>
      </c>
      <c r="Q67" s="25">
        <v>128.38</v>
      </c>
      <c r="R67" s="34">
        <v>1.5866957470010955E-2</v>
      </c>
    </row>
    <row r="68" spans="1:18" x14ac:dyDescent="0.15">
      <c r="A68" s="26">
        <v>61</v>
      </c>
      <c r="B68" s="25">
        <v>128130</v>
      </c>
      <c r="C68" s="25" t="s">
        <v>1167</v>
      </c>
      <c r="D68" s="25">
        <v>117.748</v>
      </c>
      <c r="E68" s="34">
        <v>-4.7999999999999996E-3</v>
      </c>
      <c r="F68" s="25">
        <v>3.4</v>
      </c>
      <c r="G68" s="25">
        <v>100.59</v>
      </c>
      <c r="H68" s="43">
        <v>0.17059999999999997</v>
      </c>
      <c r="I68" s="57">
        <v>134.80799999999999</v>
      </c>
      <c r="J68" s="32">
        <v>46265</v>
      </c>
      <c r="K68" s="33">
        <v>2.7290000000000001</v>
      </c>
      <c r="L68" s="33">
        <v>9.9856759999999998</v>
      </c>
      <c r="M68" s="33">
        <v>2012.1535577</v>
      </c>
      <c r="N68" s="34">
        <v>1.7113156069351352E-2</v>
      </c>
      <c r="O68" s="34">
        <v>-1.4215E-2</v>
      </c>
      <c r="P68" s="25">
        <v>118.872</v>
      </c>
      <c r="Q68" s="25">
        <v>117.459</v>
      </c>
      <c r="R68" s="34">
        <v>1.2029729522641915E-2</v>
      </c>
    </row>
    <row r="69" spans="1:18" x14ac:dyDescent="0.15">
      <c r="A69" s="26">
        <v>62</v>
      </c>
      <c r="B69" s="25">
        <v>113561</v>
      </c>
      <c r="C69" s="25" t="s">
        <v>1002</v>
      </c>
      <c r="D69" s="25">
        <v>134.26300000000001</v>
      </c>
      <c r="E69" s="34">
        <v>-1.3600000000000001E-2</v>
      </c>
      <c r="F69" s="25">
        <v>9.8800000000000008</v>
      </c>
      <c r="G69" s="25">
        <v>114.68</v>
      </c>
      <c r="H69" s="43">
        <v>0.17079999999999998</v>
      </c>
      <c r="I69" s="57">
        <v>151.34300000000002</v>
      </c>
      <c r="J69" s="32">
        <v>46022</v>
      </c>
      <c r="K69" s="33">
        <v>2.0630000000000002</v>
      </c>
      <c r="L69" s="33">
        <v>1.3788199999999999</v>
      </c>
      <c r="M69" s="33">
        <v>1740.2438</v>
      </c>
      <c r="N69" s="34">
        <v>9.4003965395837372E-2</v>
      </c>
      <c r="O69" s="34">
        <v>-6.9875999999999994E-2</v>
      </c>
      <c r="P69" s="25">
        <v>136.47399999999999</v>
      </c>
      <c r="Q69" s="25">
        <v>133.934</v>
      </c>
      <c r="R69" s="34">
        <v>1.8964564636313349E-2</v>
      </c>
    </row>
    <row r="70" spans="1:18" x14ac:dyDescent="0.15">
      <c r="A70" s="26">
        <v>63</v>
      </c>
      <c r="B70" s="25">
        <v>123112</v>
      </c>
      <c r="C70" s="25" t="s">
        <v>63</v>
      </c>
      <c r="D70" s="25">
        <v>141.863</v>
      </c>
      <c r="E70" s="34">
        <v>-5.0000000000000001E-3</v>
      </c>
      <c r="F70" s="25">
        <v>8.4600000000000009</v>
      </c>
      <c r="G70" s="25">
        <v>120.69</v>
      </c>
      <c r="H70" s="43">
        <v>0.1754</v>
      </c>
      <c r="I70" s="57">
        <v>159.40299999999999</v>
      </c>
      <c r="J70" s="32">
        <v>46485</v>
      </c>
      <c r="K70" s="33">
        <v>3.3319999999999999</v>
      </c>
      <c r="L70" s="33">
        <v>2.265339</v>
      </c>
      <c r="M70" s="33">
        <v>641.94593099999997</v>
      </c>
      <c r="N70" s="34">
        <v>1.9975428709813767E-2</v>
      </c>
      <c r="O70" s="34">
        <v>-4.2062999999999996E-2</v>
      </c>
      <c r="P70" s="25">
        <v>143.72900000000001</v>
      </c>
      <c r="Q70" s="25">
        <v>141.63</v>
      </c>
      <c r="R70" s="34">
        <v>1.4820306432253181E-2</v>
      </c>
    </row>
    <row r="71" spans="1:18" x14ac:dyDescent="0.15">
      <c r="A71" s="26">
        <v>64</v>
      </c>
      <c r="B71" s="25">
        <v>123059</v>
      </c>
      <c r="C71" s="25" t="s">
        <v>739</v>
      </c>
      <c r="D71" s="25">
        <v>135.25399999999999</v>
      </c>
      <c r="E71" s="34">
        <v>4.3E-3</v>
      </c>
      <c r="F71" s="25">
        <v>9.4499999999999993</v>
      </c>
      <c r="G71" s="25">
        <v>114.81</v>
      </c>
      <c r="H71" s="43">
        <v>0.17809999999999998</v>
      </c>
      <c r="I71" s="57">
        <v>153.06399999999999</v>
      </c>
      <c r="J71" s="32">
        <v>46218</v>
      </c>
      <c r="K71" s="33">
        <v>2.6</v>
      </c>
      <c r="L71" s="33">
        <v>3.907365</v>
      </c>
      <c r="M71" s="33">
        <v>2726.1003609999998</v>
      </c>
      <c r="N71" s="34">
        <v>5.1583135871034885E-2</v>
      </c>
      <c r="O71" s="34">
        <v>-3.9501000000000001E-2</v>
      </c>
      <c r="P71" s="25">
        <v>135.71600000000001</v>
      </c>
      <c r="Q71" s="25">
        <v>134.12</v>
      </c>
      <c r="R71" s="34">
        <v>1.1899791231732803E-2</v>
      </c>
    </row>
    <row r="72" spans="1:18" x14ac:dyDescent="0.15">
      <c r="A72" s="26">
        <v>65</v>
      </c>
      <c r="B72" s="25">
        <v>123229</v>
      </c>
      <c r="C72" s="25" t="s">
        <v>1100</v>
      </c>
      <c r="D72" s="25">
        <v>124.095</v>
      </c>
      <c r="E72" s="34">
        <v>-2.0999999999999999E-3</v>
      </c>
      <c r="F72" s="25">
        <v>10.15</v>
      </c>
      <c r="G72" s="25">
        <v>105.32</v>
      </c>
      <c r="H72" s="43">
        <v>0.17829999999999999</v>
      </c>
      <c r="I72" s="57">
        <v>141.92500000000001</v>
      </c>
      <c r="J72" s="32">
        <v>47414</v>
      </c>
      <c r="K72" s="33">
        <v>5.8769999999999998</v>
      </c>
      <c r="L72" s="33">
        <v>5</v>
      </c>
      <c r="M72" s="33">
        <v>1576.8139005</v>
      </c>
      <c r="N72" s="34">
        <v>2.5413012619364198E-2</v>
      </c>
      <c r="O72" s="34">
        <v>-4.2209999999999999E-3</v>
      </c>
      <c r="P72" s="25">
        <v>124.8</v>
      </c>
      <c r="Q72" s="25">
        <v>123.901</v>
      </c>
      <c r="R72" s="34">
        <v>7.2557929314533455E-3</v>
      </c>
    </row>
    <row r="73" spans="1:18" x14ac:dyDescent="0.15">
      <c r="A73" s="26">
        <v>66</v>
      </c>
      <c r="B73" s="25">
        <v>111015</v>
      </c>
      <c r="C73" s="25" t="s">
        <v>1028</v>
      </c>
      <c r="D73" s="25">
        <v>128.203</v>
      </c>
      <c r="E73" s="34">
        <v>-1.8100000000000002E-2</v>
      </c>
      <c r="F73" s="25">
        <v>24.95</v>
      </c>
      <c r="G73" s="25">
        <v>108.78</v>
      </c>
      <c r="H73" s="43">
        <v>0.17859999999999998</v>
      </c>
      <c r="I73" s="57">
        <v>146.06299999999999</v>
      </c>
      <c r="J73" s="32">
        <v>47305</v>
      </c>
      <c r="K73" s="33">
        <v>5.5780000000000003</v>
      </c>
      <c r="L73" s="33">
        <v>6.9</v>
      </c>
      <c r="M73" s="33">
        <v>3487.0895</v>
      </c>
      <c r="N73" s="34">
        <v>3.9419926979483509E-2</v>
      </c>
      <c r="O73" s="34">
        <v>-1.2102999999999999E-2</v>
      </c>
      <c r="P73" s="25">
        <v>130.959</v>
      </c>
      <c r="Q73" s="25">
        <v>127.527</v>
      </c>
      <c r="R73" s="34">
        <v>2.691194805805831E-2</v>
      </c>
    </row>
    <row r="74" spans="1:18" x14ac:dyDescent="0.15">
      <c r="A74" s="26">
        <v>67</v>
      </c>
      <c r="B74" s="25">
        <v>123063</v>
      </c>
      <c r="C74" s="25" t="s">
        <v>679</v>
      </c>
      <c r="D74" s="25">
        <v>121.78</v>
      </c>
      <c r="E74" s="34">
        <v>-7.8000000000000005E-3</v>
      </c>
      <c r="F74" s="25">
        <v>4.63</v>
      </c>
      <c r="G74" s="25">
        <v>103.24</v>
      </c>
      <c r="H74" s="43">
        <v>0.17960000000000001</v>
      </c>
      <c r="I74" s="57">
        <v>139.74</v>
      </c>
      <c r="J74" s="32">
        <v>46231</v>
      </c>
      <c r="K74" s="33">
        <v>2.6360000000000001</v>
      </c>
      <c r="L74" s="33">
        <v>6.345504</v>
      </c>
      <c r="M74" s="33">
        <v>972.20982100000003</v>
      </c>
      <c r="N74" s="34">
        <v>1.2581079653079275E-2</v>
      </c>
      <c r="O74" s="34">
        <v>7.9430000000000004E-3</v>
      </c>
      <c r="P74" s="25">
        <v>122.952</v>
      </c>
      <c r="Q74" s="25">
        <v>121.661</v>
      </c>
      <c r="R74" s="34">
        <v>1.0611453136173439E-2</v>
      </c>
    </row>
    <row r="75" spans="1:18" x14ac:dyDescent="0.15">
      <c r="A75" s="26">
        <v>68</v>
      </c>
      <c r="B75" s="25">
        <v>111005</v>
      </c>
      <c r="C75" s="25" t="s">
        <v>694</v>
      </c>
      <c r="D75" s="25">
        <v>122.06699999999999</v>
      </c>
      <c r="E75" s="34">
        <v>-8.8999999999999999E-3</v>
      </c>
      <c r="F75" s="25">
        <v>15.85</v>
      </c>
      <c r="G75" s="25">
        <v>102.46</v>
      </c>
      <c r="H75" s="43">
        <v>0.19140000000000001</v>
      </c>
      <c r="I75" s="57">
        <v>141.20699999999999</v>
      </c>
      <c r="J75" s="32">
        <v>46927</v>
      </c>
      <c r="K75" s="33">
        <v>4.5419999999999998</v>
      </c>
      <c r="L75" s="33">
        <v>5.6994999999999996</v>
      </c>
      <c r="M75" s="33">
        <v>934.88310000000001</v>
      </c>
      <c r="N75" s="34">
        <v>1.3437617656965878E-2</v>
      </c>
      <c r="O75" s="34">
        <v>-1.6961E-2</v>
      </c>
      <c r="P75" s="25">
        <v>123.574</v>
      </c>
      <c r="Q75" s="25">
        <v>121.8</v>
      </c>
      <c r="R75" s="34">
        <v>1.45648604269294E-2</v>
      </c>
    </row>
    <row r="76" spans="1:18" x14ac:dyDescent="0.15">
      <c r="A76" s="26">
        <v>69</v>
      </c>
      <c r="B76" s="25">
        <v>123192</v>
      </c>
      <c r="C76" s="25" t="s">
        <v>1013</v>
      </c>
      <c r="D76" s="25">
        <v>141.19999999999999</v>
      </c>
      <c r="E76" s="34">
        <v>-8.3999999999999995E-3</v>
      </c>
      <c r="F76" s="25">
        <v>52.03</v>
      </c>
      <c r="G76" s="25">
        <v>118.14</v>
      </c>
      <c r="H76" s="43">
        <v>0.19519999999999998</v>
      </c>
      <c r="I76" s="57">
        <v>160.72</v>
      </c>
      <c r="J76" s="32">
        <v>47221</v>
      </c>
      <c r="K76" s="33">
        <v>5.3479999999999999</v>
      </c>
      <c r="L76" s="33">
        <v>7.2421920000000002</v>
      </c>
      <c r="M76" s="33">
        <v>1482.6001659000001</v>
      </c>
      <c r="N76" s="34">
        <v>1.4498374490664127E-2</v>
      </c>
      <c r="O76" s="34">
        <v>-3.0001000000000003E-2</v>
      </c>
      <c r="P76" s="25">
        <v>142.99</v>
      </c>
      <c r="Q76" s="25">
        <v>141</v>
      </c>
      <c r="R76" s="34">
        <v>1.4113475177305029E-2</v>
      </c>
    </row>
    <row r="77" spans="1:18" x14ac:dyDescent="0.15">
      <c r="A77" s="26">
        <v>70</v>
      </c>
      <c r="B77" s="25">
        <v>113667</v>
      </c>
      <c r="C77" s="25" t="s">
        <v>1131</v>
      </c>
      <c r="D77" s="25">
        <v>129.65199999999999</v>
      </c>
      <c r="E77" s="34">
        <v>4.3E-3</v>
      </c>
      <c r="F77" s="25">
        <v>10.3</v>
      </c>
      <c r="G77" s="25">
        <v>108.35</v>
      </c>
      <c r="H77" s="43">
        <v>0.1966</v>
      </c>
      <c r="I77" s="57">
        <v>149.31199999999998</v>
      </c>
      <c r="J77" s="32">
        <v>47194</v>
      </c>
      <c r="K77" s="33">
        <v>5.274</v>
      </c>
      <c r="L77" s="33">
        <v>5.69984</v>
      </c>
      <c r="M77" s="33">
        <v>8963.3855000000003</v>
      </c>
      <c r="N77" s="34">
        <v>0.12129145051268513</v>
      </c>
      <c r="O77" s="34">
        <v>-1.4341E-2</v>
      </c>
      <c r="P77" s="25">
        <v>132.84899999999999</v>
      </c>
      <c r="Q77" s="25">
        <v>129.19999999999999</v>
      </c>
      <c r="R77" s="34">
        <v>2.8243034055727565E-2</v>
      </c>
    </row>
    <row r="78" spans="1:18" x14ac:dyDescent="0.15">
      <c r="A78" s="26">
        <v>71</v>
      </c>
      <c r="B78" s="25">
        <v>113664</v>
      </c>
      <c r="C78" s="25" t="s">
        <v>737</v>
      </c>
      <c r="D78" s="25">
        <v>124.092</v>
      </c>
      <c r="E78" s="34">
        <v>-2.8999999999999998E-3</v>
      </c>
      <c r="F78" s="25">
        <v>22.28</v>
      </c>
      <c r="G78" s="25">
        <v>103.32</v>
      </c>
      <c r="H78" s="43">
        <v>0.20100000000000001</v>
      </c>
      <c r="I78" s="57">
        <v>144.19200000000001</v>
      </c>
      <c r="J78" s="32">
        <v>47092</v>
      </c>
      <c r="K78" s="33">
        <v>4.9950000000000001</v>
      </c>
      <c r="L78" s="33">
        <v>4.4995399999999997</v>
      </c>
      <c r="M78" s="33">
        <v>830.03200000000004</v>
      </c>
      <c r="N78" s="34">
        <v>1.4865616843233951E-2</v>
      </c>
      <c r="O78" s="34">
        <v>-5.7999999999999996E-3</v>
      </c>
      <c r="P78" s="25">
        <v>125.15</v>
      </c>
      <c r="Q78" s="25">
        <v>123.886</v>
      </c>
      <c r="R78" s="34">
        <v>1.0202928498781219E-2</v>
      </c>
    </row>
    <row r="79" spans="1:18" x14ac:dyDescent="0.15">
      <c r="A79" s="26">
        <v>72</v>
      </c>
      <c r="B79" s="25">
        <v>113524</v>
      </c>
      <c r="C79" s="25" t="s">
        <v>1000</v>
      </c>
      <c r="D79" s="25">
        <v>125.542</v>
      </c>
      <c r="E79" s="34">
        <v>2.9999999999999997E-4</v>
      </c>
      <c r="F79" s="25">
        <v>13.53</v>
      </c>
      <c r="G79" s="25">
        <v>104.29</v>
      </c>
      <c r="H79" s="43">
        <v>0.20379999999999998</v>
      </c>
      <c r="I79" s="57">
        <v>145.922</v>
      </c>
      <c r="J79" s="32">
        <v>45640</v>
      </c>
      <c r="K79" s="33">
        <v>1.016</v>
      </c>
      <c r="L79" s="33">
        <v>3.29697</v>
      </c>
      <c r="M79" s="33">
        <v>1315.0261</v>
      </c>
      <c r="N79" s="34">
        <v>3.1770959729941983E-2</v>
      </c>
      <c r="O79" s="34">
        <v>-8.5228999999999999E-2</v>
      </c>
      <c r="P79" s="25">
        <v>126.47799999999999</v>
      </c>
      <c r="Q79" s="25">
        <v>125.333</v>
      </c>
      <c r="R79" s="34">
        <v>9.1356625948472957E-3</v>
      </c>
    </row>
    <row r="80" spans="1:18" x14ac:dyDescent="0.15">
      <c r="A80" s="26">
        <v>73</v>
      </c>
      <c r="B80" s="25">
        <v>123052</v>
      </c>
      <c r="C80" s="25" t="s">
        <v>210</v>
      </c>
      <c r="D80" s="25">
        <v>144.56</v>
      </c>
      <c r="E80" s="34">
        <v>-8.6999999999999994E-3</v>
      </c>
      <c r="F80" s="25">
        <v>7.09</v>
      </c>
      <c r="G80" s="25">
        <v>120.03</v>
      </c>
      <c r="H80" s="43">
        <v>0.20440000000000003</v>
      </c>
      <c r="I80" s="57">
        <v>165</v>
      </c>
      <c r="J80" s="32">
        <v>46178</v>
      </c>
      <c r="K80" s="33">
        <v>2.4900000000000002</v>
      </c>
      <c r="L80" s="33">
        <v>1.5017990000000001</v>
      </c>
      <c r="M80" s="33">
        <v>985.23309499999993</v>
      </c>
      <c r="N80" s="34">
        <v>4.5381520363870782E-2</v>
      </c>
      <c r="O80" s="34">
        <v>-5.9309000000000001E-2</v>
      </c>
      <c r="P80" s="25">
        <v>145.94999999999999</v>
      </c>
      <c r="Q80" s="25">
        <v>144.4</v>
      </c>
      <c r="R80" s="34">
        <v>1.0734072022160547E-2</v>
      </c>
    </row>
    <row r="81" spans="1:18" x14ac:dyDescent="0.15">
      <c r="A81" s="26">
        <v>74</v>
      </c>
      <c r="B81" s="25">
        <v>127088</v>
      </c>
      <c r="C81" s="25" t="s">
        <v>1030</v>
      </c>
      <c r="D81" s="25">
        <v>131.6</v>
      </c>
      <c r="E81" s="34">
        <v>-1.4000000000000002E-3</v>
      </c>
      <c r="F81" s="25">
        <v>17.399999999999999</v>
      </c>
      <c r="G81" s="25">
        <v>109.25</v>
      </c>
      <c r="H81" s="43">
        <v>0.2046</v>
      </c>
      <c r="I81" s="57">
        <v>152.06</v>
      </c>
      <c r="J81" s="32">
        <v>47302</v>
      </c>
      <c r="K81" s="33">
        <v>5.57</v>
      </c>
      <c r="L81" s="33">
        <v>6</v>
      </c>
      <c r="M81" s="33">
        <v>838.75713629999996</v>
      </c>
      <c r="N81" s="34">
        <v>1.0622557450607905E-2</v>
      </c>
      <c r="O81" s="34">
        <v>-1.6390000000000002E-2</v>
      </c>
      <c r="P81" s="25">
        <v>132.32</v>
      </c>
      <c r="Q81" s="25">
        <v>130.90600000000001</v>
      </c>
      <c r="R81" s="34">
        <v>1.080164392770375E-2</v>
      </c>
    </row>
    <row r="82" spans="1:18" x14ac:dyDescent="0.15">
      <c r="A82" s="26">
        <v>75</v>
      </c>
      <c r="B82" s="25">
        <v>123173</v>
      </c>
      <c r="C82" s="25" t="s">
        <v>744</v>
      </c>
      <c r="D82" s="25">
        <v>135.97999999999999</v>
      </c>
      <c r="E82" s="34">
        <v>1.4800000000000001E-2</v>
      </c>
      <c r="F82" s="25">
        <v>13.81</v>
      </c>
      <c r="G82" s="25">
        <v>112.45</v>
      </c>
      <c r="H82" s="43">
        <v>0.20920000000000002</v>
      </c>
      <c r="I82" s="57">
        <v>156.89999999999998</v>
      </c>
      <c r="J82" s="32">
        <v>47117</v>
      </c>
      <c r="K82" s="33">
        <v>5.0629999999999997</v>
      </c>
      <c r="L82" s="33">
        <v>2.4225439999999998</v>
      </c>
      <c r="M82" s="33">
        <v>7109.6023011000007</v>
      </c>
      <c r="N82" s="34">
        <v>0.21582343337232512</v>
      </c>
      <c r="O82" s="34">
        <v>-2.2486000000000003E-2</v>
      </c>
      <c r="P82" s="25">
        <v>137.81700000000001</v>
      </c>
      <c r="Q82" s="25">
        <v>133.9</v>
      </c>
      <c r="R82" s="34">
        <v>2.9253174010455574E-2</v>
      </c>
    </row>
    <row r="83" spans="1:18" x14ac:dyDescent="0.15">
      <c r="A83" s="26">
        <v>76</v>
      </c>
      <c r="B83" s="25">
        <v>113039</v>
      </c>
      <c r="C83" s="25" t="s">
        <v>1069</v>
      </c>
      <c r="D83" s="25">
        <v>128.98699999999999</v>
      </c>
      <c r="E83" s="34">
        <v>1.26E-2</v>
      </c>
      <c r="F83" s="25">
        <v>3.28</v>
      </c>
      <c r="G83" s="25">
        <v>106.4</v>
      </c>
      <c r="H83" s="43">
        <v>0.21230000000000002</v>
      </c>
      <c r="I83" s="57">
        <v>150.21699999999998</v>
      </c>
      <c r="J83" s="32">
        <v>46258</v>
      </c>
      <c r="K83" s="33">
        <v>2.71</v>
      </c>
      <c r="L83" s="33">
        <v>2.8770699999999998</v>
      </c>
      <c r="M83" s="33">
        <v>788.0231</v>
      </c>
      <c r="N83" s="34">
        <v>2.1234526339803269E-2</v>
      </c>
      <c r="O83" s="34">
        <v>-5.3719000000000003E-2</v>
      </c>
      <c r="P83" s="25">
        <v>129.11099999999999</v>
      </c>
      <c r="Q83" s="25">
        <v>127.5</v>
      </c>
      <c r="R83" s="34">
        <v>1.2635294117646981E-2</v>
      </c>
    </row>
    <row r="84" spans="1:18" x14ac:dyDescent="0.15">
      <c r="A84" s="26">
        <v>77</v>
      </c>
      <c r="B84" s="25">
        <v>128133</v>
      </c>
      <c r="C84" s="25" t="s">
        <v>680</v>
      </c>
      <c r="D84" s="25">
        <v>123.833</v>
      </c>
      <c r="E84" s="34">
        <v>2.3E-3</v>
      </c>
      <c r="F84" s="25">
        <v>22.87</v>
      </c>
      <c r="G84" s="25">
        <v>102.14</v>
      </c>
      <c r="H84" s="43">
        <v>0.21239999999999998</v>
      </c>
      <c r="I84" s="57">
        <v>145.07300000000001</v>
      </c>
      <c r="J84" s="32">
        <v>46287</v>
      </c>
      <c r="K84" s="33">
        <v>2.7890000000000001</v>
      </c>
      <c r="L84" s="33">
        <v>7.9935359999999998</v>
      </c>
      <c r="M84" s="33">
        <v>709.57321869999998</v>
      </c>
      <c r="N84" s="34">
        <v>7.1683943041246281E-3</v>
      </c>
      <c r="O84" s="34">
        <v>-2.5618999999999999E-2</v>
      </c>
      <c r="P84" s="25">
        <v>124.078</v>
      </c>
      <c r="Q84" s="25">
        <v>123.05</v>
      </c>
      <c r="R84" s="34">
        <v>8.3543275091426724E-3</v>
      </c>
    </row>
    <row r="85" spans="1:18" x14ac:dyDescent="0.15">
      <c r="A85" s="26">
        <v>78</v>
      </c>
      <c r="B85" s="25">
        <v>123219</v>
      </c>
      <c r="C85" s="25" t="s">
        <v>1058</v>
      </c>
      <c r="D85" s="25">
        <v>129.5</v>
      </c>
      <c r="E85" s="34">
        <v>8.0000000000000004E-4</v>
      </c>
      <c r="F85" s="25">
        <v>15.32</v>
      </c>
      <c r="G85" s="25">
        <v>106.53</v>
      </c>
      <c r="H85" s="43">
        <v>0.21559999999999999</v>
      </c>
      <c r="I85" s="57">
        <v>151.06</v>
      </c>
      <c r="J85" s="32">
        <v>47341</v>
      </c>
      <c r="K85" s="33">
        <v>5.6769999999999996</v>
      </c>
      <c r="L85" s="33">
        <v>6</v>
      </c>
      <c r="M85" s="33">
        <v>4269.8622343000006</v>
      </c>
      <c r="N85" s="34">
        <v>5.4953181908622924E-2</v>
      </c>
      <c r="O85" s="34">
        <v>-1.5335000000000001E-2</v>
      </c>
      <c r="P85" s="25">
        <v>131.22200000000001</v>
      </c>
      <c r="Q85" s="25">
        <v>129.30099999999999</v>
      </c>
      <c r="R85" s="34">
        <v>1.4856806985251629E-2</v>
      </c>
    </row>
    <row r="86" spans="1:18" x14ac:dyDescent="0.15">
      <c r="A86" s="26">
        <v>79</v>
      </c>
      <c r="B86" s="25">
        <v>110055</v>
      </c>
      <c r="C86" s="25" t="s">
        <v>1049</v>
      </c>
      <c r="D86" s="25">
        <v>168.16900000000001</v>
      </c>
      <c r="E86" s="34">
        <v>8.8999999999999999E-3</v>
      </c>
      <c r="F86" s="25">
        <v>15.59</v>
      </c>
      <c r="G86" s="25">
        <v>138.1</v>
      </c>
      <c r="H86" s="43">
        <v>0.2177</v>
      </c>
      <c r="I86" s="57">
        <v>189.93900000000002</v>
      </c>
      <c r="J86" s="32">
        <v>45731</v>
      </c>
      <c r="K86" s="33">
        <v>1.266</v>
      </c>
      <c r="L86" s="33">
        <v>2.4331100000000001</v>
      </c>
      <c r="M86" s="33">
        <v>2441.1714999999999</v>
      </c>
      <c r="N86" s="34">
        <v>5.9661010608270441E-2</v>
      </c>
      <c r="O86" s="34">
        <v>-0.27774599999999999</v>
      </c>
      <c r="P86" s="25">
        <v>168.45</v>
      </c>
      <c r="Q86" s="25">
        <v>166.5</v>
      </c>
      <c r="R86" s="34">
        <v>1.1711711711711644E-2</v>
      </c>
    </row>
    <row r="87" spans="1:18" x14ac:dyDescent="0.15">
      <c r="A87" s="26">
        <v>80</v>
      </c>
      <c r="B87" s="25">
        <v>123080</v>
      </c>
      <c r="C87" s="25" t="s">
        <v>762</v>
      </c>
      <c r="D87" s="25">
        <v>135.43299999999999</v>
      </c>
      <c r="E87" s="34">
        <v>-2.3E-3</v>
      </c>
      <c r="F87" s="25">
        <v>11.5</v>
      </c>
      <c r="G87" s="25">
        <v>111.04</v>
      </c>
      <c r="H87" s="43">
        <v>0.21969999999999998</v>
      </c>
      <c r="I87" s="57">
        <v>157.40299999999999</v>
      </c>
      <c r="J87" s="32">
        <v>46358</v>
      </c>
      <c r="K87" s="33">
        <v>2.984</v>
      </c>
      <c r="L87" s="33">
        <v>1.4892399999999999</v>
      </c>
      <c r="M87" s="33">
        <v>634.78304200000002</v>
      </c>
      <c r="N87" s="34">
        <v>3.1472853844277678E-2</v>
      </c>
      <c r="O87" s="34">
        <v>-2.9547E-2</v>
      </c>
      <c r="P87" s="25">
        <v>136.19800000000001</v>
      </c>
      <c r="Q87" s="25">
        <v>135.19999999999999</v>
      </c>
      <c r="R87" s="34">
        <v>7.3816568047338684E-3</v>
      </c>
    </row>
    <row r="88" spans="1:18" x14ac:dyDescent="0.15">
      <c r="A88" s="26">
        <v>81</v>
      </c>
      <c r="B88" s="25">
        <v>128076</v>
      </c>
      <c r="C88" s="25" t="s">
        <v>714</v>
      </c>
      <c r="D88" s="25">
        <v>130.12100000000001</v>
      </c>
      <c r="E88" s="34">
        <v>-6.3E-3</v>
      </c>
      <c r="F88" s="25">
        <v>13.76</v>
      </c>
      <c r="G88" s="25">
        <v>106.54</v>
      </c>
      <c r="H88" s="43">
        <v>0.2213</v>
      </c>
      <c r="I88" s="57">
        <v>152.251</v>
      </c>
      <c r="J88" s="32">
        <v>45944</v>
      </c>
      <c r="K88" s="33">
        <v>1.849</v>
      </c>
      <c r="L88" s="33">
        <v>2.13462</v>
      </c>
      <c r="M88" s="33">
        <v>1571.3550729999999</v>
      </c>
      <c r="N88" s="34">
        <v>5.6572629540106445E-2</v>
      </c>
      <c r="O88" s="34">
        <v>-7.9306000000000001E-2</v>
      </c>
      <c r="P88" s="25">
        <v>131.733</v>
      </c>
      <c r="Q88" s="25">
        <v>129.63399999999999</v>
      </c>
      <c r="R88" s="34">
        <v>1.6191739821343306E-2</v>
      </c>
    </row>
    <row r="89" spans="1:18" x14ac:dyDescent="0.15">
      <c r="A89" s="26">
        <v>82</v>
      </c>
      <c r="B89" s="25">
        <v>123225</v>
      </c>
      <c r="C89" s="25" t="s">
        <v>1107</v>
      </c>
      <c r="D89" s="25">
        <v>118.1</v>
      </c>
      <c r="E89" s="34">
        <v>-5.0000000000000001E-4</v>
      </c>
      <c r="F89" s="25">
        <v>33.630000000000003</v>
      </c>
      <c r="G89" s="25">
        <v>96.7</v>
      </c>
      <c r="H89" s="43">
        <v>0.2213</v>
      </c>
      <c r="I89" s="57">
        <v>140.22999999999999</v>
      </c>
      <c r="J89" s="32">
        <v>47401</v>
      </c>
      <c r="K89" s="33">
        <v>5.8410000000000002</v>
      </c>
      <c r="L89" s="33">
        <v>8</v>
      </c>
      <c r="M89" s="33">
        <v>2213.9900186999998</v>
      </c>
      <c r="N89" s="34">
        <v>2.3433425261430989E-2</v>
      </c>
      <c r="O89" s="34">
        <v>7.522E-3</v>
      </c>
      <c r="P89" s="25">
        <v>118.60899999999999</v>
      </c>
      <c r="Q89" s="25">
        <v>117.68</v>
      </c>
      <c r="R89" s="34">
        <v>7.8942895989121999E-3</v>
      </c>
    </row>
    <row r="90" spans="1:18" x14ac:dyDescent="0.15">
      <c r="A90" s="26">
        <v>83</v>
      </c>
      <c r="B90" s="25">
        <v>123078</v>
      </c>
      <c r="C90" s="25" t="s">
        <v>1165</v>
      </c>
      <c r="D90" s="25">
        <v>131.30000000000001</v>
      </c>
      <c r="E90" s="34">
        <v>-4.0000000000000002E-4</v>
      </c>
      <c r="F90" s="25">
        <v>15.41</v>
      </c>
      <c r="G90" s="25">
        <v>107.4</v>
      </c>
      <c r="H90" s="43">
        <v>0.2225</v>
      </c>
      <c r="I90" s="57">
        <v>153.55000000000001</v>
      </c>
      <c r="J90" s="32">
        <v>46353</v>
      </c>
      <c r="K90" s="33">
        <v>2.97</v>
      </c>
      <c r="L90" s="33">
        <v>6.1822319999999999</v>
      </c>
      <c r="M90" s="33">
        <v>3101.341723</v>
      </c>
      <c r="N90" s="34">
        <v>3.8206706043370377E-2</v>
      </c>
      <c r="O90" s="34">
        <v>-4.9047E-2</v>
      </c>
      <c r="P90" s="25">
        <v>132.999</v>
      </c>
      <c r="Q90" s="25">
        <v>131.25</v>
      </c>
      <c r="R90" s="34">
        <v>1.332571428571425E-2</v>
      </c>
    </row>
    <row r="91" spans="1:18" x14ac:dyDescent="0.15">
      <c r="A91" s="26">
        <v>84</v>
      </c>
      <c r="B91" s="25">
        <v>118003</v>
      </c>
      <c r="C91" s="25" t="s">
        <v>691</v>
      </c>
      <c r="D91" s="25">
        <v>134.29400000000001</v>
      </c>
      <c r="E91" s="34">
        <v>1.1399999999999999E-2</v>
      </c>
      <c r="F91" s="25">
        <v>30.43</v>
      </c>
      <c r="G91" s="25">
        <v>109.73</v>
      </c>
      <c r="H91" s="43">
        <v>0.22390000000000002</v>
      </c>
      <c r="I91" s="57">
        <v>156.68400000000003</v>
      </c>
      <c r="J91" s="32">
        <v>46720</v>
      </c>
      <c r="K91" s="33">
        <v>3.9750000000000001</v>
      </c>
      <c r="L91" s="33">
        <v>7.9976900000000004</v>
      </c>
      <c r="M91" s="33">
        <v>4918.0790999999999</v>
      </c>
      <c r="N91" s="34">
        <v>4.5790389048571523E-2</v>
      </c>
      <c r="O91" s="34">
        <v>-4.0362999999999996E-2</v>
      </c>
      <c r="P91" s="25">
        <v>135.33000000000001</v>
      </c>
      <c r="Q91" s="25">
        <v>132.78</v>
      </c>
      <c r="R91" s="34">
        <v>1.9204699502937274E-2</v>
      </c>
    </row>
    <row r="92" spans="1:18" x14ac:dyDescent="0.15">
      <c r="A92" s="26">
        <v>85</v>
      </c>
      <c r="B92" s="25">
        <v>113663</v>
      </c>
      <c r="C92" s="25" t="s">
        <v>725</v>
      </c>
      <c r="D92" s="25">
        <v>124.63</v>
      </c>
      <c r="E92" s="34">
        <v>1.4000000000000002E-3</v>
      </c>
      <c r="F92" s="25">
        <v>31.86</v>
      </c>
      <c r="G92" s="25">
        <v>101.69</v>
      </c>
      <c r="H92" s="43">
        <v>0.22559999999999999</v>
      </c>
      <c r="I92" s="57">
        <v>147.19</v>
      </c>
      <c r="J92" s="32">
        <v>47085</v>
      </c>
      <c r="K92" s="33">
        <v>4.9749999999999996</v>
      </c>
      <c r="L92" s="33">
        <v>6.4988799999999998</v>
      </c>
      <c r="M92" s="33">
        <v>1017.5795000000001</v>
      </c>
      <c r="N92" s="34">
        <v>1.2563401415790326E-2</v>
      </c>
      <c r="O92" s="34">
        <v>-7.7029999999999998E-3</v>
      </c>
      <c r="P92" s="25">
        <v>125.185</v>
      </c>
      <c r="Q92" s="25">
        <v>124.405</v>
      </c>
      <c r="R92" s="34">
        <v>6.2698444596278376E-3</v>
      </c>
    </row>
    <row r="93" spans="1:18" x14ac:dyDescent="0.15">
      <c r="A93" s="26">
        <v>86</v>
      </c>
      <c r="B93" s="25">
        <v>111007</v>
      </c>
      <c r="C93" s="25" t="s">
        <v>1055</v>
      </c>
      <c r="D93" s="25">
        <v>127.155</v>
      </c>
      <c r="E93" s="34">
        <v>1.1000000000000001E-3</v>
      </c>
      <c r="F93" s="25">
        <v>23.83</v>
      </c>
      <c r="G93" s="25">
        <v>103.69</v>
      </c>
      <c r="H93" s="43">
        <v>0.2263</v>
      </c>
      <c r="I93" s="57">
        <v>149.785</v>
      </c>
      <c r="J93" s="32">
        <v>47037</v>
      </c>
      <c r="K93" s="33">
        <v>4.8440000000000003</v>
      </c>
      <c r="L93" s="33">
        <v>7.9960100000000001</v>
      </c>
      <c r="M93" s="33">
        <v>2309.5118000000002</v>
      </c>
      <c r="N93" s="34">
        <v>2.2715035230541379E-2</v>
      </c>
      <c r="O93" s="34">
        <v>-1.2081999999999999E-2</v>
      </c>
      <c r="P93" s="25">
        <v>127.509</v>
      </c>
      <c r="Q93" s="25">
        <v>126.26</v>
      </c>
      <c r="R93" s="34">
        <v>9.8922857595437601E-3</v>
      </c>
    </row>
    <row r="94" spans="1:18" x14ac:dyDescent="0.15">
      <c r="A94" s="26">
        <v>87</v>
      </c>
      <c r="B94" s="25">
        <v>111002</v>
      </c>
      <c r="C94" s="25" t="s">
        <v>1198</v>
      </c>
      <c r="D94" s="25">
        <v>125.08499999999999</v>
      </c>
      <c r="E94" s="34">
        <v>-2.5000000000000001E-3</v>
      </c>
      <c r="F94" s="25">
        <v>14.54</v>
      </c>
      <c r="G94" s="25">
        <v>101.99</v>
      </c>
      <c r="H94" s="43">
        <v>0.22640000000000002</v>
      </c>
      <c r="I94" s="57">
        <v>147.72499999999999</v>
      </c>
      <c r="J94" s="32">
        <v>46729</v>
      </c>
      <c r="K94" s="33">
        <v>4</v>
      </c>
      <c r="L94" s="33">
        <v>6.6193900000000001</v>
      </c>
      <c r="M94" s="33">
        <v>1021.9052</v>
      </c>
      <c r="N94" s="34">
        <v>1.2342052988832666E-2</v>
      </c>
      <c r="O94" s="34">
        <v>-1.8327E-2</v>
      </c>
      <c r="P94" s="25">
        <v>126.25</v>
      </c>
      <c r="Q94" s="25">
        <v>124.88</v>
      </c>
      <c r="R94" s="34">
        <v>1.0970531710442061E-2</v>
      </c>
    </row>
    <row r="95" spans="1:18" x14ac:dyDescent="0.15">
      <c r="A95" s="26">
        <v>88</v>
      </c>
      <c r="B95" s="25">
        <v>127054</v>
      </c>
      <c r="C95" s="25" t="s">
        <v>1036</v>
      </c>
      <c r="D95" s="25">
        <v>122.70699999999999</v>
      </c>
      <c r="E95" s="34">
        <v>-4.0000000000000001E-3</v>
      </c>
      <c r="F95" s="25">
        <v>7.51</v>
      </c>
      <c r="G95" s="25">
        <v>100</v>
      </c>
      <c r="H95" s="43">
        <v>0.2271</v>
      </c>
      <c r="I95" s="57">
        <v>145.417</v>
      </c>
      <c r="J95" s="32">
        <v>46794</v>
      </c>
      <c r="K95" s="33">
        <v>4.1779999999999999</v>
      </c>
      <c r="L95" s="33">
        <v>5.1361249999999998</v>
      </c>
      <c r="M95" s="33">
        <v>1184.7631513000001</v>
      </c>
      <c r="N95" s="34">
        <v>1.8798647962536389E-2</v>
      </c>
      <c r="O95" s="34">
        <v>-1.1967E-2</v>
      </c>
      <c r="P95" s="25">
        <v>123.985</v>
      </c>
      <c r="Q95" s="25">
        <v>122.063</v>
      </c>
      <c r="R95" s="34">
        <v>1.5745967246421907E-2</v>
      </c>
    </row>
    <row r="96" spans="1:18" x14ac:dyDescent="0.15">
      <c r="A96" s="26">
        <v>89</v>
      </c>
      <c r="B96" s="25">
        <v>110058</v>
      </c>
      <c r="C96" s="25" t="s">
        <v>1001</v>
      </c>
      <c r="D96" s="25">
        <v>142.57300000000001</v>
      </c>
      <c r="E96" s="34">
        <v>2.5899999999999999E-2</v>
      </c>
      <c r="F96" s="25">
        <v>5.04</v>
      </c>
      <c r="G96" s="25">
        <v>116.07</v>
      </c>
      <c r="H96" s="43">
        <v>0.22829999999999998</v>
      </c>
      <c r="I96" s="57">
        <v>165.40300000000002</v>
      </c>
      <c r="J96" s="32">
        <v>45763</v>
      </c>
      <c r="K96" s="33">
        <v>1.353</v>
      </c>
      <c r="L96" s="33">
        <v>2.5995699999999999</v>
      </c>
      <c r="M96" s="33">
        <v>95041.460399999996</v>
      </c>
      <c r="N96" s="34">
        <v>2.5643322636712589</v>
      </c>
      <c r="O96" s="34">
        <v>-0.16577999999999998</v>
      </c>
      <c r="P96" s="25">
        <v>148.31200000000001</v>
      </c>
      <c r="Q96" s="25">
        <v>139.14500000000001</v>
      </c>
      <c r="R96" s="34">
        <v>6.5880915591649006E-2</v>
      </c>
    </row>
    <row r="97" spans="1:18" x14ac:dyDescent="0.15">
      <c r="A97" s="26">
        <v>90</v>
      </c>
      <c r="B97" s="25">
        <v>118016</v>
      </c>
      <c r="C97" s="25" t="s">
        <v>467</v>
      </c>
      <c r="D97" s="25">
        <v>117.523</v>
      </c>
      <c r="E97" s="34">
        <v>-4.0000000000000001E-3</v>
      </c>
      <c r="F97" s="25">
        <v>9.82</v>
      </c>
      <c r="G97" s="25">
        <v>95.52</v>
      </c>
      <c r="H97" s="43">
        <v>0.2303</v>
      </c>
      <c r="I97" s="57">
        <v>140.553</v>
      </c>
      <c r="J97" s="32">
        <v>46970</v>
      </c>
      <c r="K97" s="33">
        <v>4.66</v>
      </c>
      <c r="L97" s="33">
        <v>3.32497</v>
      </c>
      <c r="M97" s="33">
        <v>1117.4672</v>
      </c>
      <c r="N97" s="34">
        <v>2.8597244218886788E-2</v>
      </c>
      <c r="O97" s="34">
        <v>6.7779999999999993E-3</v>
      </c>
      <c r="P97" s="25">
        <v>118.245</v>
      </c>
      <c r="Q97" s="25">
        <v>117.01300000000001</v>
      </c>
      <c r="R97" s="34">
        <v>1.0528744669395702E-2</v>
      </c>
    </row>
    <row r="98" spans="1:18" x14ac:dyDescent="0.15">
      <c r="A98" s="26">
        <v>91</v>
      </c>
      <c r="B98" s="25">
        <v>123204</v>
      </c>
      <c r="C98" s="25" t="s">
        <v>1029</v>
      </c>
      <c r="D98" s="25">
        <v>121.081</v>
      </c>
      <c r="E98" s="34">
        <v>-9.0000000000000011E-3</v>
      </c>
      <c r="F98" s="25">
        <v>20.94</v>
      </c>
      <c r="G98" s="25">
        <v>98.33</v>
      </c>
      <c r="H98" s="43">
        <v>0.23139999999999999</v>
      </c>
      <c r="I98" s="57">
        <v>144.221</v>
      </c>
      <c r="J98" s="32">
        <v>47312</v>
      </c>
      <c r="K98" s="33">
        <v>5.5970000000000004</v>
      </c>
      <c r="L98" s="33">
        <v>7</v>
      </c>
      <c r="M98" s="33">
        <v>1418.7750402000001</v>
      </c>
      <c r="N98" s="34">
        <v>1.6739385089320373E-2</v>
      </c>
      <c r="O98" s="34">
        <v>-1.7749999999999999E-3</v>
      </c>
      <c r="P98" s="25">
        <v>122.819</v>
      </c>
      <c r="Q98" s="25">
        <v>120.726</v>
      </c>
      <c r="R98" s="34">
        <v>1.7336779152792303E-2</v>
      </c>
    </row>
    <row r="99" spans="1:18" x14ac:dyDescent="0.15">
      <c r="A99" s="26">
        <v>92</v>
      </c>
      <c r="B99" s="25">
        <v>123089</v>
      </c>
      <c r="C99" s="25" t="s">
        <v>723</v>
      </c>
      <c r="D99" s="25">
        <v>121.23</v>
      </c>
      <c r="E99" s="34">
        <v>1.1000000000000001E-3</v>
      </c>
      <c r="F99" s="25">
        <v>5.57</v>
      </c>
      <c r="G99" s="25">
        <v>98.38</v>
      </c>
      <c r="H99" s="43">
        <v>0.23230000000000001</v>
      </c>
      <c r="I99" s="57">
        <v>144.46</v>
      </c>
      <c r="J99" s="32">
        <v>46377</v>
      </c>
      <c r="K99" s="33">
        <v>3.036</v>
      </c>
      <c r="L99" s="33">
        <v>3.0604269999999998</v>
      </c>
      <c r="M99" s="33">
        <v>1834.7313362</v>
      </c>
      <c r="N99" s="34">
        <v>4.9451600100969259E-2</v>
      </c>
      <c r="O99" s="34">
        <v>-3.4300000000000003E-3</v>
      </c>
      <c r="P99" s="25">
        <v>121.729</v>
      </c>
      <c r="Q99" s="25">
        <v>120.301</v>
      </c>
      <c r="R99" s="34">
        <v>1.1870225517659847E-2</v>
      </c>
    </row>
    <row r="100" spans="1:18" x14ac:dyDescent="0.15">
      <c r="A100" s="26">
        <v>93</v>
      </c>
      <c r="B100" s="25">
        <v>123166</v>
      </c>
      <c r="C100" s="25" t="s">
        <v>681</v>
      </c>
      <c r="D100" s="25">
        <v>117.514</v>
      </c>
      <c r="E100" s="34">
        <v>-4.0000000000000002E-4</v>
      </c>
      <c r="F100" s="25">
        <v>25.95</v>
      </c>
      <c r="G100" s="25">
        <v>95.22</v>
      </c>
      <c r="H100" s="43">
        <v>0.2341</v>
      </c>
      <c r="I100" s="57">
        <v>140.92400000000001</v>
      </c>
      <c r="J100" s="32">
        <v>47059</v>
      </c>
      <c r="K100" s="33">
        <v>4.9039999999999999</v>
      </c>
      <c r="L100" s="33">
        <v>2.9999630000000002</v>
      </c>
      <c r="M100" s="33">
        <v>1595.591312</v>
      </c>
      <c r="N100" s="34">
        <v>4.5260167333317024E-2</v>
      </c>
      <c r="O100" s="34">
        <v>6.2739999999999992E-3</v>
      </c>
      <c r="P100" s="25">
        <v>118.1</v>
      </c>
      <c r="Q100" s="25">
        <v>116.81</v>
      </c>
      <c r="R100" s="34">
        <v>1.1043575036383802E-2</v>
      </c>
    </row>
    <row r="101" spans="1:18" x14ac:dyDescent="0.15">
      <c r="A101" s="26">
        <v>94</v>
      </c>
      <c r="B101" s="25">
        <v>123206</v>
      </c>
      <c r="C101" s="25" t="s">
        <v>1044</v>
      </c>
      <c r="D101" s="25">
        <v>133.893</v>
      </c>
      <c r="E101" s="34">
        <v>-8.199999999999999E-3</v>
      </c>
      <c r="F101" s="25">
        <v>5.67</v>
      </c>
      <c r="G101" s="25">
        <v>108.47</v>
      </c>
      <c r="H101" s="43">
        <v>0.23440000000000003</v>
      </c>
      <c r="I101" s="57">
        <v>157.333</v>
      </c>
      <c r="J101" s="32">
        <v>47319</v>
      </c>
      <c r="K101" s="33">
        <v>5.6159999999999997</v>
      </c>
      <c r="L101" s="33">
        <v>2.5</v>
      </c>
      <c r="M101" s="33">
        <v>1902.7670010000002</v>
      </c>
      <c r="N101" s="34">
        <v>5.6844405637337288E-2</v>
      </c>
      <c r="O101" s="34">
        <v>-1.8036E-2</v>
      </c>
      <c r="P101" s="25">
        <v>135.404</v>
      </c>
      <c r="Q101" s="25">
        <v>133.25</v>
      </c>
      <c r="R101" s="34">
        <v>1.6165103189493407E-2</v>
      </c>
    </row>
    <row r="102" spans="1:18" x14ac:dyDescent="0.15">
      <c r="A102" s="26">
        <v>95</v>
      </c>
      <c r="B102" s="25">
        <v>113672</v>
      </c>
      <c r="C102" s="25" t="s">
        <v>1045</v>
      </c>
      <c r="D102" s="25">
        <v>145.85599999999999</v>
      </c>
      <c r="E102" s="34">
        <v>-0.2</v>
      </c>
      <c r="F102" s="25">
        <v>12.25</v>
      </c>
      <c r="G102" s="25">
        <v>118.04</v>
      </c>
      <c r="H102" s="43">
        <v>0.23559999999999998</v>
      </c>
      <c r="I102" s="57">
        <v>169.416</v>
      </c>
      <c r="J102" s="32">
        <v>47317</v>
      </c>
      <c r="K102" s="33">
        <v>5.6109999999999998</v>
      </c>
      <c r="L102" s="33">
        <v>6.4</v>
      </c>
      <c r="M102" s="33">
        <v>205469.24619999999</v>
      </c>
      <c r="N102" s="34">
        <v>2.2011140932666464</v>
      </c>
      <c r="O102" s="34">
        <v>-4.5033999999999998E-2</v>
      </c>
      <c r="P102" s="25">
        <v>191.47499999999999</v>
      </c>
      <c r="Q102" s="25">
        <v>145.85599999999999</v>
      </c>
      <c r="R102" s="34">
        <v>0.31276738701184731</v>
      </c>
    </row>
    <row r="103" spans="1:18" x14ac:dyDescent="0.15">
      <c r="A103" s="26">
        <v>96</v>
      </c>
      <c r="B103" s="25">
        <v>113649</v>
      </c>
      <c r="C103" s="25" t="s">
        <v>1004</v>
      </c>
      <c r="D103" s="25">
        <v>118.24299999999999</v>
      </c>
      <c r="E103" s="34">
        <v>-6.5000000000000006E-3</v>
      </c>
      <c r="F103" s="25">
        <v>13.73</v>
      </c>
      <c r="G103" s="25">
        <v>95.63</v>
      </c>
      <c r="H103" s="43">
        <v>0.23649999999999999</v>
      </c>
      <c r="I103" s="57">
        <v>141.893</v>
      </c>
      <c r="J103" s="32">
        <v>46931</v>
      </c>
      <c r="K103" s="33">
        <v>4.5529999999999999</v>
      </c>
      <c r="L103" s="33">
        <v>4.9934799999999999</v>
      </c>
      <c r="M103" s="33">
        <v>1441.7111</v>
      </c>
      <c r="N103" s="34">
        <v>2.4417403922159672E-2</v>
      </c>
      <c r="O103" s="34">
        <v>3.493E-3</v>
      </c>
      <c r="P103" s="25">
        <v>119.602</v>
      </c>
      <c r="Q103" s="25">
        <v>118.2</v>
      </c>
      <c r="R103" s="34">
        <v>1.186125211505923E-2</v>
      </c>
    </row>
    <row r="104" spans="1:18" x14ac:dyDescent="0.15">
      <c r="A104" s="26">
        <v>97</v>
      </c>
      <c r="B104" s="25">
        <v>113582</v>
      </c>
      <c r="C104" s="25" t="s">
        <v>732</v>
      </c>
      <c r="D104" s="25">
        <v>132.96799999999999</v>
      </c>
      <c r="E104" s="34">
        <v>-8.6999999999999994E-3</v>
      </c>
      <c r="F104" s="25">
        <v>24.15</v>
      </c>
      <c r="G104" s="25">
        <v>107.49</v>
      </c>
      <c r="H104" s="43">
        <v>0.23699999999999999</v>
      </c>
      <c r="I104" s="57">
        <v>156.66799999999998</v>
      </c>
      <c r="J104" s="32">
        <v>46169</v>
      </c>
      <c r="K104" s="33">
        <v>2.4660000000000002</v>
      </c>
      <c r="L104" s="33">
        <v>4.1726299999999998</v>
      </c>
      <c r="M104" s="33">
        <v>2017.5811000000001</v>
      </c>
      <c r="N104" s="34">
        <v>3.6364195861300977E-2</v>
      </c>
      <c r="O104" s="34">
        <v>-6.3794000000000003E-2</v>
      </c>
      <c r="P104" s="25">
        <v>135.10900000000001</v>
      </c>
      <c r="Q104" s="25">
        <v>132.703</v>
      </c>
      <c r="R104" s="34">
        <v>1.8130712945449656E-2</v>
      </c>
    </row>
    <row r="105" spans="1:18" x14ac:dyDescent="0.15">
      <c r="A105" s="26">
        <v>98</v>
      </c>
      <c r="B105" s="25">
        <v>123022</v>
      </c>
      <c r="C105" s="25" t="s">
        <v>712</v>
      </c>
      <c r="D105" s="25">
        <v>141.441</v>
      </c>
      <c r="E105" s="34">
        <v>1.38E-2</v>
      </c>
      <c r="F105" s="25">
        <v>5.9</v>
      </c>
      <c r="G105" s="25">
        <v>114.24</v>
      </c>
      <c r="H105" s="43">
        <v>0.23809999999999998</v>
      </c>
      <c r="I105" s="57">
        <v>165.251</v>
      </c>
      <c r="J105" s="32">
        <v>45734</v>
      </c>
      <c r="K105" s="33">
        <v>1.274</v>
      </c>
      <c r="L105" s="33">
        <v>2.5622159999999998</v>
      </c>
      <c r="M105" s="33">
        <v>2920.7170053</v>
      </c>
      <c r="N105" s="34">
        <v>8.0593204119289955E-2</v>
      </c>
      <c r="O105" s="34">
        <v>-0.170015</v>
      </c>
      <c r="P105" s="25">
        <v>141.959</v>
      </c>
      <c r="Q105" s="25">
        <v>138.70400000000001</v>
      </c>
      <c r="R105" s="34">
        <v>2.3467239589341295E-2</v>
      </c>
    </row>
    <row r="106" spans="1:18" x14ac:dyDescent="0.15">
      <c r="A106" s="26">
        <v>99</v>
      </c>
      <c r="B106" s="25">
        <v>123203</v>
      </c>
      <c r="C106" s="25" t="s">
        <v>1033</v>
      </c>
      <c r="D106" s="25">
        <v>125.40300000000001</v>
      </c>
      <c r="E106" s="34">
        <v>8.0000000000000004E-4</v>
      </c>
      <c r="F106" s="25">
        <v>14.75</v>
      </c>
      <c r="G106" s="25">
        <v>101.29</v>
      </c>
      <c r="H106" s="43">
        <v>0.23809999999999998</v>
      </c>
      <c r="I106" s="57">
        <v>149.21299999999999</v>
      </c>
      <c r="J106" s="32">
        <v>47302</v>
      </c>
      <c r="K106" s="33">
        <v>5.57</v>
      </c>
      <c r="L106" s="33">
        <v>4.4850000000000003</v>
      </c>
      <c r="M106" s="33">
        <v>564.08818499999995</v>
      </c>
      <c r="N106" s="34">
        <v>1.0029438735003298E-2</v>
      </c>
      <c r="O106" s="34">
        <v>-3.0819999999999997E-3</v>
      </c>
      <c r="P106" s="25">
        <v>126.687</v>
      </c>
      <c r="Q106" s="25">
        <v>124.94</v>
      </c>
      <c r="R106" s="34">
        <v>1.3982711701616775E-2</v>
      </c>
    </row>
    <row r="107" spans="1:18" x14ac:dyDescent="0.15">
      <c r="A107" s="26">
        <v>100</v>
      </c>
      <c r="B107" s="25">
        <v>113609</v>
      </c>
      <c r="C107" s="25" t="s">
        <v>756</v>
      </c>
      <c r="D107" s="25">
        <v>118.271</v>
      </c>
      <c r="E107" s="34">
        <v>-2.8000000000000004E-3</v>
      </c>
      <c r="F107" s="25">
        <v>14.81</v>
      </c>
      <c r="G107" s="25">
        <v>95.48</v>
      </c>
      <c r="H107" s="43">
        <v>0.23870000000000002</v>
      </c>
      <c r="I107" s="57">
        <v>142.14099999999999</v>
      </c>
      <c r="J107" s="32">
        <v>46350</v>
      </c>
      <c r="K107" s="33">
        <v>2.9620000000000002</v>
      </c>
      <c r="L107" s="33">
        <v>7.3412100000000002</v>
      </c>
      <c r="M107" s="33">
        <v>1357.3929000000001</v>
      </c>
      <c r="N107" s="34">
        <v>1.5633623791558585E-2</v>
      </c>
      <c r="O107" s="34">
        <v>6.6199999999999994E-4</v>
      </c>
      <c r="P107" s="25">
        <v>118.997</v>
      </c>
      <c r="Q107" s="25">
        <v>117.86</v>
      </c>
      <c r="R107" s="34">
        <v>9.647038859664012E-3</v>
      </c>
    </row>
    <row r="108" spans="1:18" x14ac:dyDescent="0.15">
      <c r="A108" s="26">
        <v>101</v>
      </c>
      <c r="B108" s="25">
        <v>128122</v>
      </c>
      <c r="C108" s="25" t="s">
        <v>1177</v>
      </c>
      <c r="D108" s="25">
        <v>147.9</v>
      </c>
      <c r="E108" s="34">
        <v>0.02</v>
      </c>
      <c r="F108" s="25">
        <v>13.43</v>
      </c>
      <c r="G108" s="25">
        <v>119.29</v>
      </c>
      <c r="H108" s="43">
        <v>0.23980000000000001</v>
      </c>
      <c r="I108" s="57">
        <v>171.88</v>
      </c>
      <c r="J108" s="32">
        <v>45861</v>
      </c>
      <c r="K108" s="33">
        <v>1.6220000000000001</v>
      </c>
      <c r="L108" s="33">
        <v>2.681114</v>
      </c>
      <c r="M108" s="33">
        <v>12627.726221299999</v>
      </c>
      <c r="N108" s="34">
        <v>0.31845032985574856</v>
      </c>
      <c r="O108" s="34">
        <v>-0.16073000000000001</v>
      </c>
      <c r="P108" s="25">
        <v>148.761</v>
      </c>
      <c r="Q108" s="25">
        <v>145.21600000000001</v>
      </c>
      <c r="R108" s="34">
        <v>2.4411910533274482E-2</v>
      </c>
    </row>
    <row r="109" spans="1:18" x14ac:dyDescent="0.15">
      <c r="A109" s="26">
        <v>102</v>
      </c>
      <c r="B109" s="25">
        <v>113598</v>
      </c>
      <c r="C109" s="25" t="s">
        <v>55</v>
      </c>
      <c r="D109" s="25">
        <v>129.113</v>
      </c>
      <c r="E109" s="34">
        <v>1E-3</v>
      </c>
      <c r="F109" s="25">
        <v>7.68</v>
      </c>
      <c r="G109" s="25">
        <v>103.91</v>
      </c>
      <c r="H109" s="43">
        <v>0.24249999999999999</v>
      </c>
      <c r="I109" s="57">
        <v>153.363</v>
      </c>
      <c r="J109" s="32">
        <v>46234</v>
      </c>
      <c r="K109" s="33">
        <v>2.6440000000000001</v>
      </c>
      <c r="L109" s="33">
        <v>2.7522899999999999</v>
      </c>
      <c r="M109" s="33">
        <v>1278.5021999999999</v>
      </c>
      <c r="N109" s="34">
        <v>3.5978024666764065E-2</v>
      </c>
      <c r="O109" s="34">
        <v>-3.0866999999999999E-2</v>
      </c>
      <c r="P109" s="25">
        <v>129.35</v>
      </c>
      <c r="Q109" s="25">
        <v>128.20500000000001</v>
      </c>
      <c r="R109" s="34">
        <v>8.9310089310087881E-3</v>
      </c>
    </row>
    <row r="110" spans="1:18" x14ac:dyDescent="0.15">
      <c r="A110" s="26">
        <v>103</v>
      </c>
      <c r="B110" s="25">
        <v>128128</v>
      </c>
      <c r="C110" s="25" t="s">
        <v>757</v>
      </c>
      <c r="D110" s="25">
        <v>120.762</v>
      </c>
      <c r="E110" s="34">
        <v>1.7399999999999999E-2</v>
      </c>
      <c r="F110" s="25">
        <v>5.53</v>
      </c>
      <c r="G110" s="25">
        <v>97.11</v>
      </c>
      <c r="H110" s="43">
        <v>0.24359999999999998</v>
      </c>
      <c r="I110" s="57">
        <v>145.12200000000001</v>
      </c>
      <c r="J110" s="32">
        <v>46254</v>
      </c>
      <c r="K110" s="33">
        <v>2.6989999999999998</v>
      </c>
      <c r="L110" s="33">
        <v>6.794696000000001</v>
      </c>
      <c r="M110" s="33">
        <v>2751.622468</v>
      </c>
      <c r="N110" s="34">
        <v>3.3534243934824605E-2</v>
      </c>
      <c r="O110" s="34">
        <v>-2.3377999999999999E-2</v>
      </c>
      <c r="P110" s="25">
        <v>121.48</v>
      </c>
      <c r="Q110" s="25">
        <v>118.265</v>
      </c>
      <c r="R110" s="34">
        <v>2.7184712298651364E-2</v>
      </c>
    </row>
    <row r="111" spans="1:18" x14ac:dyDescent="0.15">
      <c r="A111" s="26">
        <v>104</v>
      </c>
      <c r="B111" s="25">
        <v>111013</v>
      </c>
      <c r="C111" s="25" t="s">
        <v>1027</v>
      </c>
      <c r="D111" s="25">
        <v>124.053</v>
      </c>
      <c r="E111" s="34">
        <v>-3.3E-3</v>
      </c>
      <c r="F111" s="25">
        <v>9.0299999999999994</v>
      </c>
      <c r="G111" s="25">
        <v>99.67</v>
      </c>
      <c r="H111" s="43">
        <v>0.24460000000000001</v>
      </c>
      <c r="I111" s="57">
        <v>148.51300000000001</v>
      </c>
      <c r="J111" s="32">
        <v>47185</v>
      </c>
      <c r="K111" s="33">
        <v>5.2489999999999997</v>
      </c>
      <c r="L111" s="33">
        <v>3.6882100000000002</v>
      </c>
      <c r="M111" s="33">
        <v>1683.9427000000001</v>
      </c>
      <c r="N111" s="34">
        <v>3.6804794497328527E-2</v>
      </c>
      <c r="O111" s="34">
        <v>-5.6210000000000001E-3</v>
      </c>
      <c r="P111" s="25">
        <v>125.5</v>
      </c>
      <c r="Q111" s="25">
        <v>123.848</v>
      </c>
      <c r="R111" s="34">
        <v>1.3338931593566316E-2</v>
      </c>
    </row>
    <row r="112" spans="1:18" x14ac:dyDescent="0.15">
      <c r="A112" s="26">
        <v>105</v>
      </c>
      <c r="B112" s="25">
        <v>118026</v>
      </c>
      <c r="C112" s="25" t="s">
        <v>1192</v>
      </c>
      <c r="D112" s="25">
        <v>108.449</v>
      </c>
      <c r="E112" s="34">
        <v>2.2000000000000001E-3</v>
      </c>
      <c r="F112" s="25">
        <v>45</v>
      </c>
      <c r="G112" s="25">
        <v>86.62</v>
      </c>
      <c r="H112" s="43">
        <v>0.252</v>
      </c>
      <c r="I112" s="57">
        <v>133.649</v>
      </c>
      <c r="J112" s="32">
        <v>47050</v>
      </c>
      <c r="K112" s="33">
        <v>4.8789999999999996</v>
      </c>
      <c r="L112" s="33">
        <v>9.4996899999999993</v>
      </c>
      <c r="M112" s="33">
        <v>2442.8108999999999</v>
      </c>
      <c r="N112" s="34">
        <v>2.3711272631937844E-2</v>
      </c>
      <c r="O112" s="34">
        <v>1.0794E-2</v>
      </c>
      <c r="P112" s="25">
        <v>108.729</v>
      </c>
      <c r="Q112" s="25">
        <v>108.13500000000001</v>
      </c>
      <c r="R112" s="34">
        <v>5.4931335830211685E-3</v>
      </c>
    </row>
    <row r="113" spans="1:18" x14ac:dyDescent="0.15">
      <c r="A113" s="26">
        <v>106</v>
      </c>
      <c r="B113" s="25">
        <v>111008</v>
      </c>
      <c r="C113" s="25" t="s">
        <v>685</v>
      </c>
      <c r="D113" s="25">
        <v>128.149</v>
      </c>
      <c r="E113" s="34">
        <v>-6.4000000000000003E-3</v>
      </c>
      <c r="F113" s="25">
        <v>46.99</v>
      </c>
      <c r="G113" s="25">
        <v>102.23</v>
      </c>
      <c r="H113" s="43">
        <v>0.2535</v>
      </c>
      <c r="I113" s="57">
        <v>153.499</v>
      </c>
      <c r="J113" s="32">
        <v>47059</v>
      </c>
      <c r="K113" s="33">
        <v>4.9039999999999999</v>
      </c>
      <c r="L113" s="33">
        <v>3.8391099999999998</v>
      </c>
      <c r="M113" s="33">
        <v>1545.0373</v>
      </c>
      <c r="N113" s="34">
        <v>3.1404594570205557E-2</v>
      </c>
      <c r="O113" s="34">
        <v>-1.5288E-2</v>
      </c>
      <c r="P113" s="25">
        <v>129.57</v>
      </c>
      <c r="Q113" s="25">
        <v>127.89</v>
      </c>
      <c r="R113" s="34">
        <v>1.3136288998357906E-2</v>
      </c>
    </row>
    <row r="114" spans="1:18" x14ac:dyDescent="0.15">
      <c r="A114" s="26">
        <v>107</v>
      </c>
      <c r="B114" s="25">
        <v>113634</v>
      </c>
      <c r="C114" s="25" t="s">
        <v>1197</v>
      </c>
      <c r="D114" s="25">
        <v>131.65799999999999</v>
      </c>
      <c r="E114" s="34">
        <v>1.01E-2</v>
      </c>
      <c r="F114" s="25">
        <v>98.24</v>
      </c>
      <c r="G114" s="25">
        <v>104.85</v>
      </c>
      <c r="H114" s="43">
        <v>0.25569999999999998</v>
      </c>
      <c r="I114" s="57">
        <v>157.22799999999998</v>
      </c>
      <c r="J114" s="32">
        <v>46729</v>
      </c>
      <c r="K114" s="33">
        <v>4</v>
      </c>
      <c r="L114" s="33">
        <v>7.5079000000000002</v>
      </c>
      <c r="M114" s="33">
        <v>909.06859999999995</v>
      </c>
      <c r="N114" s="34">
        <v>9.1966767969714341E-3</v>
      </c>
      <c r="O114" s="34">
        <v>-2.4712000000000001E-2</v>
      </c>
      <c r="P114" s="25">
        <v>132.77600000000001</v>
      </c>
      <c r="Q114" s="25">
        <v>130.411</v>
      </c>
      <c r="R114" s="34">
        <v>1.8134973276794204E-2</v>
      </c>
    </row>
    <row r="115" spans="1:18" x14ac:dyDescent="0.15">
      <c r="A115" s="26">
        <v>108</v>
      </c>
      <c r="B115" s="25">
        <v>123130</v>
      </c>
      <c r="C115" s="25" t="s">
        <v>683</v>
      </c>
      <c r="D115" s="25">
        <v>124.08</v>
      </c>
      <c r="E115" s="34">
        <v>1.5E-3</v>
      </c>
      <c r="F115" s="25">
        <v>8.9600000000000009</v>
      </c>
      <c r="G115" s="25">
        <v>98.66</v>
      </c>
      <c r="H115" s="43">
        <v>0.25769999999999998</v>
      </c>
      <c r="I115" s="57">
        <v>149.85</v>
      </c>
      <c r="J115" s="32">
        <v>46702</v>
      </c>
      <c r="K115" s="33">
        <v>3.9260000000000002</v>
      </c>
      <c r="L115" s="33">
        <v>3.755125</v>
      </c>
      <c r="M115" s="33">
        <v>1419.6013985</v>
      </c>
      <c r="N115" s="34">
        <v>3.0467739618953171E-2</v>
      </c>
      <c r="O115" s="34">
        <v>-1.6623000000000002E-2</v>
      </c>
      <c r="P115" s="25">
        <v>124.562</v>
      </c>
      <c r="Q115" s="25">
        <v>123.816</v>
      </c>
      <c r="R115" s="34">
        <v>6.025069457905239E-3</v>
      </c>
    </row>
    <row r="116" spans="1:18" x14ac:dyDescent="0.15">
      <c r="A116" s="26">
        <v>109</v>
      </c>
      <c r="B116" s="25">
        <v>123214</v>
      </c>
      <c r="C116" s="25" t="s">
        <v>1037</v>
      </c>
      <c r="D116" s="25">
        <v>117.345</v>
      </c>
      <c r="E116" s="34">
        <v>-2.3E-3</v>
      </c>
      <c r="F116" s="25">
        <v>6.67</v>
      </c>
      <c r="G116" s="25">
        <v>93.25</v>
      </c>
      <c r="H116" s="43">
        <v>0.25840000000000002</v>
      </c>
      <c r="I116" s="57">
        <v>143.185</v>
      </c>
      <c r="J116" s="32">
        <v>47330</v>
      </c>
      <c r="K116" s="33">
        <v>5.6470000000000002</v>
      </c>
      <c r="L116" s="33">
        <v>4.55</v>
      </c>
      <c r="M116" s="33">
        <v>1626.9461303</v>
      </c>
      <c r="N116" s="34">
        <v>3.047173531790124E-2</v>
      </c>
      <c r="O116" s="34">
        <v>1.4610000000000001E-3</v>
      </c>
      <c r="P116" s="25">
        <v>118</v>
      </c>
      <c r="Q116" s="25">
        <v>117.02</v>
      </c>
      <c r="R116" s="34">
        <v>8.3746368142198265E-3</v>
      </c>
    </row>
    <row r="117" spans="1:18" x14ac:dyDescent="0.15">
      <c r="A117" s="26">
        <v>110</v>
      </c>
      <c r="B117" s="25">
        <v>127095</v>
      </c>
      <c r="C117" s="25" t="s">
        <v>1105</v>
      </c>
      <c r="D117" s="25">
        <v>123.696</v>
      </c>
      <c r="E117" s="34">
        <v>5.0000000000000001E-4</v>
      </c>
      <c r="F117" s="25">
        <v>9.3800000000000008</v>
      </c>
      <c r="G117" s="25">
        <v>98.19</v>
      </c>
      <c r="H117" s="43">
        <v>0.25980000000000003</v>
      </c>
      <c r="I117" s="57">
        <v>149.67599999999999</v>
      </c>
      <c r="J117" s="32">
        <v>47409</v>
      </c>
      <c r="K117" s="33">
        <v>5.8630000000000004</v>
      </c>
      <c r="L117" s="33">
        <v>7</v>
      </c>
      <c r="M117" s="33">
        <v>1260.9457519</v>
      </c>
      <c r="N117" s="34">
        <v>1.4562726960797899E-2</v>
      </c>
      <c r="O117" s="34">
        <v>-5.3749999999999996E-3</v>
      </c>
      <c r="P117" s="25">
        <v>124.172</v>
      </c>
      <c r="Q117" s="25">
        <v>123.2</v>
      </c>
      <c r="R117" s="34">
        <v>7.8896103896103423E-3</v>
      </c>
    </row>
    <row r="118" spans="1:18" x14ac:dyDescent="0.15">
      <c r="A118" s="26">
        <v>111</v>
      </c>
      <c r="B118" s="25">
        <v>123201</v>
      </c>
      <c r="C118" s="25" t="s">
        <v>1025</v>
      </c>
      <c r="D118" s="25">
        <v>140.5</v>
      </c>
      <c r="E118" s="34">
        <v>-8.8000000000000005E-3</v>
      </c>
      <c r="F118" s="25">
        <v>29.88</v>
      </c>
      <c r="G118" s="25">
        <v>111.51</v>
      </c>
      <c r="H118" s="43">
        <v>0.26</v>
      </c>
      <c r="I118" s="57">
        <v>166.5</v>
      </c>
      <c r="J118" s="32">
        <v>47296</v>
      </c>
      <c r="K118" s="33">
        <v>5.5529999999999999</v>
      </c>
      <c r="L118" s="33">
        <v>3.5</v>
      </c>
      <c r="M118" s="33">
        <v>2852.3081346999998</v>
      </c>
      <c r="N118" s="34">
        <v>5.8003215753939991E-2</v>
      </c>
      <c r="O118" s="34">
        <v>-2.6345999999999998E-2</v>
      </c>
      <c r="P118" s="25">
        <v>142.97999999999999</v>
      </c>
      <c r="Q118" s="25">
        <v>140.5</v>
      </c>
      <c r="R118" s="34">
        <v>1.7651245551601351E-2</v>
      </c>
    </row>
    <row r="119" spans="1:18" x14ac:dyDescent="0.15">
      <c r="A119" s="26">
        <v>112</v>
      </c>
      <c r="B119" s="25">
        <v>123156</v>
      </c>
      <c r="C119" s="25" t="s">
        <v>760</v>
      </c>
      <c r="D119" s="25">
        <v>117.782</v>
      </c>
      <c r="E119" s="34">
        <v>-5.1999999999999998E-3</v>
      </c>
      <c r="F119" s="25">
        <v>10.69</v>
      </c>
      <c r="G119" s="25">
        <v>93.36</v>
      </c>
      <c r="H119" s="43">
        <v>0.2616</v>
      </c>
      <c r="I119" s="57">
        <v>143.94200000000001</v>
      </c>
      <c r="J119" s="32">
        <v>46981</v>
      </c>
      <c r="K119" s="33">
        <v>4.6900000000000004</v>
      </c>
      <c r="L119" s="33">
        <v>3.969519</v>
      </c>
      <c r="M119" s="33">
        <v>972.24181469999996</v>
      </c>
      <c r="N119" s="34">
        <v>2.0794931106733774E-2</v>
      </c>
      <c r="O119" s="34">
        <v>5.7020000000000005E-3</v>
      </c>
      <c r="P119" s="25">
        <v>119.02800000000001</v>
      </c>
      <c r="Q119" s="25">
        <v>117.6</v>
      </c>
      <c r="R119" s="34">
        <v>1.2142857142857242E-2</v>
      </c>
    </row>
    <row r="120" spans="1:18" x14ac:dyDescent="0.15">
      <c r="A120" s="26">
        <v>113</v>
      </c>
      <c r="B120" s="25">
        <v>128143</v>
      </c>
      <c r="C120" s="25" t="s">
        <v>1047</v>
      </c>
      <c r="D120" s="25">
        <v>136.13999999999999</v>
      </c>
      <c r="E120" s="34">
        <v>-1.06E-2</v>
      </c>
      <c r="F120" s="25">
        <v>12.63</v>
      </c>
      <c r="G120" s="25">
        <v>107.68</v>
      </c>
      <c r="H120" s="43">
        <v>0.26429999999999998</v>
      </c>
      <c r="I120" s="57">
        <v>162.57</v>
      </c>
      <c r="J120" s="32">
        <v>46395</v>
      </c>
      <c r="K120" s="33">
        <v>3.085</v>
      </c>
      <c r="L120" s="33">
        <v>1.7343649999999999</v>
      </c>
      <c r="M120" s="33">
        <v>1798.4651379999998</v>
      </c>
      <c r="N120" s="34">
        <v>7.6168565537109253E-2</v>
      </c>
      <c r="O120" s="34">
        <v>-3.9726999999999998E-2</v>
      </c>
      <c r="P120" s="25">
        <v>138.351</v>
      </c>
      <c r="Q120" s="25">
        <v>136.006</v>
      </c>
      <c r="R120" s="34">
        <v>1.7241886387365256E-2</v>
      </c>
    </row>
    <row r="121" spans="1:18" x14ac:dyDescent="0.15">
      <c r="A121" s="26">
        <v>114</v>
      </c>
      <c r="B121" s="25">
        <v>123198</v>
      </c>
      <c r="C121" s="25" t="s">
        <v>1016</v>
      </c>
      <c r="D121" s="25">
        <v>116.15</v>
      </c>
      <c r="E121" s="34">
        <v>1.2999999999999999E-3</v>
      </c>
      <c r="F121" s="25">
        <v>12.21</v>
      </c>
      <c r="G121" s="25">
        <v>91.81</v>
      </c>
      <c r="H121" s="43">
        <v>0.2651</v>
      </c>
      <c r="I121" s="57">
        <v>142.66</v>
      </c>
      <c r="J121" s="32">
        <v>47277</v>
      </c>
      <c r="K121" s="33">
        <v>5.5010000000000003</v>
      </c>
      <c r="L121" s="33">
        <v>5.2</v>
      </c>
      <c r="M121" s="33">
        <v>989.27648350000004</v>
      </c>
      <c r="N121" s="34">
        <v>1.6379292087486341E-2</v>
      </c>
      <c r="O121" s="34">
        <v>7.6100000000000004E-3</v>
      </c>
      <c r="P121" s="25">
        <v>116.435</v>
      </c>
      <c r="Q121" s="25">
        <v>115.3</v>
      </c>
      <c r="R121" s="34">
        <v>9.8438855160451443E-3</v>
      </c>
    </row>
    <row r="122" spans="1:18" x14ac:dyDescent="0.15">
      <c r="A122" s="26">
        <v>115</v>
      </c>
      <c r="B122" s="25">
        <v>128127</v>
      </c>
      <c r="C122" s="25" t="s">
        <v>1168</v>
      </c>
      <c r="D122" s="25">
        <v>106.86499999999999</v>
      </c>
      <c r="E122" s="34">
        <v>-2.8999999999999998E-3</v>
      </c>
      <c r="F122" s="25">
        <v>4.5599999999999996</v>
      </c>
      <c r="G122" s="25">
        <v>84.43</v>
      </c>
      <c r="H122" s="43">
        <v>0.26569999999999999</v>
      </c>
      <c r="I122" s="57">
        <v>133.435</v>
      </c>
      <c r="J122" s="32">
        <v>46254</v>
      </c>
      <c r="K122" s="33">
        <v>2.6989999999999998</v>
      </c>
      <c r="L122" s="33">
        <v>9.4924269999999993</v>
      </c>
      <c r="M122" s="33">
        <v>953.90679049999994</v>
      </c>
      <c r="N122" s="34">
        <v>9.4035791491259239E-3</v>
      </c>
      <c r="O122" s="34">
        <v>4.1363000000000004E-2</v>
      </c>
      <c r="P122" s="25">
        <v>107.345</v>
      </c>
      <c r="Q122" s="25">
        <v>106.801</v>
      </c>
      <c r="R122" s="34">
        <v>5.0935852660555321E-3</v>
      </c>
    </row>
    <row r="123" spans="1:18" x14ac:dyDescent="0.15">
      <c r="A123" s="26">
        <v>116</v>
      </c>
      <c r="B123" s="25">
        <v>113637</v>
      </c>
      <c r="C123" s="25" t="s">
        <v>684</v>
      </c>
      <c r="D123" s="25">
        <v>121.61799999999999</v>
      </c>
      <c r="E123" s="34">
        <v>-7.000000000000001E-4</v>
      </c>
      <c r="F123" s="25">
        <v>12.57</v>
      </c>
      <c r="G123" s="25">
        <v>96.02</v>
      </c>
      <c r="H123" s="43">
        <v>0.2666</v>
      </c>
      <c r="I123" s="57">
        <v>148.27799999999999</v>
      </c>
      <c r="J123" s="32">
        <v>46743</v>
      </c>
      <c r="K123" s="33">
        <v>4.0380000000000003</v>
      </c>
      <c r="L123" s="33">
        <v>7.9978600000000002</v>
      </c>
      <c r="M123" s="33">
        <v>1417.3032000000001</v>
      </c>
      <c r="N123" s="34">
        <v>1.4571058869267281E-2</v>
      </c>
      <c r="O123" s="34">
        <v>-2.1250000000000002E-3</v>
      </c>
      <c r="P123" s="25">
        <v>122.499</v>
      </c>
      <c r="Q123" s="25">
        <v>121.572</v>
      </c>
      <c r="R123" s="34">
        <v>7.6251110453064231E-3</v>
      </c>
    </row>
    <row r="124" spans="1:18" x14ac:dyDescent="0.15">
      <c r="A124" s="26">
        <v>117</v>
      </c>
      <c r="B124" s="25">
        <v>118045</v>
      </c>
      <c r="C124" s="25" t="s">
        <v>1111</v>
      </c>
      <c r="D124" s="25">
        <v>151.71899999999999</v>
      </c>
      <c r="E124" s="34">
        <v>1.9099999999999999E-2</v>
      </c>
      <c r="F124" s="25">
        <v>42.72</v>
      </c>
      <c r="G124" s="25">
        <v>119.5</v>
      </c>
      <c r="H124" s="43">
        <v>0.26960000000000001</v>
      </c>
      <c r="I124" s="57">
        <v>178.679</v>
      </c>
      <c r="J124" s="32">
        <v>47373</v>
      </c>
      <c r="K124" s="33">
        <v>5.7640000000000002</v>
      </c>
      <c r="L124" s="33">
        <v>3</v>
      </c>
      <c r="M124" s="33">
        <v>12887.354799999999</v>
      </c>
      <c r="N124" s="34">
        <v>0.28314086787635917</v>
      </c>
      <c r="O124" s="34">
        <v>-4.5339999999999998E-2</v>
      </c>
      <c r="P124" s="25">
        <v>154.1</v>
      </c>
      <c r="Q124" s="25">
        <v>148.797</v>
      </c>
      <c r="R124" s="34">
        <v>3.5639159391654386E-2</v>
      </c>
    </row>
    <row r="125" spans="1:18" x14ac:dyDescent="0.15">
      <c r="A125" s="26">
        <v>118</v>
      </c>
      <c r="B125" s="25">
        <v>123172</v>
      </c>
      <c r="C125" s="25" t="s">
        <v>1009</v>
      </c>
      <c r="D125" s="25">
        <v>123.203</v>
      </c>
      <c r="E125" s="34">
        <v>4.7999999999999996E-3</v>
      </c>
      <c r="F125" s="25">
        <v>21.16</v>
      </c>
      <c r="G125" s="25">
        <v>96.79</v>
      </c>
      <c r="H125" s="43">
        <v>0.27289999999999998</v>
      </c>
      <c r="I125" s="57">
        <v>150.49299999999999</v>
      </c>
      <c r="J125" s="32">
        <v>47102</v>
      </c>
      <c r="K125" s="33">
        <v>5.0220000000000002</v>
      </c>
      <c r="L125" s="33">
        <v>7.9999349999999998</v>
      </c>
      <c r="M125" s="33">
        <v>2253.5539600000002</v>
      </c>
      <c r="N125" s="34">
        <v>2.2864421628072128E-2</v>
      </c>
      <c r="O125" s="34">
        <v>-8.2059999999999998E-3</v>
      </c>
      <c r="P125" s="25">
        <v>123.845</v>
      </c>
      <c r="Q125" s="25">
        <v>122.72</v>
      </c>
      <c r="R125" s="34">
        <v>9.1672099087353326E-3</v>
      </c>
    </row>
    <row r="126" spans="1:18" x14ac:dyDescent="0.15">
      <c r="A126" s="26">
        <v>119</v>
      </c>
      <c r="B126" s="25">
        <v>123222</v>
      </c>
      <c r="C126" s="25" t="s">
        <v>1113</v>
      </c>
      <c r="D126" s="25">
        <v>146.37</v>
      </c>
      <c r="E126" s="34">
        <v>-8.9999999999999998E-4</v>
      </c>
      <c r="F126" s="25">
        <v>24.37</v>
      </c>
      <c r="G126" s="25">
        <v>114.98</v>
      </c>
      <c r="H126" s="43">
        <v>0.27300000000000002</v>
      </c>
      <c r="I126" s="57">
        <v>173.67000000000002</v>
      </c>
      <c r="J126" s="32">
        <v>47369</v>
      </c>
      <c r="K126" s="33">
        <v>5.7530000000000001</v>
      </c>
      <c r="L126" s="33">
        <v>5</v>
      </c>
      <c r="M126" s="33">
        <v>2211.7806473999999</v>
      </c>
      <c r="N126" s="34">
        <v>3.0221775601557692E-2</v>
      </c>
      <c r="O126" s="34">
        <v>-3.4550999999999998E-2</v>
      </c>
      <c r="P126" s="25">
        <v>147.958</v>
      </c>
      <c r="Q126" s="25">
        <v>146.06</v>
      </c>
      <c r="R126" s="34">
        <v>1.2994659728878517E-2</v>
      </c>
    </row>
    <row r="127" spans="1:18" x14ac:dyDescent="0.15">
      <c r="A127" s="26">
        <v>120</v>
      </c>
      <c r="B127" s="25">
        <v>127076</v>
      </c>
      <c r="C127" s="25" t="s">
        <v>1140</v>
      </c>
      <c r="D127" s="25">
        <v>120.62</v>
      </c>
      <c r="E127" s="34">
        <v>1.06E-2</v>
      </c>
      <c r="F127" s="25">
        <v>28.3</v>
      </c>
      <c r="G127" s="25">
        <v>94.7</v>
      </c>
      <c r="H127" s="43">
        <v>0.2737</v>
      </c>
      <c r="I127" s="57">
        <v>147.99</v>
      </c>
      <c r="J127" s="32">
        <v>47051</v>
      </c>
      <c r="K127" s="33">
        <v>4.8819999999999997</v>
      </c>
      <c r="L127" s="33">
        <v>7.690078999999999</v>
      </c>
      <c r="M127" s="33">
        <v>4693.6561609999999</v>
      </c>
      <c r="N127" s="34">
        <v>5.0601238455895925E-2</v>
      </c>
      <c r="O127" s="34">
        <v>-7.5460000000000006E-3</v>
      </c>
      <c r="P127" s="25">
        <v>121.074</v>
      </c>
      <c r="Q127" s="25">
        <v>119.417</v>
      </c>
      <c r="R127" s="34">
        <v>1.3875746334273985E-2</v>
      </c>
    </row>
    <row r="128" spans="1:18" x14ac:dyDescent="0.15">
      <c r="A128" s="26">
        <v>121</v>
      </c>
      <c r="B128" s="25">
        <v>127059</v>
      </c>
      <c r="C128" s="25" t="s">
        <v>1149</v>
      </c>
      <c r="D128" s="25">
        <v>118.55</v>
      </c>
      <c r="E128" s="34">
        <v>-4.5999999999999999E-3</v>
      </c>
      <c r="F128" s="25">
        <v>8.6300000000000008</v>
      </c>
      <c r="G128" s="25">
        <v>92.93</v>
      </c>
      <c r="H128" s="43">
        <v>0.2757</v>
      </c>
      <c r="I128" s="57">
        <v>146.12</v>
      </c>
      <c r="J128" s="32">
        <v>46851</v>
      </c>
      <c r="K128" s="33">
        <v>4.3339999999999996</v>
      </c>
      <c r="L128" s="33">
        <v>3.7919339999999995</v>
      </c>
      <c r="M128" s="33">
        <v>888.653006</v>
      </c>
      <c r="N128" s="34">
        <v>1.9768325630620687E-2</v>
      </c>
      <c r="O128" s="34">
        <v>3.0609999999999999E-3</v>
      </c>
      <c r="P128" s="25">
        <v>119.59</v>
      </c>
      <c r="Q128" s="25">
        <v>118.33499999999999</v>
      </c>
      <c r="R128" s="34">
        <v>1.0605484429796846E-2</v>
      </c>
    </row>
    <row r="129" spans="1:18" x14ac:dyDescent="0.15">
      <c r="A129" s="26">
        <v>122</v>
      </c>
      <c r="B129" s="25">
        <v>127087</v>
      </c>
      <c r="C129" s="25" t="s">
        <v>1017</v>
      </c>
      <c r="D129" s="25">
        <v>120.2</v>
      </c>
      <c r="E129" s="34">
        <v>1.7000000000000001E-3</v>
      </c>
      <c r="F129" s="25">
        <v>13.36</v>
      </c>
      <c r="G129" s="25">
        <v>94.16</v>
      </c>
      <c r="H129" s="43">
        <v>0.27660000000000001</v>
      </c>
      <c r="I129" s="57">
        <v>147.86000000000001</v>
      </c>
      <c r="J129" s="32">
        <v>47283</v>
      </c>
      <c r="K129" s="33">
        <v>5.5179999999999998</v>
      </c>
      <c r="L129" s="33">
        <v>4.6289999999999996</v>
      </c>
      <c r="M129" s="33">
        <v>428.63833660000006</v>
      </c>
      <c r="N129" s="34">
        <v>7.703700008159513E-3</v>
      </c>
      <c r="O129" s="34">
        <v>9.19E-4</v>
      </c>
      <c r="P129" s="25">
        <v>120.999</v>
      </c>
      <c r="Q129" s="25">
        <v>120.021</v>
      </c>
      <c r="R129" s="34">
        <v>8.1485739995500323E-3</v>
      </c>
    </row>
    <row r="130" spans="1:18" x14ac:dyDescent="0.15">
      <c r="A130" s="26">
        <v>123</v>
      </c>
      <c r="B130" s="25">
        <v>123087</v>
      </c>
      <c r="C130" s="25" t="s">
        <v>690</v>
      </c>
      <c r="D130" s="25">
        <v>122.55</v>
      </c>
      <c r="E130" s="34">
        <v>1.3100000000000001E-2</v>
      </c>
      <c r="F130" s="25">
        <v>15.57</v>
      </c>
      <c r="G130" s="25">
        <v>95.95</v>
      </c>
      <c r="H130" s="43">
        <v>0.2772</v>
      </c>
      <c r="I130" s="57">
        <v>150.26999999999998</v>
      </c>
      <c r="J130" s="32">
        <v>46371</v>
      </c>
      <c r="K130" s="33">
        <v>3.0190000000000001</v>
      </c>
      <c r="L130" s="33">
        <v>4.1891920000000002</v>
      </c>
      <c r="M130" s="33">
        <v>1717.6041949999999</v>
      </c>
      <c r="N130" s="34">
        <v>3.3456423355375318E-2</v>
      </c>
      <c r="O130" s="34">
        <v>-7.0989999999999994E-3</v>
      </c>
      <c r="P130" s="25">
        <v>122.703</v>
      </c>
      <c r="Q130" s="25">
        <v>120.96299999999999</v>
      </c>
      <c r="R130" s="34">
        <v>1.4384563874903972E-2</v>
      </c>
    </row>
    <row r="131" spans="1:18" x14ac:dyDescent="0.15">
      <c r="A131" s="26">
        <v>124</v>
      </c>
      <c r="B131" s="25">
        <v>113646</v>
      </c>
      <c r="C131" s="25" t="s">
        <v>695</v>
      </c>
      <c r="D131" s="25">
        <v>141.184</v>
      </c>
      <c r="E131" s="34">
        <v>1.1999999999999999E-3</v>
      </c>
      <c r="F131" s="25">
        <v>8.26</v>
      </c>
      <c r="G131" s="25">
        <v>110.53</v>
      </c>
      <c r="H131" s="43">
        <v>0.27729999999999999</v>
      </c>
      <c r="I131" s="57">
        <v>168.91399999999999</v>
      </c>
      <c r="J131" s="32">
        <v>46857</v>
      </c>
      <c r="K131" s="33">
        <v>4.351</v>
      </c>
      <c r="L131" s="33">
        <v>1.3816900000000001</v>
      </c>
      <c r="M131" s="33">
        <v>959.73649999999998</v>
      </c>
      <c r="N131" s="34">
        <v>4.9198959201270376E-2</v>
      </c>
      <c r="O131" s="34">
        <v>-5.0594E-2</v>
      </c>
      <c r="P131" s="25">
        <v>141.91</v>
      </c>
      <c r="Q131" s="25">
        <v>140.67099999999999</v>
      </c>
      <c r="R131" s="34">
        <v>8.8077855421515756E-3</v>
      </c>
    </row>
    <row r="132" spans="1:18" x14ac:dyDescent="0.15">
      <c r="A132" s="26">
        <v>125</v>
      </c>
      <c r="B132" s="25">
        <v>113526</v>
      </c>
      <c r="C132" s="25" t="s">
        <v>68</v>
      </c>
      <c r="D132" s="25">
        <v>123.712</v>
      </c>
      <c r="E132" s="34">
        <v>-2.5999999999999999E-3</v>
      </c>
      <c r="F132" s="25">
        <v>5.72</v>
      </c>
      <c r="G132" s="25">
        <v>96.85</v>
      </c>
      <c r="H132" s="43">
        <v>0.27739999999999998</v>
      </c>
      <c r="I132" s="57">
        <v>151.452</v>
      </c>
      <c r="J132" s="32">
        <v>45680</v>
      </c>
      <c r="K132" s="33">
        <v>1.1259999999999999</v>
      </c>
      <c r="L132" s="33">
        <v>1.9266700000000001</v>
      </c>
      <c r="M132" s="33">
        <v>641.3125</v>
      </c>
      <c r="N132" s="34">
        <v>2.6906086983169628E-2</v>
      </c>
      <c r="O132" s="34">
        <v>-0.116355</v>
      </c>
      <c r="P132" s="25">
        <v>124.518</v>
      </c>
      <c r="Q132" s="25">
        <v>123.6</v>
      </c>
      <c r="R132" s="34">
        <v>7.4271844660194694E-3</v>
      </c>
    </row>
    <row r="133" spans="1:18" x14ac:dyDescent="0.15">
      <c r="A133" s="26">
        <v>126</v>
      </c>
      <c r="B133" s="25">
        <v>127092</v>
      </c>
      <c r="C133" s="25" t="s">
        <v>1108</v>
      </c>
      <c r="D133" s="25">
        <v>120.673</v>
      </c>
      <c r="E133" s="34">
        <v>0</v>
      </c>
      <c r="F133" s="25">
        <v>17.670000000000002</v>
      </c>
      <c r="G133" s="25">
        <v>94.45</v>
      </c>
      <c r="H133" s="43">
        <v>0.27760000000000001</v>
      </c>
      <c r="I133" s="57">
        <v>148.43299999999999</v>
      </c>
      <c r="J133" s="32">
        <v>47382</v>
      </c>
      <c r="K133" s="33">
        <v>5.7889999999999997</v>
      </c>
      <c r="L133" s="33">
        <v>7.3</v>
      </c>
      <c r="M133" s="33">
        <v>1344.4687210999998</v>
      </c>
      <c r="N133" s="34">
        <v>1.5262220829096722E-2</v>
      </c>
      <c r="O133" s="34">
        <v>6.1899999999999998E-4</v>
      </c>
      <c r="P133" s="25">
        <v>121.867</v>
      </c>
      <c r="Q133" s="25">
        <v>120.3</v>
      </c>
      <c r="R133" s="34">
        <v>1.3025768911055755E-2</v>
      </c>
    </row>
    <row r="134" spans="1:18" x14ac:dyDescent="0.15">
      <c r="A134" s="26">
        <v>127</v>
      </c>
      <c r="B134" s="25">
        <v>118004</v>
      </c>
      <c r="C134" s="25" t="s">
        <v>1135</v>
      </c>
      <c r="D134" s="25">
        <v>128.298</v>
      </c>
      <c r="E134" s="34">
        <v>-1.1000000000000001E-2</v>
      </c>
      <c r="F134" s="25">
        <v>34.94</v>
      </c>
      <c r="G134" s="25">
        <v>100.06</v>
      </c>
      <c r="H134" s="43">
        <v>0.28220000000000001</v>
      </c>
      <c r="I134" s="57">
        <v>156.518</v>
      </c>
      <c r="J134" s="32">
        <v>46756</v>
      </c>
      <c r="K134" s="33">
        <v>4.0739999999999998</v>
      </c>
      <c r="L134" s="33">
        <v>4.6493900000000004</v>
      </c>
      <c r="M134" s="33">
        <v>5270.6534000000001</v>
      </c>
      <c r="N134" s="34">
        <v>8.8358552840980861E-2</v>
      </c>
      <c r="O134" s="34">
        <v>-1.5396E-2</v>
      </c>
      <c r="P134" s="25">
        <v>130.30000000000001</v>
      </c>
      <c r="Q134" s="25">
        <v>128</v>
      </c>
      <c r="R134" s="34">
        <v>1.7968750000000089E-2</v>
      </c>
    </row>
    <row r="135" spans="1:18" x14ac:dyDescent="0.15">
      <c r="A135" s="26">
        <v>128</v>
      </c>
      <c r="B135" s="25">
        <v>123220</v>
      </c>
      <c r="C135" s="25" t="s">
        <v>1057</v>
      </c>
      <c r="D135" s="25">
        <v>122.251</v>
      </c>
      <c r="E135" s="34">
        <v>-4.0999999999999995E-3</v>
      </c>
      <c r="F135" s="25">
        <v>12.87</v>
      </c>
      <c r="G135" s="25">
        <v>95.26</v>
      </c>
      <c r="H135" s="43">
        <v>0.2833</v>
      </c>
      <c r="I135" s="57">
        <v>150.58100000000002</v>
      </c>
      <c r="J135" s="32">
        <v>47348</v>
      </c>
      <c r="K135" s="33">
        <v>5.6959999999999997</v>
      </c>
      <c r="L135" s="33">
        <v>3.2819669999999999</v>
      </c>
      <c r="M135" s="33">
        <v>723.66438070000004</v>
      </c>
      <c r="N135" s="34">
        <v>1.803642941918859E-2</v>
      </c>
      <c r="O135" s="34">
        <v>-4.0400000000000002E-3</v>
      </c>
      <c r="P135" s="25">
        <v>122.98</v>
      </c>
      <c r="Q135" s="25">
        <v>122.102</v>
      </c>
      <c r="R135" s="34">
        <v>7.1907094068893226E-3</v>
      </c>
    </row>
    <row r="136" spans="1:18" x14ac:dyDescent="0.15">
      <c r="A136" s="26">
        <v>129</v>
      </c>
      <c r="B136" s="25">
        <v>113577</v>
      </c>
      <c r="C136" s="25" t="s">
        <v>58</v>
      </c>
      <c r="D136" s="25">
        <v>134.489</v>
      </c>
      <c r="E136" s="34">
        <v>4.5000000000000005E-3</v>
      </c>
      <c r="F136" s="25">
        <v>10.65</v>
      </c>
      <c r="G136" s="25">
        <v>104.79</v>
      </c>
      <c r="H136" s="43">
        <v>0.28339999999999999</v>
      </c>
      <c r="I136" s="57">
        <v>162.82900000000001</v>
      </c>
      <c r="J136" s="32">
        <v>46126</v>
      </c>
      <c r="K136" s="33">
        <v>2.3479999999999999</v>
      </c>
      <c r="L136" s="33">
        <v>1.77721</v>
      </c>
      <c r="M136" s="33">
        <v>5224.2491</v>
      </c>
      <c r="N136" s="34">
        <v>0.21857393145730333</v>
      </c>
      <c r="O136" s="34">
        <v>-6.2134000000000002E-2</v>
      </c>
      <c r="P136" s="25">
        <v>137.35</v>
      </c>
      <c r="Q136" s="25">
        <v>133.137</v>
      </c>
      <c r="R136" s="34">
        <v>3.1644095931258734E-2</v>
      </c>
    </row>
    <row r="137" spans="1:18" x14ac:dyDescent="0.15">
      <c r="A137" s="26">
        <v>130</v>
      </c>
      <c r="B137" s="25">
        <v>123163</v>
      </c>
      <c r="C137" s="25" t="s">
        <v>726</v>
      </c>
      <c r="D137" s="25">
        <v>123.4</v>
      </c>
      <c r="E137" s="34">
        <v>-5.5000000000000005E-3</v>
      </c>
      <c r="F137" s="25">
        <v>27.08</v>
      </c>
      <c r="G137" s="25">
        <v>96.12</v>
      </c>
      <c r="H137" s="43">
        <v>0.2838</v>
      </c>
      <c r="I137" s="57">
        <v>151.78</v>
      </c>
      <c r="J137" s="32">
        <v>47040</v>
      </c>
      <c r="K137" s="33">
        <v>4.8520000000000003</v>
      </c>
      <c r="L137" s="33">
        <v>3.0998999999999999</v>
      </c>
      <c r="M137" s="33">
        <v>2396.5286289999999</v>
      </c>
      <c r="N137" s="34">
        <v>6.2649812800465193E-2</v>
      </c>
      <c r="O137" s="34">
        <v>-3.777E-3</v>
      </c>
      <c r="P137" s="25">
        <v>124.2</v>
      </c>
      <c r="Q137" s="25">
        <v>123.20699999999999</v>
      </c>
      <c r="R137" s="34">
        <v>8.0596070028489397E-3</v>
      </c>
    </row>
    <row r="138" spans="1:18" x14ac:dyDescent="0.15">
      <c r="A138" s="26">
        <v>131</v>
      </c>
      <c r="B138" s="25">
        <v>123184</v>
      </c>
      <c r="C138" s="25" t="s">
        <v>1130</v>
      </c>
      <c r="D138" s="25">
        <v>122.73</v>
      </c>
      <c r="E138" s="34">
        <v>1E-4</v>
      </c>
      <c r="F138" s="25">
        <v>14.92</v>
      </c>
      <c r="G138" s="25">
        <v>95.38</v>
      </c>
      <c r="H138" s="43">
        <v>0.28670000000000001</v>
      </c>
      <c r="I138" s="57">
        <v>151.4</v>
      </c>
      <c r="J138" s="32">
        <v>47200</v>
      </c>
      <c r="K138" s="33">
        <v>5.29</v>
      </c>
      <c r="L138" s="33">
        <v>9.7498919999999991</v>
      </c>
      <c r="M138" s="33">
        <v>658.55857509999998</v>
      </c>
      <c r="N138" s="34">
        <v>5.5035620821480792E-3</v>
      </c>
      <c r="O138" s="34">
        <v>-3.836E-3</v>
      </c>
      <c r="P138" s="25">
        <v>123.44</v>
      </c>
      <c r="Q138" s="25">
        <v>122.42</v>
      </c>
      <c r="R138" s="34">
        <v>8.3319719000163051E-3</v>
      </c>
    </row>
    <row r="139" spans="1:18" x14ac:dyDescent="0.15">
      <c r="A139" s="26">
        <v>132</v>
      </c>
      <c r="B139" s="25">
        <v>113600</v>
      </c>
      <c r="C139" s="25" t="s">
        <v>1003</v>
      </c>
      <c r="D139" s="25">
        <v>119.06699999999999</v>
      </c>
      <c r="E139" s="34">
        <v>-5.0000000000000001E-4</v>
      </c>
      <c r="F139" s="25">
        <v>17.45</v>
      </c>
      <c r="G139" s="25">
        <v>92.38</v>
      </c>
      <c r="H139" s="43">
        <v>0.28889999999999999</v>
      </c>
      <c r="I139" s="57">
        <v>147.95699999999999</v>
      </c>
      <c r="J139" s="32">
        <v>46247</v>
      </c>
      <c r="K139" s="33">
        <v>2.6789999999999998</v>
      </c>
      <c r="L139" s="33">
        <v>4.5295399999999999</v>
      </c>
      <c r="M139" s="33">
        <v>734.81280000000004</v>
      </c>
      <c r="N139" s="34">
        <v>1.3624833454095004E-2</v>
      </c>
      <c r="O139" s="34">
        <v>1.5512E-2</v>
      </c>
      <c r="P139" s="25">
        <v>119.68</v>
      </c>
      <c r="Q139" s="25">
        <v>118.78</v>
      </c>
      <c r="R139" s="34">
        <v>7.5770331705674833E-3</v>
      </c>
    </row>
    <row r="140" spans="1:18" x14ac:dyDescent="0.15">
      <c r="A140" s="26">
        <v>133</v>
      </c>
      <c r="B140" s="25">
        <v>127094</v>
      </c>
      <c r="C140" s="25" t="s">
        <v>1102</v>
      </c>
      <c r="D140" s="25">
        <v>122</v>
      </c>
      <c r="E140" s="34">
        <v>-1.9E-2</v>
      </c>
      <c r="F140" s="25">
        <v>10.89</v>
      </c>
      <c r="G140" s="25">
        <v>94.58</v>
      </c>
      <c r="H140" s="43">
        <v>0.28989999999999999</v>
      </c>
      <c r="I140" s="57">
        <v>150.99</v>
      </c>
      <c r="J140" s="32">
        <v>47409</v>
      </c>
      <c r="K140" s="33">
        <v>5.8630000000000004</v>
      </c>
      <c r="L140" s="33">
        <v>3.16</v>
      </c>
      <c r="M140" s="33">
        <v>2892.2921246000001</v>
      </c>
      <c r="N140" s="34">
        <v>7.5023140812409211E-2</v>
      </c>
      <c r="O140" s="34">
        <v>-1.57E-3</v>
      </c>
      <c r="P140" s="25">
        <v>124.44</v>
      </c>
      <c r="Q140" s="25">
        <v>121.91200000000001</v>
      </c>
      <c r="R140" s="34">
        <v>2.0736268784040876E-2</v>
      </c>
    </row>
    <row r="141" spans="1:18" x14ac:dyDescent="0.15">
      <c r="A141" s="26">
        <v>134</v>
      </c>
      <c r="B141" s="25">
        <v>123209</v>
      </c>
      <c r="C141" s="25" t="s">
        <v>1039</v>
      </c>
      <c r="D141" s="25">
        <v>137.4</v>
      </c>
      <c r="E141" s="34">
        <v>-1.7899999999999999E-2</v>
      </c>
      <c r="F141" s="25">
        <v>18.27</v>
      </c>
      <c r="G141" s="25">
        <v>106.19</v>
      </c>
      <c r="H141" s="43">
        <v>0.29389999999999999</v>
      </c>
      <c r="I141" s="57">
        <v>166.79000000000002</v>
      </c>
      <c r="J141" s="32">
        <v>47325</v>
      </c>
      <c r="K141" s="33">
        <v>5.633</v>
      </c>
      <c r="L141" s="33">
        <v>2.1850000000000001</v>
      </c>
      <c r="M141" s="33">
        <v>5947.5548294</v>
      </c>
      <c r="N141" s="34">
        <v>0.19810720938381646</v>
      </c>
      <c r="O141" s="34">
        <v>-2.5922999999999998E-2</v>
      </c>
      <c r="P141" s="25">
        <v>139.839</v>
      </c>
      <c r="Q141" s="25">
        <v>136.23099999999999</v>
      </c>
      <c r="R141" s="34">
        <v>2.6484427186176451E-2</v>
      </c>
    </row>
    <row r="142" spans="1:18" x14ac:dyDescent="0.15">
      <c r="A142" s="26">
        <v>135</v>
      </c>
      <c r="B142" s="25">
        <v>123174</v>
      </c>
      <c r="C142" s="25" t="s">
        <v>1133</v>
      </c>
      <c r="D142" s="25">
        <v>129.92099999999999</v>
      </c>
      <c r="E142" s="34">
        <v>3.3E-3</v>
      </c>
      <c r="F142" s="25">
        <v>12.97</v>
      </c>
      <c r="G142" s="25">
        <v>100.39</v>
      </c>
      <c r="H142" s="43">
        <v>0.29420000000000002</v>
      </c>
      <c r="I142" s="57">
        <v>159.34100000000001</v>
      </c>
      <c r="J142" s="32">
        <v>47164</v>
      </c>
      <c r="K142" s="33">
        <v>5.1920000000000002</v>
      </c>
      <c r="L142" s="33">
        <v>9.7991969999999995</v>
      </c>
      <c r="M142" s="33">
        <v>2822.4499041999998</v>
      </c>
      <c r="N142" s="34">
        <v>2.2169525556586002E-2</v>
      </c>
      <c r="O142" s="34">
        <v>-1.4970000000000001E-2</v>
      </c>
      <c r="P142" s="25">
        <v>130.488</v>
      </c>
      <c r="Q142" s="25">
        <v>129.41399999999999</v>
      </c>
      <c r="R142" s="34">
        <v>8.2989475636330873E-3</v>
      </c>
    </row>
    <row r="143" spans="1:18" x14ac:dyDescent="0.15">
      <c r="A143" s="26">
        <v>136</v>
      </c>
      <c r="B143" s="25">
        <v>123131</v>
      </c>
      <c r="C143" s="25" t="s">
        <v>716</v>
      </c>
      <c r="D143" s="25">
        <v>125.151</v>
      </c>
      <c r="E143" s="34">
        <v>4.4000000000000003E-3</v>
      </c>
      <c r="F143" s="25">
        <v>10.09</v>
      </c>
      <c r="G143" s="25">
        <v>96.53</v>
      </c>
      <c r="H143" s="43">
        <v>0.29649999999999999</v>
      </c>
      <c r="I143" s="57">
        <v>154.80099999999999</v>
      </c>
      <c r="J143" s="32">
        <v>46724</v>
      </c>
      <c r="K143" s="33">
        <v>3.9860000000000002</v>
      </c>
      <c r="L143" s="33">
        <v>6.3476889999999999</v>
      </c>
      <c r="M143" s="33">
        <v>2294.4804280000003</v>
      </c>
      <c r="N143" s="34">
        <v>2.8882474108052295E-2</v>
      </c>
      <c r="O143" s="34">
        <v>-9.6410000000000003E-3</v>
      </c>
      <c r="P143" s="25">
        <v>125.874</v>
      </c>
      <c r="Q143" s="25">
        <v>124.187</v>
      </c>
      <c r="R143" s="34">
        <v>1.3584352629502264E-2</v>
      </c>
    </row>
    <row r="144" spans="1:18" x14ac:dyDescent="0.15">
      <c r="A144" s="26">
        <v>137</v>
      </c>
      <c r="B144" s="25">
        <v>123152</v>
      </c>
      <c r="C144" s="25" t="s">
        <v>1146</v>
      </c>
      <c r="D144" s="25">
        <v>125.68300000000001</v>
      </c>
      <c r="E144" s="34">
        <v>3.9000000000000003E-3</v>
      </c>
      <c r="F144" s="25">
        <v>29.03</v>
      </c>
      <c r="G144" s="25">
        <v>96.9</v>
      </c>
      <c r="H144" s="43">
        <v>0.29699999999999999</v>
      </c>
      <c r="I144" s="57">
        <v>155.38300000000001</v>
      </c>
      <c r="J144" s="32">
        <v>46955</v>
      </c>
      <c r="K144" s="33">
        <v>4.6189999999999998</v>
      </c>
      <c r="L144" s="33">
        <v>2.9225629999999998</v>
      </c>
      <c r="M144" s="33">
        <v>2041.1628219000002</v>
      </c>
      <c r="N144" s="34">
        <v>5.556959467692741E-2</v>
      </c>
      <c r="O144" s="34">
        <v>-2.797E-3</v>
      </c>
      <c r="P144" s="25">
        <v>125.998</v>
      </c>
      <c r="Q144" s="25">
        <v>125.03</v>
      </c>
      <c r="R144" s="34">
        <v>7.7421418859474006E-3</v>
      </c>
    </row>
    <row r="145" spans="1:18" x14ac:dyDescent="0.15">
      <c r="A145" s="26">
        <v>138</v>
      </c>
      <c r="B145" s="25">
        <v>123085</v>
      </c>
      <c r="C145" s="25" t="s">
        <v>731</v>
      </c>
      <c r="D145" s="25">
        <v>118.873</v>
      </c>
      <c r="E145" s="34">
        <v>5.0000000000000001E-4</v>
      </c>
      <c r="F145" s="25">
        <v>6.67</v>
      </c>
      <c r="G145" s="25">
        <v>91.6</v>
      </c>
      <c r="H145" s="43">
        <v>0.29770000000000002</v>
      </c>
      <c r="I145" s="57">
        <v>148.643</v>
      </c>
      <c r="J145" s="32">
        <v>46367</v>
      </c>
      <c r="K145" s="33">
        <v>3.008</v>
      </c>
      <c r="L145" s="33">
        <v>5.7039390000000001</v>
      </c>
      <c r="M145" s="33">
        <v>925.02231199999994</v>
      </c>
      <c r="N145" s="34">
        <v>1.3642504721459732E-2</v>
      </c>
      <c r="O145" s="34">
        <v>-1.9143E-2</v>
      </c>
      <c r="P145" s="25">
        <v>119.218</v>
      </c>
      <c r="Q145" s="25">
        <v>118.52</v>
      </c>
      <c r="R145" s="34">
        <v>5.8893013837327665E-3</v>
      </c>
    </row>
    <row r="146" spans="1:18" x14ac:dyDescent="0.15">
      <c r="A146" s="26">
        <v>139</v>
      </c>
      <c r="B146" s="25">
        <v>123211</v>
      </c>
      <c r="C146" s="25" t="s">
        <v>1040</v>
      </c>
      <c r="D146" s="25">
        <v>117.9</v>
      </c>
      <c r="E146" s="34">
        <v>0</v>
      </c>
      <c r="F146" s="25">
        <v>9.8699999999999992</v>
      </c>
      <c r="G146" s="25">
        <v>90.78</v>
      </c>
      <c r="H146" s="43">
        <v>0.29870000000000002</v>
      </c>
      <c r="I146" s="57">
        <v>147.77000000000001</v>
      </c>
      <c r="J146" s="32">
        <v>47326</v>
      </c>
      <c r="K146" s="33">
        <v>5.6360000000000001</v>
      </c>
      <c r="L146" s="33">
        <v>6.5</v>
      </c>
      <c r="M146" s="33">
        <v>501.02792309999995</v>
      </c>
      <c r="N146" s="34">
        <v>6.5378472382070845E-3</v>
      </c>
      <c r="O146" s="34">
        <v>3.643E-3</v>
      </c>
      <c r="P146" s="25">
        <v>118.48699999999999</v>
      </c>
      <c r="Q146" s="25">
        <v>117.693</v>
      </c>
      <c r="R146" s="34">
        <v>6.7463655442549422E-3</v>
      </c>
    </row>
    <row r="147" spans="1:18" x14ac:dyDescent="0.15">
      <c r="A147" s="26">
        <v>140</v>
      </c>
      <c r="B147" s="25">
        <v>123168</v>
      </c>
      <c r="C147" s="25" t="s">
        <v>721</v>
      </c>
      <c r="D147" s="25">
        <v>115.25</v>
      </c>
      <c r="E147" s="34">
        <v>0</v>
      </c>
      <c r="F147" s="25">
        <v>10.78</v>
      </c>
      <c r="G147" s="25">
        <v>88.59</v>
      </c>
      <c r="H147" s="43">
        <v>0.3009</v>
      </c>
      <c r="I147" s="57">
        <v>145.34</v>
      </c>
      <c r="J147" s="32">
        <v>47080</v>
      </c>
      <c r="K147" s="33">
        <v>4.9619999999999997</v>
      </c>
      <c r="L147" s="33">
        <v>4.8998569999999999</v>
      </c>
      <c r="M147" s="33">
        <v>638.74857099999997</v>
      </c>
      <c r="N147" s="34">
        <v>1.1311119794125543E-2</v>
      </c>
      <c r="O147" s="34">
        <v>8.8349999999999991E-3</v>
      </c>
      <c r="P147" s="25">
        <v>115.66500000000001</v>
      </c>
      <c r="Q147" s="25">
        <v>115</v>
      </c>
      <c r="R147" s="34">
        <v>5.7826086956522284E-3</v>
      </c>
    </row>
    <row r="148" spans="1:18" x14ac:dyDescent="0.15">
      <c r="A148" s="26">
        <v>141</v>
      </c>
      <c r="B148" s="25">
        <v>128056</v>
      </c>
      <c r="C148" s="25" t="s">
        <v>1182</v>
      </c>
      <c r="D148" s="25">
        <v>133.15</v>
      </c>
      <c r="E148" s="34">
        <v>-8.6E-3</v>
      </c>
      <c r="F148" s="25">
        <v>5.99</v>
      </c>
      <c r="G148" s="25">
        <v>102.34</v>
      </c>
      <c r="H148" s="43">
        <v>0.30109999999999998</v>
      </c>
      <c r="I148" s="57">
        <v>163.26</v>
      </c>
      <c r="J148" s="32">
        <v>45716</v>
      </c>
      <c r="K148" s="33">
        <v>1.2250000000000001</v>
      </c>
      <c r="L148" s="33">
        <v>1.7191830000000003</v>
      </c>
      <c r="M148" s="33">
        <v>1194.8345550000001</v>
      </c>
      <c r="N148" s="34">
        <v>5.2196874094013773E-2</v>
      </c>
      <c r="O148" s="34">
        <v>-0.10011799999999998</v>
      </c>
      <c r="P148" s="25">
        <v>135.00800000000001</v>
      </c>
      <c r="Q148" s="25">
        <v>132.83099999999999</v>
      </c>
      <c r="R148" s="34">
        <v>1.6389246486136679E-2</v>
      </c>
    </row>
    <row r="149" spans="1:18" x14ac:dyDescent="0.15">
      <c r="A149" s="26">
        <v>142</v>
      </c>
      <c r="B149" s="25">
        <v>123067</v>
      </c>
      <c r="C149" s="25" t="s">
        <v>1166</v>
      </c>
      <c r="D149" s="25">
        <v>130.80000000000001</v>
      </c>
      <c r="E149" s="34">
        <v>7.4999999999999997E-3</v>
      </c>
      <c r="F149" s="25">
        <v>9.66</v>
      </c>
      <c r="G149" s="25">
        <v>100.41</v>
      </c>
      <c r="H149" s="43">
        <v>0.30269999999999997</v>
      </c>
      <c r="I149" s="57">
        <v>161.07000000000002</v>
      </c>
      <c r="J149" s="32">
        <v>46282</v>
      </c>
      <c r="K149" s="33">
        <v>2.7749999999999999</v>
      </c>
      <c r="L149" s="33">
        <v>2.393716</v>
      </c>
      <c r="M149" s="33">
        <v>1829.4502072999999</v>
      </c>
      <c r="N149" s="34">
        <v>5.8430583995634479E-2</v>
      </c>
      <c r="O149" s="34">
        <v>-3.4001999999999998E-2</v>
      </c>
      <c r="P149" s="25">
        <v>130.86000000000001</v>
      </c>
      <c r="Q149" s="25">
        <v>129.65799999999999</v>
      </c>
      <c r="R149" s="34">
        <v>9.2705425041264451E-3</v>
      </c>
    </row>
    <row r="150" spans="1:18" x14ac:dyDescent="0.15">
      <c r="A150" s="26">
        <v>143</v>
      </c>
      <c r="B150" s="25">
        <v>123207</v>
      </c>
      <c r="C150" s="25" t="s">
        <v>1042</v>
      </c>
      <c r="D150" s="25">
        <v>115.336</v>
      </c>
      <c r="E150" s="34">
        <v>-2.3999999999999998E-3</v>
      </c>
      <c r="F150" s="25">
        <v>16.559999999999999</v>
      </c>
      <c r="G150" s="25">
        <v>88.53</v>
      </c>
      <c r="H150" s="43">
        <v>0.30280000000000001</v>
      </c>
      <c r="I150" s="57">
        <v>145.61599999999999</v>
      </c>
      <c r="J150" s="32">
        <v>47320</v>
      </c>
      <c r="K150" s="33">
        <v>5.6189999999999998</v>
      </c>
      <c r="L150" s="33">
        <v>4</v>
      </c>
      <c r="M150" s="33">
        <v>778.75022430000001</v>
      </c>
      <c r="N150" s="34">
        <v>1.6880033647343414E-2</v>
      </c>
      <c r="O150" s="34">
        <v>8.8880000000000001E-3</v>
      </c>
      <c r="P150" s="25">
        <v>116.3</v>
      </c>
      <c r="Q150" s="25">
        <v>115.111</v>
      </c>
      <c r="R150" s="34">
        <v>1.0329160549382708E-2</v>
      </c>
    </row>
    <row r="151" spans="1:18" x14ac:dyDescent="0.15">
      <c r="A151" s="26">
        <v>144</v>
      </c>
      <c r="B151" s="25">
        <v>111000</v>
      </c>
      <c r="C151" s="25" t="s">
        <v>1161</v>
      </c>
      <c r="D151" s="25">
        <v>121.54</v>
      </c>
      <c r="E151" s="34">
        <v>-1.5E-3</v>
      </c>
      <c r="F151" s="25">
        <v>19.75</v>
      </c>
      <c r="G151" s="25">
        <v>93.27</v>
      </c>
      <c r="H151" s="43">
        <v>0.30309999999999998</v>
      </c>
      <c r="I151" s="57">
        <v>151.85</v>
      </c>
      <c r="J151" s="32">
        <v>46531</v>
      </c>
      <c r="K151" s="33">
        <v>3.4580000000000002</v>
      </c>
      <c r="L151" s="33">
        <v>9.9926499999999994</v>
      </c>
      <c r="M151" s="33">
        <v>1197.0030999999999</v>
      </c>
      <c r="N151" s="34">
        <v>9.8558790884082422E-3</v>
      </c>
      <c r="O151" s="34">
        <v>-4.9750000000000003E-3</v>
      </c>
      <c r="P151" s="25">
        <v>122.414</v>
      </c>
      <c r="Q151" s="25">
        <v>120.733</v>
      </c>
      <c r="R151" s="34">
        <v>1.3923285265834506E-2</v>
      </c>
    </row>
    <row r="152" spans="1:18" x14ac:dyDescent="0.15">
      <c r="A152" s="26">
        <v>145</v>
      </c>
      <c r="B152" s="25">
        <v>123153</v>
      </c>
      <c r="C152" s="25" t="s">
        <v>441</v>
      </c>
      <c r="D152" s="25">
        <v>119.69499999999999</v>
      </c>
      <c r="E152" s="34">
        <v>1.2999999999999999E-3</v>
      </c>
      <c r="F152" s="25">
        <v>19.239999999999998</v>
      </c>
      <c r="G152" s="25">
        <v>91.84</v>
      </c>
      <c r="H152" s="43">
        <v>0.30329999999999996</v>
      </c>
      <c r="I152" s="57">
        <v>150.02499999999998</v>
      </c>
      <c r="J152" s="32">
        <v>46955</v>
      </c>
      <c r="K152" s="33">
        <v>4.6189999999999998</v>
      </c>
      <c r="L152" s="33">
        <v>3.3998230000000005</v>
      </c>
      <c r="M152" s="33">
        <v>1298.437261</v>
      </c>
      <c r="N152" s="34">
        <v>3.1907196959805671E-2</v>
      </c>
      <c r="O152" s="34">
        <v>2.5840000000000004E-3</v>
      </c>
      <c r="P152" s="25">
        <v>121</v>
      </c>
      <c r="Q152" s="25">
        <v>119.366</v>
      </c>
      <c r="R152" s="34">
        <v>1.368899016470352E-2</v>
      </c>
    </row>
    <row r="153" spans="1:18" x14ac:dyDescent="0.15">
      <c r="A153" s="26">
        <v>146</v>
      </c>
      <c r="B153" s="25">
        <v>113619</v>
      </c>
      <c r="C153" s="25" t="s">
        <v>1156</v>
      </c>
      <c r="D153" s="25">
        <v>121.876</v>
      </c>
      <c r="E153" s="34">
        <v>9.5999999999999992E-3</v>
      </c>
      <c r="F153" s="25">
        <v>18.72</v>
      </c>
      <c r="G153" s="25">
        <v>93.48</v>
      </c>
      <c r="H153" s="43">
        <v>0.30380000000000001</v>
      </c>
      <c r="I153" s="57">
        <v>152.256</v>
      </c>
      <c r="J153" s="32">
        <v>46407</v>
      </c>
      <c r="K153" s="33">
        <v>3.1179999999999999</v>
      </c>
      <c r="L153" s="33">
        <v>9.9965600000000006</v>
      </c>
      <c r="M153" s="33">
        <v>1235.2147</v>
      </c>
      <c r="N153" s="34">
        <v>1.0138499459101599E-2</v>
      </c>
      <c r="O153" s="34">
        <v>-2.0797E-2</v>
      </c>
      <c r="P153" s="25">
        <v>122.298</v>
      </c>
      <c r="Q153" s="25">
        <v>120.70099999999999</v>
      </c>
      <c r="R153" s="34">
        <v>1.3231041996338129E-2</v>
      </c>
    </row>
    <row r="154" spans="1:18" x14ac:dyDescent="0.15">
      <c r="A154" s="26">
        <v>147</v>
      </c>
      <c r="B154" s="25">
        <v>123071</v>
      </c>
      <c r="C154" s="25" t="s">
        <v>682</v>
      </c>
      <c r="D154" s="25">
        <v>119.502</v>
      </c>
      <c r="E154" s="34">
        <v>7.000000000000001E-4</v>
      </c>
      <c r="F154" s="25">
        <v>7.54</v>
      </c>
      <c r="G154" s="25">
        <v>91.51</v>
      </c>
      <c r="H154" s="43">
        <v>0.30590000000000001</v>
      </c>
      <c r="I154" s="57">
        <v>150.09199999999998</v>
      </c>
      <c r="J154" s="32">
        <v>46316</v>
      </c>
      <c r="K154" s="33">
        <v>2.8679999999999999</v>
      </c>
      <c r="L154" s="33">
        <v>6.9405010000000003</v>
      </c>
      <c r="M154" s="33">
        <v>576.8963546</v>
      </c>
      <c r="N154" s="34">
        <v>6.9555551714208085E-3</v>
      </c>
      <c r="O154" s="34">
        <v>-1.193E-3</v>
      </c>
      <c r="P154" s="25">
        <v>120.247</v>
      </c>
      <c r="Q154" s="25">
        <v>119.402</v>
      </c>
      <c r="R154" s="34">
        <v>7.0769333847004144E-3</v>
      </c>
    </row>
    <row r="155" spans="1:18" x14ac:dyDescent="0.15">
      <c r="A155" s="26">
        <v>148</v>
      </c>
      <c r="B155" s="25">
        <v>123120</v>
      </c>
      <c r="C155" s="25" t="s">
        <v>686</v>
      </c>
      <c r="D155" s="25">
        <v>118.316</v>
      </c>
      <c r="E155" s="34">
        <v>1.4000000000000002E-3</v>
      </c>
      <c r="F155" s="25">
        <v>7.72</v>
      </c>
      <c r="G155" s="25">
        <v>90.28</v>
      </c>
      <c r="H155" s="43">
        <v>0.3105</v>
      </c>
      <c r="I155" s="57">
        <v>149.36600000000001</v>
      </c>
      <c r="J155" s="32">
        <v>46598</v>
      </c>
      <c r="K155" s="33">
        <v>3.641</v>
      </c>
      <c r="L155" s="33">
        <v>7.981115</v>
      </c>
      <c r="M155" s="33">
        <v>666.37150120000001</v>
      </c>
      <c r="N155" s="34">
        <v>7.0568253300530995E-3</v>
      </c>
      <c r="O155" s="34">
        <v>3.9639999999999996E-3</v>
      </c>
      <c r="P155" s="25">
        <v>118.749</v>
      </c>
      <c r="Q155" s="25">
        <v>118.04300000000001</v>
      </c>
      <c r="R155" s="34">
        <v>5.9808713773793348E-3</v>
      </c>
    </row>
    <row r="156" spans="1:18" x14ac:dyDescent="0.15">
      <c r="A156" s="26">
        <v>149</v>
      </c>
      <c r="B156" s="25">
        <v>123100</v>
      </c>
      <c r="C156" s="25" t="s">
        <v>1067</v>
      </c>
      <c r="D156" s="25">
        <v>117.211</v>
      </c>
      <c r="E156" s="34">
        <v>-3.8E-3</v>
      </c>
      <c r="F156" s="25">
        <v>11.54</v>
      </c>
      <c r="G156" s="25">
        <v>89.43</v>
      </c>
      <c r="H156" s="43">
        <v>0.31059999999999999</v>
      </c>
      <c r="I156" s="57">
        <v>148.27099999999999</v>
      </c>
      <c r="J156" s="32">
        <v>46427</v>
      </c>
      <c r="K156" s="33">
        <v>3.173</v>
      </c>
      <c r="L156" s="33">
        <v>3.7971200000000001</v>
      </c>
      <c r="M156" s="33">
        <v>1339.9621420000001</v>
      </c>
      <c r="N156" s="34">
        <v>3.0107163072061269E-2</v>
      </c>
      <c r="O156" s="34">
        <v>-1.957E-3</v>
      </c>
      <c r="P156" s="25">
        <v>118.64700000000001</v>
      </c>
      <c r="Q156" s="25">
        <v>117.095</v>
      </c>
      <c r="R156" s="34">
        <v>1.3254195311499267E-2</v>
      </c>
    </row>
    <row r="157" spans="1:18" x14ac:dyDescent="0.15">
      <c r="A157" s="26">
        <v>150</v>
      </c>
      <c r="B157" s="25">
        <v>113566</v>
      </c>
      <c r="C157" s="25" t="s">
        <v>1172</v>
      </c>
      <c r="D157" s="25">
        <v>127.282</v>
      </c>
      <c r="E157" s="34">
        <v>-1.52E-2</v>
      </c>
      <c r="F157" s="25">
        <v>10.74</v>
      </c>
      <c r="G157" s="25">
        <v>97.02</v>
      </c>
      <c r="H157" s="43">
        <v>0.31190000000000001</v>
      </c>
      <c r="I157" s="57">
        <v>158.47200000000001</v>
      </c>
      <c r="J157" s="32">
        <v>46081</v>
      </c>
      <c r="K157" s="33">
        <v>2.2250000000000001</v>
      </c>
      <c r="L157" s="33">
        <v>1.6114599999999999</v>
      </c>
      <c r="M157" s="33">
        <v>2434.6867000000002</v>
      </c>
      <c r="N157" s="34">
        <v>0.1187015971969813</v>
      </c>
      <c r="O157" s="34">
        <v>-1.925E-2</v>
      </c>
      <c r="P157" s="25">
        <v>129.608</v>
      </c>
      <c r="Q157" s="25">
        <v>127.2</v>
      </c>
      <c r="R157" s="34">
        <v>1.8930817610062902E-2</v>
      </c>
    </row>
    <row r="158" spans="1:18" x14ac:dyDescent="0.15">
      <c r="A158" s="26">
        <v>151</v>
      </c>
      <c r="B158" s="25">
        <v>123143</v>
      </c>
      <c r="C158" s="25" t="s">
        <v>1150</v>
      </c>
      <c r="D158" s="25">
        <v>124.008</v>
      </c>
      <c r="E158" s="34">
        <v>2.5000000000000001E-3</v>
      </c>
      <c r="F158" s="25">
        <v>23.27</v>
      </c>
      <c r="G158" s="25">
        <v>94.37</v>
      </c>
      <c r="H158" s="43">
        <v>0.31409999999999999</v>
      </c>
      <c r="I158" s="57">
        <v>155.41800000000001</v>
      </c>
      <c r="J158" s="32">
        <v>46843</v>
      </c>
      <c r="K158" s="33">
        <v>4.3120000000000003</v>
      </c>
      <c r="L158" s="33">
        <v>3.2972220000000001</v>
      </c>
      <c r="M158" s="33">
        <v>932.39818699999989</v>
      </c>
      <c r="N158" s="34">
        <v>2.280360597592207E-2</v>
      </c>
      <c r="O158" s="34">
        <v>-1.3466000000000001E-2</v>
      </c>
      <c r="P158" s="25">
        <v>124.12</v>
      </c>
      <c r="Q158" s="25">
        <v>123.12</v>
      </c>
      <c r="R158" s="34">
        <v>8.1221572449642621E-3</v>
      </c>
    </row>
    <row r="159" spans="1:18" x14ac:dyDescent="0.15">
      <c r="A159" s="26">
        <v>152</v>
      </c>
      <c r="B159" s="25">
        <v>118019</v>
      </c>
      <c r="C159" s="25" t="s">
        <v>1143</v>
      </c>
      <c r="D159" s="25">
        <v>125.71</v>
      </c>
      <c r="E159" s="34">
        <v>2.1099999999999997E-2</v>
      </c>
      <c r="F159" s="25">
        <v>34.450000000000003</v>
      </c>
      <c r="G159" s="25">
        <v>95.65</v>
      </c>
      <c r="H159" s="43">
        <v>0.31430000000000002</v>
      </c>
      <c r="I159" s="57">
        <v>157.13999999999999</v>
      </c>
      <c r="J159" s="32">
        <v>47012</v>
      </c>
      <c r="K159" s="33">
        <v>4.7750000000000004</v>
      </c>
      <c r="L159" s="33">
        <v>9.7667999999999999</v>
      </c>
      <c r="M159" s="33">
        <v>5468.9966000000004</v>
      </c>
      <c r="N159" s="34">
        <v>4.4543622441186398E-2</v>
      </c>
      <c r="O159" s="34">
        <v>-1.9153E-2</v>
      </c>
      <c r="P159" s="25">
        <v>125.95099999999999</v>
      </c>
      <c r="Q159" s="25">
        <v>122.889</v>
      </c>
      <c r="R159" s="34">
        <v>2.491679483110773E-2</v>
      </c>
    </row>
    <row r="160" spans="1:18" x14ac:dyDescent="0.15">
      <c r="A160" s="26">
        <v>153</v>
      </c>
      <c r="B160" s="25">
        <v>113565</v>
      </c>
      <c r="C160" s="25" t="s">
        <v>1173</v>
      </c>
      <c r="D160" s="25">
        <v>121.646</v>
      </c>
      <c r="E160" s="34">
        <v>-1.0800000000000001E-2</v>
      </c>
      <c r="F160" s="25">
        <v>5.85</v>
      </c>
      <c r="G160" s="25">
        <v>92.48</v>
      </c>
      <c r="H160" s="43">
        <v>0.31540000000000001</v>
      </c>
      <c r="I160" s="57">
        <v>153.18600000000001</v>
      </c>
      <c r="J160" s="32">
        <v>46079</v>
      </c>
      <c r="K160" s="33">
        <v>2.2189999999999999</v>
      </c>
      <c r="L160" s="33">
        <v>2.2475000000000001</v>
      </c>
      <c r="M160" s="33">
        <v>3481.8796000000002</v>
      </c>
      <c r="N160" s="34">
        <v>0.12735506336270655</v>
      </c>
      <c r="O160" s="34">
        <v>-2.1610999999999998E-2</v>
      </c>
      <c r="P160" s="25">
        <v>123.53700000000001</v>
      </c>
      <c r="Q160" s="25">
        <v>121.47199999999999</v>
      </c>
      <c r="R160" s="34">
        <v>1.6999802423603893E-2</v>
      </c>
    </row>
    <row r="161" spans="1:18" x14ac:dyDescent="0.15">
      <c r="A161" s="26">
        <v>154</v>
      </c>
      <c r="B161" s="25">
        <v>123135</v>
      </c>
      <c r="C161" s="25" t="s">
        <v>1136</v>
      </c>
      <c r="D161" s="25">
        <v>131.697</v>
      </c>
      <c r="E161" s="34">
        <v>4.0999999999999995E-3</v>
      </c>
      <c r="F161" s="25">
        <v>25.3</v>
      </c>
      <c r="G161" s="25">
        <v>100.08</v>
      </c>
      <c r="H161" s="43">
        <v>0.31590000000000001</v>
      </c>
      <c r="I161" s="57">
        <v>163.28700000000001</v>
      </c>
      <c r="J161" s="32">
        <v>46749</v>
      </c>
      <c r="K161" s="33">
        <v>4.0549999999999997</v>
      </c>
      <c r="L161" s="33">
        <v>2.0830730000000002</v>
      </c>
      <c r="M161" s="33">
        <v>565.41093159999991</v>
      </c>
      <c r="N161" s="34">
        <v>2.0610277015148722E-2</v>
      </c>
      <c r="O161" s="34">
        <v>-2.1185999999999997E-2</v>
      </c>
      <c r="P161" s="25">
        <v>132.22800000000001</v>
      </c>
      <c r="Q161" s="25">
        <v>131.30000000000001</v>
      </c>
      <c r="R161" s="34">
        <v>7.0677837014470465E-3</v>
      </c>
    </row>
    <row r="162" spans="1:18" x14ac:dyDescent="0.15">
      <c r="A162" s="26">
        <v>155</v>
      </c>
      <c r="B162" s="25">
        <v>127069</v>
      </c>
      <c r="C162" s="25" t="s">
        <v>755</v>
      </c>
      <c r="D162" s="25">
        <v>121.32</v>
      </c>
      <c r="E162" s="34">
        <v>-2.3E-3</v>
      </c>
      <c r="F162" s="25">
        <v>54.41</v>
      </c>
      <c r="G162" s="25">
        <v>92.13</v>
      </c>
      <c r="H162" s="43">
        <v>0.31679999999999997</v>
      </c>
      <c r="I162" s="57">
        <v>153</v>
      </c>
      <c r="J162" s="32">
        <v>46977</v>
      </c>
      <c r="K162" s="33">
        <v>4.6790000000000003</v>
      </c>
      <c r="L162" s="33">
        <v>5.0414640000000004</v>
      </c>
      <c r="M162" s="33">
        <v>1181.872959</v>
      </c>
      <c r="N162" s="34">
        <v>1.9323319031959461E-2</v>
      </c>
      <c r="O162" s="34">
        <v>-1.116E-3</v>
      </c>
      <c r="P162" s="25">
        <v>122.19799999999999</v>
      </c>
      <c r="Q162" s="25">
        <v>121.227</v>
      </c>
      <c r="R162" s="34">
        <v>8.009766801125074E-3</v>
      </c>
    </row>
    <row r="163" spans="1:18" x14ac:dyDescent="0.15">
      <c r="A163" s="26">
        <v>156</v>
      </c>
      <c r="B163" s="25">
        <v>113679</v>
      </c>
      <c r="C163" s="25" t="s">
        <v>1099</v>
      </c>
      <c r="D163" s="25">
        <v>114.502</v>
      </c>
      <c r="E163" s="34">
        <v>9.1000000000000004E-3</v>
      </c>
      <c r="F163" s="25">
        <v>13.1</v>
      </c>
      <c r="G163" s="25">
        <v>86.87</v>
      </c>
      <c r="H163" s="43">
        <v>0.31809999999999999</v>
      </c>
      <c r="I163" s="57">
        <v>146.31199999999998</v>
      </c>
      <c r="J163" s="32">
        <v>47417</v>
      </c>
      <c r="K163" s="33">
        <v>5.8849999999999998</v>
      </c>
      <c r="L163" s="33">
        <v>8.8000000000000007</v>
      </c>
      <c r="M163" s="33">
        <v>3331.6532000000002</v>
      </c>
      <c r="N163" s="34">
        <v>3.306465865622038E-2</v>
      </c>
      <c r="O163" s="34">
        <v>8.567E-3</v>
      </c>
      <c r="P163" s="25">
        <v>114.53</v>
      </c>
      <c r="Q163" s="25">
        <v>113.46599999999999</v>
      </c>
      <c r="R163" s="34">
        <v>9.3772583857720127E-3</v>
      </c>
    </row>
    <row r="164" spans="1:18" x14ac:dyDescent="0.15">
      <c r="A164" s="26">
        <v>157</v>
      </c>
      <c r="B164" s="25">
        <v>118039</v>
      </c>
      <c r="C164" s="25" t="s">
        <v>1122</v>
      </c>
      <c r="D164" s="25">
        <v>115.285</v>
      </c>
      <c r="E164" s="34">
        <v>4.4000000000000003E-3</v>
      </c>
      <c r="F164" s="25">
        <v>10.119999999999999</v>
      </c>
      <c r="G164" s="25">
        <v>87.35</v>
      </c>
      <c r="H164" s="43">
        <v>0.31980000000000003</v>
      </c>
      <c r="I164" s="57">
        <v>147.26499999999999</v>
      </c>
      <c r="J164" s="32">
        <v>47319</v>
      </c>
      <c r="K164" s="33">
        <v>5.6159999999999997</v>
      </c>
      <c r="L164" s="33">
        <v>4.10806</v>
      </c>
      <c r="M164" s="33">
        <v>800.92449999999997</v>
      </c>
      <c r="N164" s="34">
        <v>1.6911494817317175E-2</v>
      </c>
      <c r="O164" s="34">
        <v>5.7799999999999995E-3</v>
      </c>
      <c r="P164" s="25">
        <v>115.54300000000001</v>
      </c>
      <c r="Q164" s="25">
        <v>114.6</v>
      </c>
      <c r="R164" s="34">
        <v>8.2286212914486224E-3</v>
      </c>
    </row>
    <row r="165" spans="1:18" x14ac:dyDescent="0.15">
      <c r="A165" s="26">
        <v>158</v>
      </c>
      <c r="B165" s="25">
        <v>118041</v>
      </c>
      <c r="C165" s="25" t="s">
        <v>1038</v>
      </c>
      <c r="D165" s="25">
        <v>121.922</v>
      </c>
      <c r="E165" s="34">
        <v>1.7000000000000001E-3</v>
      </c>
      <c r="F165" s="25">
        <v>33.119999999999997</v>
      </c>
      <c r="G165" s="25">
        <v>92</v>
      </c>
      <c r="H165" s="43">
        <v>0.32520000000000004</v>
      </c>
      <c r="I165" s="57">
        <v>154.44200000000001</v>
      </c>
      <c r="J165" s="32">
        <v>47330</v>
      </c>
      <c r="K165" s="33">
        <v>5.6470000000000002</v>
      </c>
      <c r="L165" s="33">
        <v>6.2</v>
      </c>
      <c r="M165" s="33">
        <v>781.65020000000004</v>
      </c>
      <c r="N165" s="34">
        <v>1.0340431825529914E-2</v>
      </c>
      <c r="O165" s="34">
        <v>-3.0080000000000003E-3</v>
      </c>
      <c r="P165" s="25">
        <v>122.85</v>
      </c>
      <c r="Q165" s="25">
        <v>121.71</v>
      </c>
      <c r="R165" s="34">
        <v>9.3665269903869912E-3</v>
      </c>
    </row>
    <row r="166" spans="1:18" x14ac:dyDescent="0.15">
      <c r="A166" s="26">
        <v>159</v>
      </c>
      <c r="B166" s="25">
        <v>123197</v>
      </c>
      <c r="C166" s="25" t="s">
        <v>1015</v>
      </c>
      <c r="D166" s="25">
        <v>141.19999999999999</v>
      </c>
      <c r="E166" s="34">
        <v>2.5600000000000001E-2</v>
      </c>
      <c r="F166" s="25">
        <v>21.28</v>
      </c>
      <c r="G166" s="25">
        <v>106.34</v>
      </c>
      <c r="H166" s="43">
        <v>0.32780000000000004</v>
      </c>
      <c r="I166" s="57">
        <v>173.98</v>
      </c>
      <c r="J166" s="32">
        <v>47246</v>
      </c>
      <c r="K166" s="33">
        <v>5.4160000000000004</v>
      </c>
      <c r="L166" s="33">
        <v>3.9965359999999999</v>
      </c>
      <c r="M166" s="33">
        <v>4182.0960210000003</v>
      </c>
      <c r="N166" s="34">
        <v>7.4109788513821828E-2</v>
      </c>
      <c r="O166" s="34">
        <v>-2.8062E-2</v>
      </c>
      <c r="P166" s="25">
        <v>141.25</v>
      </c>
      <c r="Q166" s="25">
        <v>137.59800000000001</v>
      </c>
      <c r="R166" s="34">
        <v>2.6541083445980222E-2</v>
      </c>
    </row>
    <row r="167" spans="1:18" x14ac:dyDescent="0.15">
      <c r="A167" s="26">
        <v>160</v>
      </c>
      <c r="B167" s="25">
        <v>113621</v>
      </c>
      <c r="C167" s="25" t="s">
        <v>718</v>
      </c>
      <c r="D167" s="25">
        <v>137.88499999999999</v>
      </c>
      <c r="E167" s="34">
        <v>1.4000000000000002E-3</v>
      </c>
      <c r="F167" s="25">
        <v>32.450000000000003</v>
      </c>
      <c r="G167" s="25">
        <v>103.3</v>
      </c>
      <c r="H167" s="43">
        <v>0.33479999999999999</v>
      </c>
      <c r="I167" s="57">
        <v>171.36499999999998</v>
      </c>
      <c r="J167" s="32">
        <v>46413</v>
      </c>
      <c r="K167" s="33">
        <v>3.1339999999999999</v>
      </c>
      <c r="L167" s="33">
        <v>5.3653551363999998</v>
      </c>
      <c r="M167" s="33">
        <v>1382.5643</v>
      </c>
      <c r="N167" s="34">
        <v>1.8688301912058766E-2</v>
      </c>
      <c r="O167" s="34">
        <v>-5.9222000000000004E-2</v>
      </c>
      <c r="P167" s="25">
        <v>138.62</v>
      </c>
      <c r="Q167" s="25">
        <v>137</v>
      </c>
      <c r="R167" s="34">
        <v>1.1824817518248208E-2</v>
      </c>
    </row>
    <row r="168" spans="1:18" x14ac:dyDescent="0.15">
      <c r="A168" s="26">
        <v>161</v>
      </c>
      <c r="B168" s="25">
        <v>123175</v>
      </c>
      <c r="C168" s="25" t="s">
        <v>753</v>
      </c>
      <c r="D168" s="25">
        <v>113.45</v>
      </c>
      <c r="E168" s="34">
        <v>-8.9999999999999998E-4</v>
      </c>
      <c r="F168" s="25">
        <v>24</v>
      </c>
      <c r="G168" s="25">
        <v>84.58</v>
      </c>
      <c r="H168" s="43">
        <v>0.34130000000000005</v>
      </c>
      <c r="I168" s="57">
        <v>147.58000000000001</v>
      </c>
      <c r="J168" s="32">
        <v>47171</v>
      </c>
      <c r="K168" s="33">
        <v>5.2110000000000003</v>
      </c>
      <c r="L168" s="33">
        <v>4.199923000000001</v>
      </c>
      <c r="M168" s="33">
        <v>672.35163739999996</v>
      </c>
      <c r="N168" s="34">
        <v>1.4110767572722919E-2</v>
      </c>
      <c r="O168" s="34">
        <v>7.8989999999999998E-3</v>
      </c>
      <c r="P168" s="25">
        <v>114.15</v>
      </c>
      <c r="Q168" s="25">
        <v>113.01</v>
      </c>
      <c r="R168" s="34">
        <v>1.0087602867002925E-2</v>
      </c>
    </row>
    <row r="169" spans="1:18" x14ac:dyDescent="0.15">
      <c r="A169" s="26">
        <v>162</v>
      </c>
      <c r="B169" s="25">
        <v>113673</v>
      </c>
      <c r="C169" s="25" t="s">
        <v>1123</v>
      </c>
      <c r="D169" s="25">
        <v>126.462</v>
      </c>
      <c r="E169" s="34">
        <v>-1.1000000000000001E-2</v>
      </c>
      <c r="F169" s="25">
        <v>15.72</v>
      </c>
      <c r="G169" s="25">
        <v>94.21</v>
      </c>
      <c r="H169" s="43">
        <v>0.34229999999999999</v>
      </c>
      <c r="I169" s="57">
        <v>160.69200000000001</v>
      </c>
      <c r="J169" s="32">
        <v>47317</v>
      </c>
      <c r="K169" s="33">
        <v>5.6109999999999998</v>
      </c>
      <c r="L169" s="33">
        <v>9.0793900000000001</v>
      </c>
      <c r="M169" s="33">
        <v>795.53120000000001</v>
      </c>
      <c r="N169" s="34">
        <v>6.928520394342769E-3</v>
      </c>
      <c r="O169" s="34">
        <v>-1.3839999999999998E-2</v>
      </c>
      <c r="P169" s="25">
        <v>128.50299999999999</v>
      </c>
      <c r="Q169" s="25">
        <v>126.438</v>
      </c>
      <c r="R169" s="34">
        <v>1.6332115345070182E-2</v>
      </c>
    </row>
    <row r="170" spans="1:18" x14ac:dyDescent="0.15">
      <c r="A170" s="26">
        <v>163</v>
      </c>
      <c r="B170" s="25">
        <v>113678</v>
      </c>
      <c r="C170" s="25" t="s">
        <v>1101</v>
      </c>
      <c r="D170" s="25">
        <v>150.13399999999999</v>
      </c>
      <c r="E170" s="34">
        <v>-2.5899999999999999E-2</v>
      </c>
      <c r="F170" s="25">
        <v>32.799999999999997</v>
      </c>
      <c r="G170" s="25">
        <v>111.8</v>
      </c>
      <c r="H170" s="43">
        <v>0.34289999999999998</v>
      </c>
      <c r="I170" s="57">
        <v>184.42399999999998</v>
      </c>
      <c r="J170" s="32">
        <v>47410</v>
      </c>
      <c r="K170" s="33">
        <v>5.8659999999999997</v>
      </c>
      <c r="L170" s="33">
        <v>5.17</v>
      </c>
      <c r="M170" s="33">
        <v>103452.6568</v>
      </c>
      <c r="N170" s="34">
        <v>1.3328216838090148</v>
      </c>
      <c r="O170" s="34">
        <v>-3.6553000000000002E-2</v>
      </c>
      <c r="P170" s="25">
        <v>156.87</v>
      </c>
      <c r="Q170" s="25">
        <v>149.001</v>
      </c>
      <c r="R170" s="34">
        <v>5.2811726095798012E-2</v>
      </c>
    </row>
    <row r="171" spans="1:18" x14ac:dyDescent="0.15">
      <c r="A171" s="26">
        <v>164</v>
      </c>
      <c r="B171" s="25">
        <v>123146</v>
      </c>
      <c r="C171" s="25" t="s">
        <v>1148</v>
      </c>
      <c r="D171" s="25">
        <v>111.339</v>
      </c>
      <c r="E171" s="34">
        <v>1.1999999999999999E-3</v>
      </c>
      <c r="F171" s="25">
        <v>7.42</v>
      </c>
      <c r="G171" s="25">
        <v>82.88</v>
      </c>
      <c r="H171" s="43">
        <v>0.34340000000000004</v>
      </c>
      <c r="I171" s="57">
        <v>145.679</v>
      </c>
      <c r="J171" s="32">
        <v>46879</v>
      </c>
      <c r="K171" s="33">
        <v>4.4109999999999996</v>
      </c>
      <c r="L171" s="33">
        <v>8.6396979999999992</v>
      </c>
      <c r="M171" s="33">
        <v>232.46545610000001</v>
      </c>
      <c r="N171" s="34">
        <v>2.4166432762310871E-3</v>
      </c>
      <c r="O171" s="34">
        <v>1.8865E-2</v>
      </c>
      <c r="P171" s="25">
        <v>111.44</v>
      </c>
      <c r="Q171" s="25">
        <v>110.96899999999999</v>
      </c>
      <c r="R171" s="34">
        <v>4.2444286242103984E-3</v>
      </c>
    </row>
    <row r="172" spans="1:18" x14ac:dyDescent="0.15">
      <c r="A172" s="26">
        <v>165</v>
      </c>
      <c r="B172" s="25">
        <v>123200</v>
      </c>
      <c r="C172" s="25" t="s">
        <v>1018</v>
      </c>
      <c r="D172" s="25">
        <v>137.84100000000001</v>
      </c>
      <c r="E172" s="34">
        <v>-6.6E-3</v>
      </c>
      <c r="F172" s="25">
        <v>26.69</v>
      </c>
      <c r="G172" s="25">
        <v>102.59</v>
      </c>
      <c r="H172" s="43">
        <v>0.34360000000000002</v>
      </c>
      <c r="I172" s="57">
        <v>172.20100000000002</v>
      </c>
      <c r="J172" s="32">
        <v>47296</v>
      </c>
      <c r="K172" s="33">
        <v>5.5529999999999999</v>
      </c>
      <c r="L172" s="33">
        <v>3.9657160000000005</v>
      </c>
      <c r="M172" s="33">
        <v>1820.2871440000001</v>
      </c>
      <c r="N172" s="34">
        <v>3.3299665976737371E-2</v>
      </c>
      <c r="O172" s="34">
        <v>-1.8527000000000002E-2</v>
      </c>
      <c r="P172" s="25">
        <v>139.80000000000001</v>
      </c>
      <c r="Q172" s="25">
        <v>137.56299999999999</v>
      </c>
      <c r="R172" s="34">
        <v>1.6261640121253706E-2</v>
      </c>
    </row>
    <row r="173" spans="1:18" x14ac:dyDescent="0.15">
      <c r="A173" s="26">
        <v>166</v>
      </c>
      <c r="B173" s="25">
        <v>111004</v>
      </c>
      <c r="C173" s="25" t="s">
        <v>729</v>
      </c>
      <c r="D173" s="25">
        <v>123.34699999999999</v>
      </c>
      <c r="E173" s="34">
        <v>-2E-3</v>
      </c>
      <c r="F173" s="25">
        <v>24.41</v>
      </c>
      <c r="G173" s="25">
        <v>91.77</v>
      </c>
      <c r="H173" s="43">
        <v>0.34409999999999996</v>
      </c>
      <c r="I173" s="57">
        <v>157.75700000000001</v>
      </c>
      <c r="J173" s="32">
        <v>46842</v>
      </c>
      <c r="K173" s="33">
        <v>4.3099999999999996</v>
      </c>
      <c r="L173" s="33">
        <v>6.72933</v>
      </c>
      <c r="M173" s="33">
        <v>820.54240000000004</v>
      </c>
      <c r="N173" s="34">
        <v>9.8855448294182351E-3</v>
      </c>
      <c r="O173" s="34">
        <v>-5.3200000000000001E-3</v>
      </c>
      <c r="P173" s="25">
        <v>124.09099999999999</v>
      </c>
      <c r="Q173" s="25">
        <v>122.746</v>
      </c>
      <c r="R173" s="34">
        <v>1.0957587212617918E-2</v>
      </c>
    </row>
    <row r="174" spans="1:18" x14ac:dyDescent="0.15">
      <c r="A174" s="26">
        <v>167</v>
      </c>
      <c r="B174" s="25">
        <v>127042</v>
      </c>
      <c r="C174" s="25" t="s">
        <v>1160</v>
      </c>
      <c r="D174" s="25">
        <v>110.998</v>
      </c>
      <c r="E174" s="34">
        <v>-2.0000000000000001E-4</v>
      </c>
      <c r="F174" s="25">
        <v>4.8499999999999996</v>
      </c>
      <c r="G174" s="25">
        <v>82.47</v>
      </c>
      <c r="H174" s="43">
        <v>0.34590000000000004</v>
      </c>
      <c r="I174" s="57">
        <v>145.58800000000002</v>
      </c>
      <c r="J174" s="32">
        <v>46608</v>
      </c>
      <c r="K174" s="33">
        <v>3.6680000000000001</v>
      </c>
      <c r="L174" s="33">
        <v>7.4980560000000001</v>
      </c>
      <c r="M174" s="33">
        <v>1167.0299434000001</v>
      </c>
      <c r="N174" s="34">
        <v>1.4022264857482647E-2</v>
      </c>
      <c r="O174" s="34">
        <v>1.3033999999999999E-2</v>
      </c>
      <c r="P174" s="25">
        <v>111.48</v>
      </c>
      <c r="Q174" s="25">
        <v>110.81</v>
      </c>
      <c r="R174" s="34">
        <v>6.0463857052612735E-3</v>
      </c>
    </row>
    <row r="175" spans="1:18" x14ac:dyDescent="0.15">
      <c r="A175" s="26">
        <v>168</v>
      </c>
      <c r="B175" s="25">
        <v>118029</v>
      </c>
      <c r="C175" s="25" t="s">
        <v>1097</v>
      </c>
      <c r="D175" s="25">
        <v>110.855</v>
      </c>
      <c r="E175" s="34">
        <v>-4.0000000000000001E-3</v>
      </c>
      <c r="F175" s="25">
        <v>20.010000000000002</v>
      </c>
      <c r="G175" s="25">
        <v>82.31</v>
      </c>
      <c r="H175" s="43">
        <v>0.3468</v>
      </c>
      <c r="I175" s="57">
        <v>145.535</v>
      </c>
      <c r="J175" s="32">
        <v>47102</v>
      </c>
      <c r="K175" s="33">
        <v>5.0220000000000002</v>
      </c>
      <c r="L175" s="33">
        <v>4.4999799999999999</v>
      </c>
      <c r="M175" s="33">
        <v>576.4008</v>
      </c>
      <c r="N175" s="34">
        <v>1.1554700821247358E-2</v>
      </c>
      <c r="O175" s="34">
        <v>6.5659999999999998E-3</v>
      </c>
      <c r="P175" s="25">
        <v>111.48699999999999</v>
      </c>
      <c r="Q175" s="25">
        <v>110.39</v>
      </c>
      <c r="R175" s="34">
        <v>9.937494338255224E-3</v>
      </c>
    </row>
    <row r="176" spans="1:18" x14ac:dyDescent="0.15">
      <c r="A176" s="26">
        <v>169</v>
      </c>
      <c r="B176" s="25">
        <v>123162</v>
      </c>
      <c r="C176" s="25" t="s">
        <v>465</v>
      </c>
      <c r="D176" s="25">
        <v>113.04900000000001</v>
      </c>
      <c r="E176" s="34">
        <v>2.0999999999999999E-3</v>
      </c>
      <c r="F176" s="25">
        <v>8.0500000000000007</v>
      </c>
      <c r="G176" s="25">
        <v>83.85</v>
      </c>
      <c r="H176" s="43">
        <v>0.34820000000000001</v>
      </c>
      <c r="I176" s="57">
        <v>147.869</v>
      </c>
      <c r="J176" s="32">
        <v>47040</v>
      </c>
      <c r="K176" s="33">
        <v>4.8520000000000003</v>
      </c>
      <c r="L176" s="33">
        <v>5.6258119999999998</v>
      </c>
      <c r="M176" s="33">
        <v>380.44276600000001</v>
      </c>
      <c r="N176" s="34">
        <v>5.981875782869051E-3</v>
      </c>
      <c r="O176" s="34">
        <v>1.4761E-2</v>
      </c>
      <c r="P176" s="25">
        <v>113.31</v>
      </c>
      <c r="Q176" s="25">
        <v>112.68</v>
      </c>
      <c r="R176" s="34">
        <v>5.5910543130990005E-3</v>
      </c>
    </row>
    <row r="177" spans="1:18" x14ac:dyDescent="0.15">
      <c r="A177" s="26">
        <v>170</v>
      </c>
      <c r="B177" s="25">
        <v>123090</v>
      </c>
      <c r="C177" s="25" t="s">
        <v>1196</v>
      </c>
      <c r="D177" s="25">
        <v>124.041</v>
      </c>
      <c r="E177" s="34">
        <v>9.8999999999999991E-3</v>
      </c>
      <c r="F177" s="25">
        <v>34.81</v>
      </c>
      <c r="G177" s="25">
        <v>91.7</v>
      </c>
      <c r="H177" s="43">
        <v>0.35270000000000001</v>
      </c>
      <c r="I177" s="57">
        <v>159.31100000000001</v>
      </c>
      <c r="J177" s="32">
        <v>46377</v>
      </c>
      <c r="K177" s="33">
        <v>3.036</v>
      </c>
      <c r="L177" s="33">
        <v>4.9842250000000003</v>
      </c>
      <c r="M177" s="33">
        <v>3228.753506</v>
      </c>
      <c r="N177" s="34">
        <v>5.2224223669985123E-2</v>
      </c>
      <c r="O177" s="34">
        <v>-2.1443E-2</v>
      </c>
      <c r="P177" s="25">
        <v>124.5</v>
      </c>
      <c r="Q177" s="25">
        <v>122.36</v>
      </c>
      <c r="R177" s="34">
        <v>1.7489375612945411E-2</v>
      </c>
    </row>
    <row r="178" spans="1:18" x14ac:dyDescent="0.15">
      <c r="A178" s="26">
        <v>171</v>
      </c>
      <c r="B178" s="25">
        <v>118009</v>
      </c>
      <c r="C178" s="25" t="s">
        <v>730</v>
      </c>
      <c r="D178" s="25">
        <v>125.187</v>
      </c>
      <c r="E178" s="34">
        <v>2.0000000000000001E-4</v>
      </c>
      <c r="F178" s="25">
        <v>92.45</v>
      </c>
      <c r="G178" s="25">
        <v>92</v>
      </c>
      <c r="H178" s="43">
        <v>0.36070000000000002</v>
      </c>
      <c r="I178" s="57">
        <v>161.25700000000001</v>
      </c>
      <c r="J178" s="32">
        <v>46928</v>
      </c>
      <c r="K178" s="33">
        <v>4.5449999999999999</v>
      </c>
      <c r="L178" s="33">
        <v>3.99926</v>
      </c>
      <c r="M178" s="33">
        <v>290.10219999999998</v>
      </c>
      <c r="N178" s="34">
        <v>5.7944490809266327E-3</v>
      </c>
      <c r="O178" s="34">
        <v>-1.1684000000000002E-2</v>
      </c>
      <c r="P178" s="25">
        <v>126</v>
      </c>
      <c r="Q178" s="25">
        <v>125.07599999999999</v>
      </c>
      <c r="R178" s="34">
        <v>7.3875083948959563E-3</v>
      </c>
    </row>
    <row r="179" spans="1:18" x14ac:dyDescent="0.15">
      <c r="A179" s="26">
        <v>172</v>
      </c>
      <c r="B179" s="25">
        <v>123171</v>
      </c>
      <c r="C179" s="25" t="s">
        <v>1008</v>
      </c>
      <c r="D179" s="25">
        <v>116.953</v>
      </c>
      <c r="E179" s="34">
        <v>-5.5000000000000005E-3</v>
      </c>
      <c r="F179" s="25">
        <v>27.14</v>
      </c>
      <c r="G179" s="25">
        <v>85.89</v>
      </c>
      <c r="H179" s="43">
        <v>0.36170000000000002</v>
      </c>
      <c r="I179" s="57">
        <v>153.12299999999999</v>
      </c>
      <c r="J179" s="32">
        <v>47085</v>
      </c>
      <c r="K179" s="33">
        <v>4.9749999999999996</v>
      </c>
      <c r="L179" s="33">
        <v>3.7994810000000001</v>
      </c>
      <c r="M179" s="33">
        <v>850.01443800000004</v>
      </c>
      <c r="N179" s="34">
        <v>1.9128929163522788E-2</v>
      </c>
      <c r="O179" s="34">
        <v>6.9959999999999996E-3</v>
      </c>
      <c r="P179" s="25">
        <v>118.12</v>
      </c>
      <c r="Q179" s="25">
        <v>116.879</v>
      </c>
      <c r="R179" s="34">
        <v>1.0617818427604613E-2</v>
      </c>
    </row>
    <row r="180" spans="1:18" x14ac:dyDescent="0.15">
      <c r="A180" s="26">
        <v>173</v>
      </c>
      <c r="B180" s="25">
        <v>118044</v>
      </c>
      <c r="C180" s="25" t="s">
        <v>1112</v>
      </c>
      <c r="D180" s="25">
        <v>119.087</v>
      </c>
      <c r="E180" s="34">
        <v>4.5000000000000005E-3</v>
      </c>
      <c r="F180" s="25">
        <v>35.409999999999997</v>
      </c>
      <c r="G180" s="25">
        <v>87.43</v>
      </c>
      <c r="H180" s="43">
        <v>0.36210000000000003</v>
      </c>
      <c r="I180" s="57">
        <v>155.297</v>
      </c>
      <c r="J180" s="32">
        <v>47372</v>
      </c>
      <c r="K180" s="33">
        <v>5.7619999999999996</v>
      </c>
      <c r="L180" s="33">
        <v>4.42</v>
      </c>
      <c r="M180" s="33">
        <v>406.6936</v>
      </c>
      <c r="N180" s="34">
        <v>7.7264627286632963E-3</v>
      </c>
      <c r="O180" s="34">
        <v>-1.7619999999999999E-3</v>
      </c>
      <c r="P180" s="25">
        <v>119.54900000000001</v>
      </c>
      <c r="Q180" s="25">
        <v>118.554</v>
      </c>
      <c r="R180" s="34">
        <v>8.3927999055283201E-3</v>
      </c>
    </row>
    <row r="181" spans="1:18" x14ac:dyDescent="0.15">
      <c r="A181" s="26">
        <v>174</v>
      </c>
      <c r="B181" s="25">
        <v>118036</v>
      </c>
      <c r="C181" s="25" t="s">
        <v>1031</v>
      </c>
      <c r="D181" s="25">
        <v>122.81</v>
      </c>
      <c r="E181" s="34">
        <v>9.7999999999999997E-3</v>
      </c>
      <c r="F181" s="25">
        <v>43.72</v>
      </c>
      <c r="G181" s="25">
        <v>89.94</v>
      </c>
      <c r="H181" s="43">
        <v>0.36549999999999999</v>
      </c>
      <c r="I181" s="57">
        <v>159.36000000000001</v>
      </c>
      <c r="J181" s="32">
        <v>47297</v>
      </c>
      <c r="K181" s="33">
        <v>5.556</v>
      </c>
      <c r="L181" s="33">
        <v>3.8</v>
      </c>
      <c r="M181" s="33">
        <v>929.84479999999996</v>
      </c>
      <c r="N181" s="34">
        <v>1.9924761827212766E-2</v>
      </c>
      <c r="O181" s="34">
        <v>-4.0720000000000001E-3</v>
      </c>
      <c r="P181" s="25">
        <v>123.111</v>
      </c>
      <c r="Q181" s="25">
        <v>121.82899999999999</v>
      </c>
      <c r="R181" s="34">
        <v>1.0522946096578079E-2</v>
      </c>
    </row>
    <row r="182" spans="1:18" x14ac:dyDescent="0.15">
      <c r="A182" s="26">
        <v>175</v>
      </c>
      <c r="B182" s="25">
        <v>123231</v>
      </c>
      <c r="C182" s="25" t="s">
        <v>1098</v>
      </c>
      <c r="D182" s="25">
        <v>129.62899999999999</v>
      </c>
      <c r="E182" s="34">
        <v>3.3E-3</v>
      </c>
      <c r="F182" s="25">
        <v>36.89</v>
      </c>
      <c r="G182" s="25">
        <v>94.61</v>
      </c>
      <c r="H182" s="43">
        <v>0.37009999999999998</v>
      </c>
      <c r="I182" s="57">
        <v>166.63899999999998</v>
      </c>
      <c r="J182" s="32">
        <v>47431</v>
      </c>
      <c r="K182" s="33">
        <v>5.923</v>
      </c>
      <c r="L182" s="33">
        <v>5.45</v>
      </c>
      <c r="M182" s="33">
        <v>6243.5303513999997</v>
      </c>
      <c r="N182" s="34">
        <v>8.8375432915431693E-2</v>
      </c>
      <c r="O182" s="34">
        <v>-1.2857E-2</v>
      </c>
      <c r="P182" s="25">
        <v>131.21</v>
      </c>
      <c r="Q182" s="25">
        <v>128.71299999999999</v>
      </c>
      <c r="R182" s="34">
        <v>1.9399749831019511E-2</v>
      </c>
    </row>
    <row r="183" spans="1:18" x14ac:dyDescent="0.15">
      <c r="A183" s="26">
        <v>176</v>
      </c>
      <c r="B183" s="25">
        <v>113662</v>
      </c>
      <c r="C183" s="25" t="s">
        <v>1138</v>
      </c>
      <c r="D183" s="25">
        <v>123.877</v>
      </c>
      <c r="E183" s="34">
        <v>-2.8999999999999998E-3</v>
      </c>
      <c r="F183" s="25">
        <v>12.61</v>
      </c>
      <c r="G183" s="25">
        <v>90.33</v>
      </c>
      <c r="H183" s="43">
        <v>0.37140000000000001</v>
      </c>
      <c r="I183" s="57">
        <v>161.017</v>
      </c>
      <c r="J183" s="32">
        <v>47082</v>
      </c>
      <c r="K183" s="33">
        <v>4.9669999999999996</v>
      </c>
      <c r="L183" s="33">
        <v>4.9999599999999997</v>
      </c>
      <c r="M183" s="33">
        <v>1068.5302999999999</v>
      </c>
      <c r="N183" s="34">
        <v>1.7251610037549932E-2</v>
      </c>
      <c r="O183" s="34">
        <v>-1.0397E-2</v>
      </c>
      <c r="P183" s="25">
        <v>124.65300000000001</v>
      </c>
      <c r="Q183" s="25">
        <v>123.5</v>
      </c>
      <c r="R183" s="34">
        <v>9.3360323886640152E-3</v>
      </c>
    </row>
    <row r="184" spans="1:18" x14ac:dyDescent="0.15">
      <c r="A184" s="26">
        <v>177</v>
      </c>
      <c r="B184" s="25">
        <v>123217</v>
      </c>
      <c r="C184" s="25" t="s">
        <v>1059</v>
      </c>
      <c r="D184" s="25">
        <v>127.79900000000001</v>
      </c>
      <c r="E184" s="34">
        <v>3.0600000000000002E-2</v>
      </c>
      <c r="F184" s="25">
        <v>41.77</v>
      </c>
      <c r="G184" s="25">
        <v>93.18</v>
      </c>
      <c r="H184" s="43">
        <v>0.3715</v>
      </c>
      <c r="I184" s="57">
        <v>164.94900000000001</v>
      </c>
      <c r="J184" s="32">
        <v>47338</v>
      </c>
      <c r="K184" s="33">
        <v>5.6680000000000001</v>
      </c>
      <c r="L184" s="33">
        <v>5.7</v>
      </c>
      <c r="M184" s="33">
        <v>4374.6229203000003</v>
      </c>
      <c r="N184" s="34">
        <v>6.0053498487139138E-2</v>
      </c>
      <c r="O184" s="34">
        <v>-1.9027000000000002E-2</v>
      </c>
      <c r="P184" s="25">
        <v>129.69999999999999</v>
      </c>
      <c r="Q184" s="25">
        <v>124.011</v>
      </c>
      <c r="R184" s="34">
        <v>4.5874962704921279E-2</v>
      </c>
    </row>
    <row r="185" spans="1:18" x14ac:dyDescent="0.15">
      <c r="A185" s="26">
        <v>178</v>
      </c>
      <c r="B185" s="25">
        <v>123157</v>
      </c>
      <c r="C185" s="25" t="s">
        <v>468</v>
      </c>
      <c r="D185" s="25">
        <v>129.6</v>
      </c>
      <c r="E185" s="34">
        <v>6.8000000000000005E-3</v>
      </c>
      <c r="F185" s="25">
        <v>16.010000000000002</v>
      </c>
      <c r="G185" s="25">
        <v>94.38</v>
      </c>
      <c r="H185" s="43">
        <v>0.37319999999999998</v>
      </c>
      <c r="I185" s="57">
        <v>166.92</v>
      </c>
      <c r="J185" s="32">
        <v>46995</v>
      </c>
      <c r="K185" s="33">
        <v>4.7290000000000001</v>
      </c>
      <c r="L185" s="33">
        <v>4.9452429999999996</v>
      </c>
      <c r="M185" s="33">
        <v>1179.8804618000001</v>
      </c>
      <c r="N185" s="34">
        <v>1.8409643184269447E-2</v>
      </c>
      <c r="O185" s="34">
        <v>-1.6396000000000001E-2</v>
      </c>
      <c r="P185" s="25">
        <v>129.74100000000001</v>
      </c>
      <c r="Q185" s="25">
        <v>128.43899999999999</v>
      </c>
      <c r="R185" s="34">
        <v>1.0137107887791255E-2</v>
      </c>
    </row>
    <row r="186" spans="1:18" x14ac:dyDescent="0.15">
      <c r="A186" s="26">
        <v>179</v>
      </c>
      <c r="B186" s="25">
        <v>113643</v>
      </c>
      <c r="C186" s="25" t="s">
        <v>1151</v>
      </c>
      <c r="D186" s="25">
        <v>122.363</v>
      </c>
      <c r="E186" s="34">
        <v>5.5000000000000005E-3</v>
      </c>
      <c r="F186" s="25">
        <v>15.23</v>
      </c>
      <c r="G186" s="25">
        <v>89.1</v>
      </c>
      <c r="H186" s="43">
        <v>0.37329999999999997</v>
      </c>
      <c r="I186" s="57">
        <v>159.69299999999998</v>
      </c>
      <c r="J186" s="32">
        <v>46837</v>
      </c>
      <c r="K186" s="33">
        <v>4.2960000000000003</v>
      </c>
      <c r="L186" s="33">
        <v>4.9995000000000003</v>
      </c>
      <c r="M186" s="33">
        <v>38834.6852</v>
      </c>
      <c r="N186" s="34">
        <v>0.63480903634114383</v>
      </c>
      <c r="O186" s="34">
        <v>-4.6150000000000002E-3</v>
      </c>
      <c r="P186" s="25">
        <v>130.55600000000001</v>
      </c>
      <c r="Q186" s="25">
        <v>122.03100000000001</v>
      </c>
      <c r="R186" s="34">
        <v>6.985929804721755E-2</v>
      </c>
    </row>
    <row r="187" spans="1:18" x14ac:dyDescent="0.15">
      <c r="A187" s="26">
        <v>180</v>
      </c>
      <c r="B187" s="25">
        <v>128070</v>
      </c>
      <c r="C187" s="25" t="s">
        <v>748</v>
      </c>
      <c r="D187" s="25">
        <v>146</v>
      </c>
      <c r="E187" s="34">
        <v>7.6E-3</v>
      </c>
      <c r="F187" s="25">
        <v>9.34</v>
      </c>
      <c r="G187" s="25">
        <v>105.57</v>
      </c>
      <c r="H187" s="43">
        <v>0.38299999999999995</v>
      </c>
      <c r="I187" s="57">
        <v>184.3</v>
      </c>
      <c r="J187" s="32">
        <v>45840</v>
      </c>
      <c r="K187" s="33">
        <v>1.5640000000000001</v>
      </c>
      <c r="L187" s="33">
        <v>2.2913480000000002</v>
      </c>
      <c r="M187" s="33">
        <v>3930.7877409999996</v>
      </c>
      <c r="N187" s="34">
        <v>0.11749940954180443</v>
      </c>
      <c r="O187" s="34">
        <v>-0.147453</v>
      </c>
      <c r="P187" s="25">
        <v>146</v>
      </c>
      <c r="Q187" s="25">
        <v>144.44</v>
      </c>
      <c r="R187" s="34">
        <v>1.080033231791749E-2</v>
      </c>
    </row>
    <row r="188" spans="1:18" x14ac:dyDescent="0.15">
      <c r="A188" s="26">
        <v>181</v>
      </c>
      <c r="B188" s="25">
        <v>128137</v>
      </c>
      <c r="C188" s="25" t="s">
        <v>687</v>
      </c>
      <c r="D188" s="25">
        <v>125.80200000000001</v>
      </c>
      <c r="E188" s="34">
        <v>9.7000000000000003E-3</v>
      </c>
      <c r="F188" s="25">
        <v>26.95</v>
      </c>
      <c r="G188" s="25">
        <v>90.76</v>
      </c>
      <c r="H188" s="43">
        <v>0.3861</v>
      </c>
      <c r="I188" s="57">
        <v>164.41200000000001</v>
      </c>
      <c r="J188" s="32">
        <v>46330</v>
      </c>
      <c r="K188" s="33">
        <v>2.907</v>
      </c>
      <c r="L188" s="33">
        <v>5.9922610000000001</v>
      </c>
      <c r="M188" s="33">
        <v>2018.5819423</v>
      </c>
      <c r="N188" s="34">
        <v>2.6777382171543403E-2</v>
      </c>
      <c r="O188" s="34">
        <v>-2.9928E-2</v>
      </c>
      <c r="P188" s="25">
        <v>126.89</v>
      </c>
      <c r="Q188" s="25">
        <v>124.59699999999999</v>
      </c>
      <c r="R188" s="34">
        <v>1.8403332343475416E-2</v>
      </c>
    </row>
    <row r="189" spans="1:18" x14ac:dyDescent="0.15">
      <c r="A189" s="26">
        <v>182</v>
      </c>
      <c r="B189" s="25">
        <v>123191</v>
      </c>
      <c r="C189" s="25" t="s">
        <v>1012</v>
      </c>
      <c r="D189" s="25">
        <v>114.91</v>
      </c>
      <c r="E189" s="34">
        <v>-7.7000000000000002E-3</v>
      </c>
      <c r="F189" s="25">
        <v>12.17</v>
      </c>
      <c r="G189" s="25">
        <v>82.83</v>
      </c>
      <c r="H189" s="43">
        <v>0.38729999999999998</v>
      </c>
      <c r="I189" s="57">
        <v>153.63999999999999</v>
      </c>
      <c r="J189" s="32">
        <v>47218</v>
      </c>
      <c r="K189" s="33">
        <v>5.34</v>
      </c>
      <c r="L189" s="33">
        <v>6.9956789999999991</v>
      </c>
      <c r="M189" s="33">
        <v>1784.1475699999999</v>
      </c>
      <c r="N189" s="34">
        <v>2.2194382921560844E-2</v>
      </c>
      <c r="O189" s="34">
        <v>2.614E-3</v>
      </c>
      <c r="P189" s="25">
        <v>116.2</v>
      </c>
      <c r="Q189" s="25">
        <v>114.68</v>
      </c>
      <c r="R189" s="34">
        <v>1.3254272758981478E-2</v>
      </c>
    </row>
    <row r="190" spans="1:18" x14ac:dyDescent="0.15">
      <c r="A190" s="26">
        <v>183</v>
      </c>
      <c r="B190" s="25">
        <v>123196</v>
      </c>
      <c r="C190" s="25" t="s">
        <v>1187</v>
      </c>
      <c r="D190" s="25">
        <v>117.68</v>
      </c>
      <c r="E190" s="34">
        <v>-1E-3</v>
      </c>
      <c r="F190" s="25">
        <v>21.99</v>
      </c>
      <c r="G190" s="25">
        <v>84.77</v>
      </c>
      <c r="H190" s="43">
        <v>0.38819999999999999</v>
      </c>
      <c r="I190" s="57">
        <v>156.5</v>
      </c>
      <c r="J190" s="32">
        <v>47226</v>
      </c>
      <c r="K190" s="33">
        <v>5.3620000000000001</v>
      </c>
      <c r="L190" s="33">
        <v>3.5072399999999999</v>
      </c>
      <c r="M190" s="33">
        <v>1217.3123177999998</v>
      </c>
      <c r="N190" s="34">
        <v>2.9494013266766709E-2</v>
      </c>
      <c r="O190" s="34">
        <v>2.9070000000000003E-3</v>
      </c>
      <c r="P190" s="25">
        <v>118.6</v>
      </c>
      <c r="Q190" s="25">
        <v>117.571</v>
      </c>
      <c r="R190" s="34">
        <v>8.7521582703217315E-3</v>
      </c>
    </row>
    <row r="191" spans="1:18" x14ac:dyDescent="0.15">
      <c r="A191" s="26">
        <v>184</v>
      </c>
      <c r="B191" s="25">
        <v>123082</v>
      </c>
      <c r="C191" s="25" t="s">
        <v>1068</v>
      </c>
      <c r="D191" s="25">
        <v>117.581</v>
      </c>
      <c r="E191" s="34">
        <v>-4.7999999999999996E-3</v>
      </c>
      <c r="F191" s="25">
        <v>8.68</v>
      </c>
      <c r="G191" s="25">
        <v>84.68</v>
      </c>
      <c r="H191" s="43">
        <v>0.38850000000000001</v>
      </c>
      <c r="I191" s="57">
        <v>156.43100000000001</v>
      </c>
      <c r="J191" s="32">
        <v>46363</v>
      </c>
      <c r="K191" s="33">
        <v>2.9969999999999999</v>
      </c>
      <c r="L191" s="33">
        <v>4.9928650000000001</v>
      </c>
      <c r="M191" s="33">
        <v>484.94614979999994</v>
      </c>
      <c r="N191" s="34">
        <v>8.2605039398689125E-3</v>
      </c>
      <c r="O191" s="34">
        <v>4.934E-3</v>
      </c>
      <c r="P191" s="25">
        <v>118.17</v>
      </c>
      <c r="Q191" s="25">
        <v>117.11199999999999</v>
      </c>
      <c r="R191" s="34">
        <v>9.0340870278025048E-3</v>
      </c>
    </row>
    <row r="192" spans="1:18" x14ac:dyDescent="0.15">
      <c r="A192" s="26">
        <v>185</v>
      </c>
      <c r="B192" s="25">
        <v>118012</v>
      </c>
      <c r="C192" s="25" t="s">
        <v>688</v>
      </c>
      <c r="D192" s="25">
        <v>124.783</v>
      </c>
      <c r="E192" s="34">
        <v>-8.1000000000000013E-3</v>
      </c>
      <c r="F192" s="25">
        <v>25.36</v>
      </c>
      <c r="G192" s="25">
        <v>89.63</v>
      </c>
      <c r="H192" s="43">
        <v>0.39219999999999999</v>
      </c>
      <c r="I192" s="57">
        <v>164.00299999999999</v>
      </c>
      <c r="J192" s="32">
        <v>46939</v>
      </c>
      <c r="K192" s="33">
        <v>4.5750000000000002</v>
      </c>
      <c r="L192" s="33">
        <v>4.9989299999999997</v>
      </c>
      <c r="M192" s="33">
        <v>359.81560000000002</v>
      </c>
      <c r="N192" s="34">
        <v>5.7682956335405045E-3</v>
      </c>
      <c r="O192" s="34">
        <v>-6.6669999999999993E-3</v>
      </c>
      <c r="P192" s="25">
        <v>126.03</v>
      </c>
      <c r="Q192" s="25">
        <v>124.64700000000001</v>
      </c>
      <c r="R192" s="34">
        <v>1.1095333221016114E-2</v>
      </c>
    </row>
    <row r="193" spans="1:18" x14ac:dyDescent="0.15">
      <c r="A193" s="26">
        <v>186</v>
      </c>
      <c r="B193" s="25">
        <v>128120</v>
      </c>
      <c r="C193" s="25" t="s">
        <v>710</v>
      </c>
      <c r="D193" s="25">
        <v>127.1</v>
      </c>
      <c r="E193" s="34">
        <v>-5.3E-3</v>
      </c>
      <c r="F193" s="25">
        <v>17.440000000000001</v>
      </c>
      <c r="G193" s="25">
        <v>91.23</v>
      </c>
      <c r="H193" s="43">
        <v>0.39319999999999999</v>
      </c>
      <c r="I193" s="57">
        <v>166.42</v>
      </c>
      <c r="J193" s="32">
        <v>46220</v>
      </c>
      <c r="K193" s="33">
        <v>2.605</v>
      </c>
      <c r="L193" s="33">
        <v>2.5958919999999996</v>
      </c>
      <c r="M193" s="33">
        <v>4049.6541167999999</v>
      </c>
      <c r="N193" s="34">
        <v>0.12273989880346967</v>
      </c>
      <c r="O193" s="34">
        <v>-3.5073E-2</v>
      </c>
      <c r="P193" s="25">
        <v>129.78800000000001</v>
      </c>
      <c r="Q193" s="25">
        <v>127.08</v>
      </c>
      <c r="R193" s="34">
        <v>2.1309411394397331E-2</v>
      </c>
    </row>
    <row r="194" spans="1:18" x14ac:dyDescent="0.15">
      <c r="A194" s="26">
        <v>187</v>
      </c>
      <c r="B194" s="25">
        <v>123061</v>
      </c>
      <c r="C194" s="25" t="s">
        <v>713</v>
      </c>
      <c r="D194" s="25">
        <v>124.69499999999999</v>
      </c>
      <c r="E194" s="34">
        <v>1.6000000000000001E-3</v>
      </c>
      <c r="F194" s="25">
        <v>14.83</v>
      </c>
      <c r="G194" s="25">
        <v>89.35</v>
      </c>
      <c r="H194" s="43">
        <v>0.39560000000000001</v>
      </c>
      <c r="I194" s="57">
        <v>164.255</v>
      </c>
      <c r="J194" s="32">
        <v>46225</v>
      </c>
      <c r="K194" s="33">
        <v>2.6190000000000002</v>
      </c>
      <c r="L194" s="33">
        <v>2.4958109999999998</v>
      </c>
      <c r="M194" s="33">
        <v>156.28555900000001</v>
      </c>
      <c r="N194" s="34">
        <v>5.021785015020569E-3</v>
      </c>
      <c r="O194" s="34">
        <v>-7.5110000000000003E-3</v>
      </c>
      <c r="P194" s="25">
        <v>124.79900000000001</v>
      </c>
      <c r="Q194" s="25">
        <v>124.461</v>
      </c>
      <c r="R194" s="34">
        <v>2.7157101421329418E-3</v>
      </c>
    </row>
    <row r="195" spans="1:18" x14ac:dyDescent="0.15">
      <c r="A195" s="26">
        <v>188</v>
      </c>
      <c r="B195" s="25">
        <v>127090</v>
      </c>
      <c r="C195" s="25" t="s">
        <v>1121</v>
      </c>
      <c r="D195" s="25">
        <v>130.11000000000001</v>
      </c>
      <c r="E195" s="34">
        <v>1E-4</v>
      </c>
      <c r="F195" s="25">
        <v>26.3</v>
      </c>
      <c r="G195" s="25">
        <v>93.12</v>
      </c>
      <c r="H195" s="43">
        <v>0.3972</v>
      </c>
      <c r="I195" s="57">
        <v>169.83</v>
      </c>
      <c r="J195" s="32">
        <v>47323</v>
      </c>
      <c r="K195" s="33">
        <v>5.6269999999999998</v>
      </c>
      <c r="L195" s="33">
        <v>4.62</v>
      </c>
      <c r="M195" s="33">
        <v>2957.4132801999999</v>
      </c>
      <c r="N195" s="34">
        <v>4.9199350136963686E-2</v>
      </c>
      <c r="O195" s="34">
        <v>-1.6108999999999998E-2</v>
      </c>
      <c r="P195" s="25">
        <v>130.58000000000001</v>
      </c>
      <c r="Q195" s="25">
        <v>129.511</v>
      </c>
      <c r="R195" s="34">
        <v>8.2541251322282815E-3</v>
      </c>
    </row>
    <row r="196" spans="1:18" x14ac:dyDescent="0.15">
      <c r="A196" s="26">
        <v>189</v>
      </c>
      <c r="B196" s="25">
        <v>113660</v>
      </c>
      <c r="C196" s="25" t="s">
        <v>728</v>
      </c>
      <c r="D196" s="25">
        <v>124.57899999999999</v>
      </c>
      <c r="E196" s="34">
        <v>-4.5000000000000005E-3</v>
      </c>
      <c r="F196" s="25">
        <v>37.65</v>
      </c>
      <c r="G196" s="25">
        <v>89.14</v>
      </c>
      <c r="H196" s="43">
        <v>0.39759999999999995</v>
      </c>
      <c r="I196" s="57">
        <v>164.339</v>
      </c>
      <c r="J196" s="32">
        <v>47074</v>
      </c>
      <c r="K196" s="33">
        <v>4.9450000000000003</v>
      </c>
      <c r="L196" s="33">
        <v>3.9769999999999999</v>
      </c>
      <c r="M196" s="33">
        <v>1696.4068</v>
      </c>
      <c r="N196" s="34">
        <v>3.423967022768238E-2</v>
      </c>
      <c r="O196" s="34">
        <v>-1.2326999999999999E-2</v>
      </c>
      <c r="P196" s="25">
        <v>125.496</v>
      </c>
      <c r="Q196" s="25">
        <v>123.1</v>
      </c>
      <c r="R196" s="34">
        <v>1.9463850528026003E-2</v>
      </c>
    </row>
    <row r="197" spans="1:18" x14ac:dyDescent="0.15">
      <c r="A197" s="26">
        <v>190</v>
      </c>
      <c r="B197" s="25">
        <v>113674</v>
      </c>
      <c r="C197" s="25" t="s">
        <v>1043</v>
      </c>
      <c r="D197" s="25">
        <v>123.548</v>
      </c>
      <c r="E197" s="34">
        <v>-3.7000000000000002E-3</v>
      </c>
      <c r="F197" s="25">
        <v>8.86</v>
      </c>
      <c r="G197" s="25">
        <v>88.26</v>
      </c>
      <c r="H197" s="43">
        <v>0.39979999999999999</v>
      </c>
      <c r="I197" s="57">
        <v>163.52799999999999</v>
      </c>
      <c r="J197" s="32">
        <v>47320</v>
      </c>
      <c r="K197" s="33">
        <v>5.6189999999999998</v>
      </c>
      <c r="L197" s="33">
        <v>4</v>
      </c>
      <c r="M197" s="33">
        <v>1646.9680000000001</v>
      </c>
      <c r="N197" s="34">
        <v>3.3326480396283227E-2</v>
      </c>
      <c r="O197" s="34">
        <v>-9.6519999999999991E-3</v>
      </c>
      <c r="P197" s="25">
        <v>124.63500000000001</v>
      </c>
      <c r="Q197" s="25">
        <v>123.126</v>
      </c>
      <c r="R197" s="34">
        <v>1.2255738024462748E-2</v>
      </c>
    </row>
    <row r="198" spans="1:18" x14ac:dyDescent="0.15">
      <c r="A198" s="26">
        <v>191</v>
      </c>
      <c r="B198" s="25">
        <v>127055</v>
      </c>
      <c r="C198" s="25" t="s">
        <v>1065</v>
      </c>
      <c r="D198" s="25">
        <v>112.568</v>
      </c>
      <c r="E198" s="34">
        <v>-2.5999999999999999E-3</v>
      </c>
      <c r="F198" s="25">
        <v>18.5</v>
      </c>
      <c r="G198" s="25">
        <v>80.27</v>
      </c>
      <c r="H198" s="43">
        <v>0.40240000000000004</v>
      </c>
      <c r="I198" s="57">
        <v>152.80799999999999</v>
      </c>
      <c r="J198" s="32">
        <v>46805</v>
      </c>
      <c r="K198" s="33">
        <v>4.2080000000000002</v>
      </c>
      <c r="L198" s="33">
        <v>5.766216</v>
      </c>
      <c r="M198" s="33">
        <v>327.47518700000001</v>
      </c>
      <c r="N198" s="34">
        <v>5.045132097634763E-3</v>
      </c>
      <c r="O198" s="34">
        <v>1.5616000000000001E-2</v>
      </c>
      <c r="P198" s="25">
        <v>113.142</v>
      </c>
      <c r="Q198" s="25">
        <v>112.5</v>
      </c>
      <c r="R198" s="34">
        <v>5.7066666666666299E-3</v>
      </c>
    </row>
    <row r="199" spans="1:18" x14ac:dyDescent="0.15">
      <c r="A199" s="26">
        <v>192</v>
      </c>
      <c r="B199" s="25">
        <v>113671</v>
      </c>
      <c r="C199" s="25" t="s">
        <v>1035</v>
      </c>
      <c r="D199" s="25">
        <v>124.078</v>
      </c>
      <c r="E199" s="34">
        <v>-3.9000000000000003E-3</v>
      </c>
      <c r="F199" s="25">
        <v>8.5500000000000007</v>
      </c>
      <c r="G199" s="25">
        <v>88.3</v>
      </c>
      <c r="H199" s="43">
        <v>0.4052</v>
      </c>
      <c r="I199" s="57">
        <v>164.59800000000001</v>
      </c>
      <c r="J199" s="32">
        <v>47309</v>
      </c>
      <c r="K199" s="33">
        <v>5.5890000000000004</v>
      </c>
      <c r="L199" s="33">
        <v>3.1</v>
      </c>
      <c r="M199" s="33">
        <v>512.95510000000002</v>
      </c>
      <c r="N199" s="34">
        <v>1.3335916689241783E-2</v>
      </c>
      <c r="O199" s="34">
        <v>-1.3574999999999999E-2</v>
      </c>
      <c r="P199" s="25">
        <v>124.9</v>
      </c>
      <c r="Q199" s="25">
        <v>123.908</v>
      </c>
      <c r="R199" s="34">
        <v>8.0059398908868228E-3</v>
      </c>
    </row>
    <row r="200" spans="1:18" x14ac:dyDescent="0.15">
      <c r="A200" s="26">
        <v>193</v>
      </c>
      <c r="B200" s="25">
        <v>123114</v>
      </c>
      <c r="C200" s="25" t="s">
        <v>1162</v>
      </c>
      <c r="D200" s="25">
        <v>121.259</v>
      </c>
      <c r="E200" s="34">
        <v>4.0000000000000001E-3</v>
      </c>
      <c r="F200" s="25">
        <v>31.72</v>
      </c>
      <c r="G200" s="25">
        <v>86.07</v>
      </c>
      <c r="H200" s="43">
        <v>0.40880000000000005</v>
      </c>
      <c r="I200" s="57">
        <v>162.13900000000001</v>
      </c>
      <c r="J200" s="32">
        <v>46532</v>
      </c>
      <c r="K200" s="33">
        <v>3.46</v>
      </c>
      <c r="L200" s="33">
        <v>9.0047110000000004</v>
      </c>
      <c r="M200" s="33">
        <v>604.81167400000004</v>
      </c>
      <c r="N200" s="34">
        <v>5.5390642648054031E-3</v>
      </c>
      <c r="O200" s="34">
        <v>-3.0719999999999996E-3</v>
      </c>
      <c r="P200" s="25">
        <v>121.515</v>
      </c>
      <c r="Q200" s="25">
        <v>120.56</v>
      </c>
      <c r="R200" s="34">
        <v>7.9213669542136551E-3</v>
      </c>
    </row>
    <row r="201" spans="1:18" x14ac:dyDescent="0.15">
      <c r="A201" s="26">
        <v>194</v>
      </c>
      <c r="B201" s="25">
        <v>127072</v>
      </c>
      <c r="C201" s="25" t="s">
        <v>692</v>
      </c>
      <c r="D201" s="25">
        <v>126.408</v>
      </c>
      <c r="E201" s="34">
        <v>1.04E-2</v>
      </c>
      <c r="F201" s="25">
        <v>15.56</v>
      </c>
      <c r="G201" s="25">
        <v>89.65</v>
      </c>
      <c r="H201" s="43">
        <v>0.41</v>
      </c>
      <c r="I201" s="57">
        <v>167.40800000000002</v>
      </c>
      <c r="J201" s="32">
        <v>47018</v>
      </c>
      <c r="K201" s="33">
        <v>4.7919999999999998</v>
      </c>
      <c r="L201" s="33">
        <v>4.4989970000000001</v>
      </c>
      <c r="M201" s="33">
        <v>1839.8476920000003</v>
      </c>
      <c r="N201" s="34">
        <v>3.2351290442777986E-2</v>
      </c>
      <c r="O201" s="34">
        <v>-1.6635999999999998E-2</v>
      </c>
      <c r="P201" s="25">
        <v>127.33</v>
      </c>
      <c r="Q201" s="25">
        <v>124.637</v>
      </c>
      <c r="R201" s="34">
        <v>2.1606745990355978E-2</v>
      </c>
    </row>
    <row r="202" spans="1:18" x14ac:dyDescent="0.15">
      <c r="A202" s="26">
        <v>195</v>
      </c>
      <c r="B202" s="25">
        <v>127079</v>
      </c>
      <c r="C202" s="25" t="s">
        <v>745</v>
      </c>
      <c r="D202" s="25">
        <v>125.49299999999999</v>
      </c>
      <c r="E202" s="34">
        <v>-9.1999999999999998E-3</v>
      </c>
      <c r="F202" s="25">
        <v>55.69</v>
      </c>
      <c r="G202" s="25">
        <v>88.97</v>
      </c>
      <c r="H202" s="43">
        <v>0.41049999999999998</v>
      </c>
      <c r="I202" s="57">
        <v>166.54300000000001</v>
      </c>
      <c r="J202" s="32">
        <v>47103</v>
      </c>
      <c r="K202" s="33">
        <v>5.0250000000000004</v>
      </c>
      <c r="L202" s="33">
        <v>3.3996559999999998</v>
      </c>
      <c r="M202" s="33">
        <v>2664.3429715000002</v>
      </c>
      <c r="N202" s="34">
        <v>6.2450461675506504E-2</v>
      </c>
      <c r="O202" s="34">
        <v>-7.0530000000000002E-3</v>
      </c>
      <c r="P202" s="25">
        <v>127.384</v>
      </c>
      <c r="Q202" s="25">
        <v>125.342</v>
      </c>
      <c r="R202" s="34">
        <v>1.6291426656667371E-2</v>
      </c>
    </row>
    <row r="203" spans="1:18" x14ac:dyDescent="0.15">
      <c r="A203" s="26">
        <v>196</v>
      </c>
      <c r="B203" s="25">
        <v>123138</v>
      </c>
      <c r="C203" s="25" t="s">
        <v>711</v>
      </c>
      <c r="D203" s="25">
        <v>132.12</v>
      </c>
      <c r="E203" s="34">
        <v>8.5000000000000006E-3</v>
      </c>
      <c r="F203" s="25">
        <v>26.56</v>
      </c>
      <c r="G203" s="25">
        <v>93.67</v>
      </c>
      <c r="H203" s="43">
        <v>0.41049999999999998</v>
      </c>
      <c r="I203" s="57">
        <v>173.17000000000002</v>
      </c>
      <c r="J203" s="32">
        <v>46814</v>
      </c>
      <c r="K203" s="33">
        <v>4.2329999999999997</v>
      </c>
      <c r="L203" s="33">
        <v>2.3967719999999999</v>
      </c>
      <c r="M203" s="33">
        <v>2627.1245395999999</v>
      </c>
      <c r="N203" s="34">
        <v>8.2963176816546191E-2</v>
      </c>
      <c r="O203" s="34">
        <v>-2.0647000000000002E-2</v>
      </c>
      <c r="P203" s="25">
        <v>132.12</v>
      </c>
      <c r="Q203" s="25">
        <v>129.95099999999999</v>
      </c>
      <c r="R203" s="34">
        <v>1.6690906572477404E-2</v>
      </c>
    </row>
    <row r="204" spans="1:18" x14ac:dyDescent="0.15">
      <c r="A204" s="26">
        <v>197</v>
      </c>
      <c r="B204" s="25">
        <v>111016</v>
      </c>
      <c r="C204" s="25" t="s">
        <v>1041</v>
      </c>
      <c r="D204" s="25">
        <v>144.393</v>
      </c>
      <c r="E204" s="34">
        <v>-1.3500000000000002E-2</v>
      </c>
      <c r="F204" s="25">
        <v>11.57</v>
      </c>
      <c r="G204" s="25">
        <v>101.99</v>
      </c>
      <c r="H204" s="43">
        <v>0.4158</v>
      </c>
      <c r="I204" s="57">
        <v>185.97300000000001</v>
      </c>
      <c r="J204" s="32">
        <v>47324</v>
      </c>
      <c r="K204" s="33">
        <v>5.63</v>
      </c>
      <c r="L204" s="33">
        <v>5.77</v>
      </c>
      <c r="M204" s="33">
        <v>23215.7353</v>
      </c>
      <c r="N204" s="34">
        <v>0.2786509259745702</v>
      </c>
      <c r="O204" s="34">
        <v>-3.2920999999999999E-2</v>
      </c>
      <c r="P204" s="25">
        <v>146.82900000000001</v>
      </c>
      <c r="Q204" s="25">
        <v>141.62299999999999</v>
      </c>
      <c r="R204" s="34">
        <v>3.6759565889721429E-2</v>
      </c>
    </row>
    <row r="205" spans="1:18" x14ac:dyDescent="0.15">
      <c r="A205" s="26">
        <v>198</v>
      </c>
      <c r="B205" s="25">
        <v>113654</v>
      </c>
      <c r="C205" s="25" t="s">
        <v>1063</v>
      </c>
      <c r="D205" s="25">
        <v>117.503</v>
      </c>
      <c r="E205" s="34">
        <v>-1.1999999999999999E-3</v>
      </c>
      <c r="F205" s="25">
        <v>13.94</v>
      </c>
      <c r="G205" s="25">
        <v>82.78</v>
      </c>
      <c r="H205" s="43">
        <v>0.41950000000000004</v>
      </c>
      <c r="I205" s="57">
        <v>159.453</v>
      </c>
      <c r="J205" s="32">
        <v>46969</v>
      </c>
      <c r="K205" s="33">
        <v>4.6580000000000004</v>
      </c>
      <c r="L205" s="33">
        <v>6.10459</v>
      </c>
      <c r="M205" s="33">
        <v>300.36189999999999</v>
      </c>
      <c r="N205" s="34">
        <v>4.1873511972498187E-3</v>
      </c>
      <c r="O205" s="34">
        <v>7.3700000000000002E-4</v>
      </c>
      <c r="P205" s="25">
        <v>118.652</v>
      </c>
      <c r="Q205" s="25">
        <v>117.5</v>
      </c>
      <c r="R205" s="34">
        <v>9.8042553191489447E-3</v>
      </c>
    </row>
    <row r="206" spans="1:18" x14ac:dyDescent="0.15">
      <c r="A206" s="26">
        <v>199</v>
      </c>
      <c r="B206" s="25">
        <v>113639</v>
      </c>
      <c r="C206" s="25" t="s">
        <v>1066</v>
      </c>
      <c r="D206" s="25">
        <v>127.5</v>
      </c>
      <c r="E206" s="34">
        <v>6.4000000000000003E-3</v>
      </c>
      <c r="F206" s="25">
        <v>38.51</v>
      </c>
      <c r="G206" s="25">
        <v>89.79</v>
      </c>
      <c r="H206" s="43">
        <v>0.42</v>
      </c>
      <c r="I206" s="57">
        <v>169.5</v>
      </c>
      <c r="J206" s="32">
        <v>46776</v>
      </c>
      <c r="K206" s="33">
        <v>4.1289999999999996</v>
      </c>
      <c r="L206" s="33">
        <v>5.69937</v>
      </c>
      <c r="M206" s="33">
        <v>1894.623</v>
      </c>
      <c r="N206" s="34">
        <v>2.6072685639455091E-2</v>
      </c>
      <c r="O206" s="34">
        <v>-3.0775E-2</v>
      </c>
      <c r="P206" s="25">
        <v>128.19999999999999</v>
      </c>
      <c r="Q206" s="25">
        <v>126.437</v>
      </c>
      <c r="R206" s="34">
        <v>1.3943703188148969E-2</v>
      </c>
    </row>
    <row r="207" spans="1:18" x14ac:dyDescent="0.15">
      <c r="A207" s="26">
        <v>200</v>
      </c>
      <c r="B207" s="25">
        <v>118011</v>
      </c>
      <c r="C207" s="25" t="s">
        <v>717</v>
      </c>
      <c r="D207" s="25">
        <v>120.3</v>
      </c>
      <c r="E207" s="34">
        <v>1.01E-2</v>
      </c>
      <c r="F207" s="25">
        <v>31.73</v>
      </c>
      <c r="G207" s="25">
        <v>84.56</v>
      </c>
      <c r="H207" s="43">
        <v>0.42270000000000002</v>
      </c>
      <c r="I207" s="57">
        <v>162.57</v>
      </c>
      <c r="J207" s="32">
        <v>46938</v>
      </c>
      <c r="K207" s="33">
        <v>4.5730000000000004</v>
      </c>
      <c r="L207" s="33">
        <v>4.9974699999999999</v>
      </c>
      <c r="M207" s="33">
        <v>933.90120000000002</v>
      </c>
      <c r="N207" s="34">
        <v>1.5534064725529175E-2</v>
      </c>
      <c r="O207" s="34">
        <v>1.2970000000000002E-3</v>
      </c>
      <c r="P207" s="25">
        <v>121.36</v>
      </c>
      <c r="Q207" s="25">
        <v>119.1</v>
      </c>
      <c r="R207" s="34">
        <v>1.8975650713686024E-2</v>
      </c>
    </row>
    <row r="208" spans="1:18" x14ac:dyDescent="0.15">
      <c r="A208" s="26">
        <v>201</v>
      </c>
      <c r="B208" s="25">
        <v>123212</v>
      </c>
      <c r="C208" s="25" t="s">
        <v>1120</v>
      </c>
      <c r="D208" s="25">
        <v>124.577</v>
      </c>
      <c r="E208" s="34">
        <v>2.0000000000000001E-4</v>
      </c>
      <c r="F208" s="25">
        <v>23.55</v>
      </c>
      <c r="G208" s="25">
        <v>87.56</v>
      </c>
      <c r="H208" s="43">
        <v>0.42280000000000001</v>
      </c>
      <c r="I208" s="57">
        <v>166.857</v>
      </c>
      <c r="J208" s="32">
        <v>47326</v>
      </c>
      <c r="K208" s="33">
        <v>5.6360000000000001</v>
      </c>
      <c r="L208" s="33">
        <v>8.9979999999999993</v>
      </c>
      <c r="M208" s="33">
        <v>472.6678569</v>
      </c>
      <c r="N208" s="34">
        <v>4.2166952304228096E-3</v>
      </c>
      <c r="O208" s="34">
        <v>-9.2849999999999999E-3</v>
      </c>
      <c r="P208" s="25">
        <v>125.36199999999999</v>
      </c>
      <c r="Q208" s="25">
        <v>124.099</v>
      </c>
      <c r="R208" s="34">
        <v>1.0177358399342388E-2</v>
      </c>
    </row>
    <row r="209" spans="1:18" x14ac:dyDescent="0.15">
      <c r="A209" s="26">
        <v>202</v>
      </c>
      <c r="B209" s="25">
        <v>123159</v>
      </c>
      <c r="C209" s="25" t="s">
        <v>1007</v>
      </c>
      <c r="D209" s="25">
        <v>115.045</v>
      </c>
      <c r="E209" s="34">
        <v>-3.4000000000000002E-3</v>
      </c>
      <c r="F209" s="25">
        <v>24.45</v>
      </c>
      <c r="G209" s="25">
        <v>80.819999999999993</v>
      </c>
      <c r="H209" s="43">
        <v>0.42349999999999999</v>
      </c>
      <c r="I209" s="57">
        <v>157.39500000000001</v>
      </c>
      <c r="J209" s="32">
        <v>47023</v>
      </c>
      <c r="K209" s="33">
        <v>4.8049999999999997</v>
      </c>
      <c r="L209" s="33">
        <v>2.9434429999999998</v>
      </c>
      <c r="M209" s="33">
        <v>381.24724530000003</v>
      </c>
      <c r="N209" s="34">
        <v>1.1258572682420635E-2</v>
      </c>
      <c r="O209" s="34">
        <v>7.1819999999999991E-3</v>
      </c>
      <c r="P209" s="25">
        <v>115.77</v>
      </c>
      <c r="Q209" s="25">
        <v>114.833</v>
      </c>
      <c r="R209" s="34">
        <v>8.1596753546454206E-3</v>
      </c>
    </row>
    <row r="210" spans="1:18" x14ac:dyDescent="0.15">
      <c r="A210" s="26">
        <v>203</v>
      </c>
      <c r="B210" s="25">
        <v>113640</v>
      </c>
      <c r="C210" s="25" t="s">
        <v>1154</v>
      </c>
      <c r="D210" s="25">
        <v>106.922</v>
      </c>
      <c r="E210" s="34">
        <v>4.5999999999999999E-3</v>
      </c>
      <c r="F210" s="25">
        <v>19.16</v>
      </c>
      <c r="G210" s="25">
        <v>74.900000000000006</v>
      </c>
      <c r="H210" s="43">
        <v>0.42749999999999999</v>
      </c>
      <c r="I210" s="57">
        <v>149.672</v>
      </c>
      <c r="J210" s="32">
        <v>46799</v>
      </c>
      <c r="K210" s="33">
        <v>4.1920000000000002</v>
      </c>
      <c r="L210" s="33">
        <v>9.5716999999999999</v>
      </c>
      <c r="M210" s="33">
        <v>839.47929999999997</v>
      </c>
      <c r="N210" s="34">
        <v>8.2026435532719759E-3</v>
      </c>
      <c r="O210" s="34">
        <v>2.8719000000000001E-2</v>
      </c>
      <c r="P210" s="25">
        <v>106.97499999999999</v>
      </c>
      <c r="Q210" s="25">
        <v>106.38200000000001</v>
      </c>
      <c r="R210" s="34">
        <v>5.5742512831117039E-3</v>
      </c>
    </row>
    <row r="211" spans="1:18" x14ac:dyDescent="0.15">
      <c r="A211" s="26">
        <v>204</v>
      </c>
      <c r="B211" s="25">
        <v>127093</v>
      </c>
      <c r="C211" s="25" t="s">
        <v>1104</v>
      </c>
      <c r="D211" s="25">
        <v>136.88800000000001</v>
      </c>
      <c r="E211" s="34">
        <v>-8.0000000000000002E-3</v>
      </c>
      <c r="F211" s="25">
        <v>10.35</v>
      </c>
      <c r="G211" s="25">
        <v>95.85</v>
      </c>
      <c r="H211" s="43">
        <v>0.42810000000000004</v>
      </c>
      <c r="I211" s="57">
        <v>179.69800000000001</v>
      </c>
      <c r="J211" s="32">
        <v>47408</v>
      </c>
      <c r="K211" s="33">
        <v>5.86</v>
      </c>
      <c r="L211" s="33">
        <v>2.4300000000000002</v>
      </c>
      <c r="M211" s="33">
        <v>8393.3879508000009</v>
      </c>
      <c r="N211" s="34">
        <v>0.25232811609166289</v>
      </c>
      <c r="O211" s="34">
        <v>-1.2093E-2</v>
      </c>
      <c r="P211" s="25">
        <v>140.70500000000001</v>
      </c>
      <c r="Q211" s="25">
        <v>136.88</v>
      </c>
      <c r="R211" s="34">
        <v>2.7944184687317485E-2</v>
      </c>
    </row>
    <row r="212" spans="1:18" x14ac:dyDescent="0.15">
      <c r="A212" s="26">
        <v>205</v>
      </c>
      <c r="B212" s="25">
        <v>123170</v>
      </c>
      <c r="C212" s="25" t="s">
        <v>1139</v>
      </c>
      <c r="D212" s="25">
        <v>120.08799999999999</v>
      </c>
      <c r="E212" s="34">
        <v>-1.7000000000000001E-3</v>
      </c>
      <c r="F212" s="25">
        <v>33.89</v>
      </c>
      <c r="G212" s="25">
        <v>83.77</v>
      </c>
      <c r="H212" s="43">
        <v>0.4335</v>
      </c>
      <c r="I212" s="57">
        <v>163.43799999999999</v>
      </c>
      <c r="J212" s="32">
        <v>47081</v>
      </c>
      <c r="K212" s="33">
        <v>4.9640000000000004</v>
      </c>
      <c r="L212" s="33">
        <v>8.9983260000000005</v>
      </c>
      <c r="M212" s="33">
        <v>1490.8709085999999</v>
      </c>
      <c r="N212" s="34">
        <v>1.3796810692314199E-2</v>
      </c>
      <c r="O212" s="34">
        <v>4.9109999999999996E-3</v>
      </c>
      <c r="P212" s="25">
        <v>121.15</v>
      </c>
      <c r="Q212" s="25">
        <v>119.75</v>
      </c>
      <c r="R212" s="34">
        <v>1.1691022964509442E-2</v>
      </c>
    </row>
    <row r="213" spans="1:18" x14ac:dyDescent="0.15">
      <c r="A213" s="26">
        <v>206</v>
      </c>
      <c r="B213" s="25">
        <v>123185</v>
      </c>
      <c r="C213" s="25" t="s">
        <v>1190</v>
      </c>
      <c r="D213" s="25">
        <v>113.8</v>
      </c>
      <c r="E213" s="34">
        <v>-5.1999999999999998E-3</v>
      </c>
      <c r="F213" s="25">
        <v>32.799999999999997</v>
      </c>
      <c r="G213" s="25">
        <v>78.930000000000007</v>
      </c>
      <c r="H213" s="43">
        <v>0.44179999999999997</v>
      </c>
      <c r="I213" s="57">
        <v>157.97999999999999</v>
      </c>
      <c r="J213" s="32">
        <v>47208</v>
      </c>
      <c r="K213" s="33">
        <v>5.3120000000000003</v>
      </c>
      <c r="L213" s="33">
        <v>3.4788860000000001</v>
      </c>
      <c r="M213" s="33">
        <v>844.60902689999989</v>
      </c>
      <c r="N213" s="34">
        <v>2.1334047569034394E-2</v>
      </c>
      <c r="O213" s="34">
        <v>6.8440000000000003E-3</v>
      </c>
      <c r="P213" s="25">
        <v>114.65</v>
      </c>
      <c r="Q213" s="25">
        <v>113.703</v>
      </c>
      <c r="R213" s="34">
        <v>8.3287160409136318E-3</v>
      </c>
    </row>
    <row r="214" spans="1:18" x14ac:dyDescent="0.15">
      <c r="A214" s="26">
        <v>207</v>
      </c>
      <c r="B214" s="25">
        <v>127081</v>
      </c>
      <c r="C214" s="25" t="s">
        <v>1011</v>
      </c>
      <c r="D214" s="25">
        <v>112.631</v>
      </c>
      <c r="E214" s="34">
        <v>-5.9999999999999995E-4</v>
      </c>
      <c r="F214" s="25">
        <v>30.17</v>
      </c>
      <c r="G214" s="25">
        <v>77.989999999999995</v>
      </c>
      <c r="H214" s="43">
        <v>0.44420000000000004</v>
      </c>
      <c r="I214" s="57">
        <v>157.05099999999999</v>
      </c>
      <c r="J214" s="32">
        <v>47180</v>
      </c>
      <c r="K214" s="33">
        <v>5.2359999999999998</v>
      </c>
      <c r="L214" s="33">
        <v>5.3999499999999996</v>
      </c>
      <c r="M214" s="33">
        <v>129.12530989999999</v>
      </c>
      <c r="N214" s="34">
        <v>2.1230669918812532E-3</v>
      </c>
      <c r="O214" s="34">
        <v>6.4280000000000006E-3</v>
      </c>
      <c r="P214" s="25">
        <v>113.227</v>
      </c>
      <c r="Q214" s="25">
        <v>112.232</v>
      </c>
      <c r="R214" s="34">
        <v>8.8655641884667884E-3</v>
      </c>
    </row>
    <row r="215" spans="1:18" x14ac:dyDescent="0.15">
      <c r="A215" s="26">
        <v>208</v>
      </c>
      <c r="B215" s="25">
        <v>123151</v>
      </c>
      <c r="C215" s="25" t="s">
        <v>1005</v>
      </c>
      <c r="D215" s="25">
        <v>111.06</v>
      </c>
      <c r="E215" s="34">
        <v>4.1999999999999997E-3</v>
      </c>
      <c r="F215" s="25">
        <v>28.1</v>
      </c>
      <c r="G215" s="25">
        <v>76.87</v>
      </c>
      <c r="H215" s="43">
        <v>0.44479999999999997</v>
      </c>
      <c r="I215" s="57">
        <v>155.54</v>
      </c>
      <c r="J215" s="32">
        <v>46935</v>
      </c>
      <c r="K215" s="33">
        <v>4.5640000000000001</v>
      </c>
      <c r="L215" s="33">
        <v>6.9983310000000003</v>
      </c>
      <c r="M215" s="33">
        <v>335.55176790000002</v>
      </c>
      <c r="N215" s="34">
        <v>4.3172518343844828E-3</v>
      </c>
      <c r="O215" s="34">
        <v>1.9776999999999999E-2</v>
      </c>
      <c r="P215" s="25">
        <v>111.381</v>
      </c>
      <c r="Q215" s="25">
        <v>110.502</v>
      </c>
      <c r="R215" s="34">
        <v>7.9546071564316027E-3</v>
      </c>
    </row>
    <row r="216" spans="1:18" x14ac:dyDescent="0.15">
      <c r="A216" s="26">
        <v>209</v>
      </c>
      <c r="B216" s="25">
        <v>127060</v>
      </c>
      <c r="C216" s="25" t="s">
        <v>1064</v>
      </c>
      <c r="D216" s="25">
        <v>105.837</v>
      </c>
      <c r="E216" s="34">
        <v>-6.1999999999999998E-3</v>
      </c>
      <c r="F216" s="25">
        <v>30.26</v>
      </c>
      <c r="G216" s="25">
        <v>73.13</v>
      </c>
      <c r="H216" s="43">
        <v>0.44719999999999999</v>
      </c>
      <c r="I216" s="57">
        <v>150.55700000000002</v>
      </c>
      <c r="J216" s="32">
        <v>46862</v>
      </c>
      <c r="K216" s="33">
        <v>4.3639999999999999</v>
      </c>
      <c r="L216" s="33">
        <v>6.3991990000000003</v>
      </c>
      <c r="M216" s="33">
        <v>617.48785999999996</v>
      </c>
      <c r="N216" s="34">
        <v>9.1172798758139325E-3</v>
      </c>
      <c r="O216" s="34">
        <v>1.7447999999999998E-2</v>
      </c>
      <c r="P216" s="25">
        <v>106.883</v>
      </c>
      <c r="Q216" s="25">
        <v>105.56</v>
      </c>
      <c r="R216" s="34">
        <v>1.2533156498673675E-2</v>
      </c>
    </row>
    <row r="217" spans="1:18" x14ac:dyDescent="0.15">
      <c r="A217" s="26">
        <v>210</v>
      </c>
      <c r="B217" s="25">
        <v>123183</v>
      </c>
      <c r="C217" s="25" t="s">
        <v>1061</v>
      </c>
      <c r="D217" s="25">
        <v>114.717</v>
      </c>
      <c r="E217" s="34">
        <v>5.8999999999999999E-3</v>
      </c>
      <c r="F217" s="25">
        <v>18.149999999999999</v>
      </c>
      <c r="G217" s="25">
        <v>79.23</v>
      </c>
      <c r="H217" s="43">
        <v>0.44789999999999996</v>
      </c>
      <c r="I217" s="57">
        <v>159.50700000000001</v>
      </c>
      <c r="J217" s="32">
        <v>47200</v>
      </c>
      <c r="K217" s="33">
        <v>5.29</v>
      </c>
      <c r="L217" s="33">
        <v>6.3299799999999999</v>
      </c>
      <c r="M217" s="33">
        <v>192.32139530000001</v>
      </c>
      <c r="N217" s="34">
        <v>2.6484847842327174E-3</v>
      </c>
      <c r="O217" s="34">
        <v>9.186999999999999E-3</v>
      </c>
      <c r="P217" s="25">
        <v>115.33199999999999</v>
      </c>
      <c r="Q217" s="25">
        <v>114.149</v>
      </c>
      <c r="R217" s="34">
        <v>1.0363647513337767E-2</v>
      </c>
    </row>
    <row r="218" spans="1:18" x14ac:dyDescent="0.15">
      <c r="A218" s="26">
        <v>211</v>
      </c>
      <c r="B218" s="25">
        <v>123193</v>
      </c>
      <c r="C218" s="25" t="s">
        <v>1188</v>
      </c>
      <c r="D218" s="25">
        <v>112.303</v>
      </c>
      <c r="E218" s="34">
        <v>-5.6999999999999993E-3</v>
      </c>
      <c r="F218" s="25">
        <v>21.74</v>
      </c>
      <c r="G218" s="25">
        <v>77.510000000000005</v>
      </c>
      <c r="H218" s="43">
        <v>0.44890000000000002</v>
      </c>
      <c r="I218" s="57">
        <v>157.19299999999998</v>
      </c>
      <c r="J218" s="32">
        <v>47221</v>
      </c>
      <c r="K218" s="33">
        <v>5.3479999999999999</v>
      </c>
      <c r="L218" s="33">
        <v>5.9998649999999998</v>
      </c>
      <c r="M218" s="33">
        <v>1862.028941</v>
      </c>
      <c r="N218" s="34">
        <v>2.763462593154006E-2</v>
      </c>
      <c r="O218" s="34">
        <v>1.3180000000000001E-2</v>
      </c>
      <c r="P218" s="25">
        <v>113.379</v>
      </c>
      <c r="Q218" s="25">
        <v>112.08499999999999</v>
      </c>
      <c r="R218" s="34">
        <v>1.1544809742606158E-2</v>
      </c>
    </row>
    <row r="219" spans="1:18" x14ac:dyDescent="0.15">
      <c r="A219" s="26">
        <v>212</v>
      </c>
      <c r="B219" s="25">
        <v>113665</v>
      </c>
      <c r="C219" s="25" t="s">
        <v>1010</v>
      </c>
      <c r="D219" s="25">
        <v>108.07599999999999</v>
      </c>
      <c r="E219" s="34">
        <v>-3.4000000000000002E-3</v>
      </c>
      <c r="F219" s="25">
        <v>8.2100000000000009</v>
      </c>
      <c r="G219" s="25">
        <v>74.540000000000006</v>
      </c>
      <c r="H219" s="43">
        <v>0.44990000000000002</v>
      </c>
      <c r="I219" s="57">
        <v>153.066</v>
      </c>
      <c r="J219" s="32">
        <v>47102</v>
      </c>
      <c r="K219" s="33">
        <v>5.0220000000000002</v>
      </c>
      <c r="L219" s="33">
        <v>3.5999300000000001</v>
      </c>
      <c r="M219" s="33">
        <v>529.0068</v>
      </c>
      <c r="N219" s="34">
        <v>1.3596838398784897E-2</v>
      </c>
      <c r="O219" s="34">
        <v>2.1991E-2</v>
      </c>
      <c r="P219" s="25">
        <v>108.619</v>
      </c>
      <c r="Q219" s="25">
        <v>107.77200000000001</v>
      </c>
      <c r="R219" s="34">
        <v>7.8591842036892165E-3</v>
      </c>
    </row>
    <row r="220" spans="1:18" x14ac:dyDescent="0.15">
      <c r="A220" s="26">
        <v>213</v>
      </c>
      <c r="B220" s="25">
        <v>127080</v>
      </c>
      <c r="C220" s="25" t="s">
        <v>754</v>
      </c>
      <c r="D220" s="25">
        <v>162.5</v>
      </c>
      <c r="E220" s="34">
        <v>3.6000000000000004E-2</v>
      </c>
      <c r="F220" s="25">
        <v>29.14</v>
      </c>
      <c r="G220" s="25">
        <v>112.01</v>
      </c>
      <c r="H220" s="43">
        <v>0.45079999999999998</v>
      </c>
      <c r="I220" s="57">
        <v>207.57999999999998</v>
      </c>
      <c r="J220" s="32">
        <v>47117</v>
      </c>
      <c r="K220" s="33">
        <v>5.0629999999999997</v>
      </c>
      <c r="L220" s="33">
        <v>2.798724</v>
      </c>
      <c r="M220" s="33">
        <v>314301.87367230002</v>
      </c>
      <c r="N220" s="34">
        <v>6.9108828753564957</v>
      </c>
      <c r="O220" s="34">
        <v>-5.7640999999999998E-2</v>
      </c>
      <c r="P220" s="25">
        <v>180.239</v>
      </c>
      <c r="Q220" s="25">
        <v>160.55000000000001</v>
      </c>
      <c r="R220" s="34">
        <v>0.12263469324198063</v>
      </c>
    </row>
    <row r="221" spans="1:18" x14ac:dyDescent="0.15">
      <c r="A221" s="26">
        <v>214</v>
      </c>
      <c r="B221" s="25">
        <v>123088</v>
      </c>
      <c r="C221" s="25" t="s">
        <v>1157</v>
      </c>
      <c r="D221" s="25">
        <v>123.96</v>
      </c>
      <c r="E221" s="34">
        <v>-6.1999999999999998E-3</v>
      </c>
      <c r="F221" s="25">
        <v>20.62</v>
      </c>
      <c r="G221" s="25">
        <v>85.35</v>
      </c>
      <c r="H221" s="43">
        <v>0.45240000000000002</v>
      </c>
      <c r="I221" s="57">
        <v>169.2</v>
      </c>
      <c r="J221" s="32">
        <v>46371</v>
      </c>
      <c r="K221" s="33">
        <v>3.0190000000000001</v>
      </c>
      <c r="L221" s="33">
        <v>3.0084840000000002</v>
      </c>
      <c r="M221" s="33">
        <v>1981.8042793000002</v>
      </c>
      <c r="N221" s="34">
        <v>5.3141216030653353E-2</v>
      </c>
      <c r="O221" s="34">
        <v>-9.8529999999999989E-3</v>
      </c>
      <c r="P221" s="25">
        <v>125.5</v>
      </c>
      <c r="Q221" s="25">
        <v>123.68</v>
      </c>
      <c r="R221" s="34">
        <v>1.4715394566623489E-2</v>
      </c>
    </row>
    <row r="222" spans="1:18" x14ac:dyDescent="0.15">
      <c r="A222" s="26">
        <v>215</v>
      </c>
      <c r="B222" s="25">
        <v>123195</v>
      </c>
      <c r="C222" s="25" t="s">
        <v>1014</v>
      </c>
      <c r="D222" s="25">
        <v>122.41</v>
      </c>
      <c r="E222" s="34">
        <v>7.0999999999999995E-3</v>
      </c>
      <c r="F222" s="25">
        <v>61.19</v>
      </c>
      <c r="G222" s="25">
        <v>84.2</v>
      </c>
      <c r="H222" s="43">
        <v>0.45380000000000004</v>
      </c>
      <c r="I222" s="57">
        <v>167.79</v>
      </c>
      <c r="J222" s="32">
        <v>47225</v>
      </c>
      <c r="K222" s="33">
        <v>5.359</v>
      </c>
      <c r="L222" s="33">
        <v>5.4601610000000003</v>
      </c>
      <c r="M222" s="33">
        <v>546.11342520000005</v>
      </c>
      <c r="N222" s="34">
        <v>8.1707233561480186E-3</v>
      </c>
      <c r="O222" s="34">
        <v>-1.5770000000000001E-3</v>
      </c>
      <c r="P222" s="25">
        <v>122.95</v>
      </c>
      <c r="Q222" s="25">
        <v>121.5</v>
      </c>
      <c r="R222" s="34">
        <v>1.1934156378600846E-2</v>
      </c>
    </row>
    <row r="223" spans="1:18" x14ac:dyDescent="0.15">
      <c r="A223" s="26">
        <v>216</v>
      </c>
      <c r="B223" s="25">
        <v>123199</v>
      </c>
      <c r="C223" s="25" t="s">
        <v>1032</v>
      </c>
      <c r="D223" s="25">
        <v>117.902</v>
      </c>
      <c r="E223" s="34">
        <v>-2.0999999999999999E-3</v>
      </c>
      <c r="F223" s="25">
        <v>18.25</v>
      </c>
      <c r="G223" s="25">
        <v>80.930000000000007</v>
      </c>
      <c r="H223" s="43">
        <v>0.45679999999999998</v>
      </c>
      <c r="I223" s="57">
        <v>163.58199999999999</v>
      </c>
      <c r="J223" s="32">
        <v>47281</v>
      </c>
      <c r="K223" s="33">
        <v>5.5119999999999996</v>
      </c>
      <c r="L223" s="33">
        <v>3.2</v>
      </c>
      <c r="M223" s="33">
        <v>365.973839</v>
      </c>
      <c r="N223" s="34">
        <v>9.7001598520381344E-3</v>
      </c>
      <c r="O223" s="34">
        <v>-7.4819999999999999E-3</v>
      </c>
      <c r="P223" s="25">
        <v>118.45399999999999</v>
      </c>
      <c r="Q223" s="25">
        <v>117.435</v>
      </c>
      <c r="R223" s="34">
        <v>8.6771405458337912E-3</v>
      </c>
    </row>
    <row r="224" spans="1:18" x14ac:dyDescent="0.15">
      <c r="A224" s="26">
        <v>217</v>
      </c>
      <c r="B224" s="25">
        <v>127077</v>
      </c>
      <c r="C224" s="25" t="s">
        <v>1062</v>
      </c>
      <c r="D224" s="25">
        <v>112.807</v>
      </c>
      <c r="E224" s="34">
        <v>-3.9000000000000003E-3</v>
      </c>
      <c r="F224" s="25">
        <v>13.92</v>
      </c>
      <c r="G224" s="25">
        <v>77.16</v>
      </c>
      <c r="H224" s="43">
        <v>0.46200000000000002</v>
      </c>
      <c r="I224" s="57">
        <v>159.00700000000001</v>
      </c>
      <c r="J224" s="32">
        <v>47089</v>
      </c>
      <c r="K224" s="33">
        <v>4.9859999999999998</v>
      </c>
      <c r="L224" s="33">
        <v>5.1494999999999997</v>
      </c>
      <c r="M224" s="33">
        <v>484.6403626</v>
      </c>
      <c r="N224" s="34">
        <v>8.3429274836027984E-3</v>
      </c>
      <c r="O224" s="34">
        <v>1.3729999999999999E-2</v>
      </c>
      <c r="P224" s="25">
        <v>113.816</v>
      </c>
      <c r="Q224" s="25">
        <v>112.791</v>
      </c>
      <c r="R224" s="34">
        <v>9.0876045074518869E-3</v>
      </c>
    </row>
    <row r="225" spans="1:18" x14ac:dyDescent="0.15">
      <c r="A225" s="26">
        <v>218</v>
      </c>
      <c r="B225" s="25">
        <v>118033</v>
      </c>
      <c r="C225" s="25" t="s">
        <v>763</v>
      </c>
      <c r="D225" s="25">
        <v>121.41500000000001</v>
      </c>
      <c r="E225" s="34">
        <v>1.1999999999999999E-3</v>
      </c>
      <c r="F225" s="25">
        <v>83.75</v>
      </c>
      <c r="G225" s="25">
        <v>82.89</v>
      </c>
      <c r="H225" s="43">
        <v>0.46479999999999999</v>
      </c>
      <c r="I225" s="57">
        <v>167.89500000000001</v>
      </c>
      <c r="J225" s="32">
        <v>47198</v>
      </c>
      <c r="K225" s="33">
        <v>5.2850000000000001</v>
      </c>
      <c r="L225" s="33">
        <v>6.4599399999999996</v>
      </c>
      <c r="M225" s="33">
        <v>440.61450000000002</v>
      </c>
      <c r="N225" s="34">
        <v>5.6176924145195928E-3</v>
      </c>
      <c r="O225" s="34">
        <v>-1.7749999999999999E-3</v>
      </c>
      <c r="P225" s="25">
        <v>122</v>
      </c>
      <c r="Q225" s="25">
        <v>121.02</v>
      </c>
      <c r="R225" s="34">
        <v>8.0978350685837388E-3</v>
      </c>
    </row>
    <row r="226" spans="1:18" x14ac:dyDescent="0.15">
      <c r="A226" s="26">
        <v>219</v>
      </c>
      <c r="B226" s="25">
        <v>127071</v>
      </c>
      <c r="C226" s="25" t="s">
        <v>1144</v>
      </c>
      <c r="D226" s="25">
        <v>118.583</v>
      </c>
      <c r="E226" s="34">
        <v>4.8999999999999998E-3</v>
      </c>
      <c r="F226" s="25">
        <v>53.02</v>
      </c>
      <c r="G226" s="25">
        <v>80.91</v>
      </c>
      <c r="H226" s="43">
        <v>0.46560000000000001</v>
      </c>
      <c r="I226" s="57">
        <v>165.143</v>
      </c>
      <c r="J226" s="32">
        <v>46987</v>
      </c>
      <c r="K226" s="33">
        <v>4.7069999999999999</v>
      </c>
      <c r="L226" s="33">
        <v>4.9494049999999996</v>
      </c>
      <c r="M226" s="33">
        <v>1114.2061064</v>
      </c>
      <c r="N226" s="34">
        <v>1.8984104170917948E-2</v>
      </c>
      <c r="O226" s="34">
        <v>-1.2218E-2</v>
      </c>
      <c r="P226" s="25">
        <v>119.395</v>
      </c>
      <c r="Q226" s="25">
        <v>117.783</v>
      </c>
      <c r="R226" s="34">
        <v>1.3686185612524684E-2</v>
      </c>
    </row>
    <row r="227" spans="1:18" x14ac:dyDescent="0.15">
      <c r="A227" s="26">
        <v>220</v>
      </c>
      <c r="B227" s="25">
        <v>113656</v>
      </c>
      <c r="C227" s="25" t="s">
        <v>715</v>
      </c>
      <c r="D227" s="25">
        <v>120.78100000000001</v>
      </c>
      <c r="E227" s="34">
        <v>1.1999999999999999E-3</v>
      </c>
      <c r="F227" s="25">
        <v>22.9</v>
      </c>
      <c r="G227" s="25">
        <v>82.27</v>
      </c>
      <c r="H227" s="43">
        <v>0.46810000000000002</v>
      </c>
      <c r="I227" s="57">
        <v>167.59100000000001</v>
      </c>
      <c r="J227" s="32">
        <v>46997</v>
      </c>
      <c r="K227" s="33">
        <v>4.734</v>
      </c>
      <c r="L227" s="33">
        <v>7.9998300000000002</v>
      </c>
      <c r="M227" s="33">
        <v>3790.1297</v>
      </c>
      <c r="N227" s="34">
        <v>3.9226060410656904E-2</v>
      </c>
      <c r="O227" s="34">
        <v>-1.9270000000000001E-3</v>
      </c>
      <c r="P227" s="25">
        <v>121.482</v>
      </c>
      <c r="Q227" s="25">
        <v>119.858</v>
      </c>
      <c r="R227" s="34">
        <v>1.3549366750654901E-2</v>
      </c>
    </row>
    <row r="228" spans="1:18" x14ac:dyDescent="0.15">
      <c r="A228" s="26">
        <v>221</v>
      </c>
      <c r="B228" s="25">
        <v>118043</v>
      </c>
      <c r="C228" s="25" t="s">
        <v>1116</v>
      </c>
      <c r="D228" s="25">
        <v>117.8</v>
      </c>
      <c r="E228" s="34">
        <v>-1.8E-3</v>
      </c>
      <c r="F228" s="25">
        <v>21.28</v>
      </c>
      <c r="G228" s="25">
        <v>79.040000000000006</v>
      </c>
      <c r="H228" s="43">
        <v>0.4904</v>
      </c>
      <c r="I228" s="57">
        <v>166.84</v>
      </c>
      <c r="J228" s="32">
        <v>47344</v>
      </c>
      <c r="K228" s="33">
        <v>5.6849999999999996</v>
      </c>
      <c r="L228" s="33">
        <v>7</v>
      </c>
      <c r="M228" s="33">
        <v>2127.6343000000002</v>
      </c>
      <c r="N228" s="34">
        <v>2.5802016735386853E-2</v>
      </c>
      <c r="O228" s="34">
        <v>3.4610000000000001E-3</v>
      </c>
      <c r="P228" s="25">
        <v>118.655</v>
      </c>
      <c r="Q228" s="25">
        <v>116.773</v>
      </c>
      <c r="R228" s="34">
        <v>1.6116739314738896E-2</v>
      </c>
    </row>
    <row r="229" spans="1:18" x14ac:dyDescent="0.15">
      <c r="A229" s="26">
        <v>222</v>
      </c>
      <c r="B229" s="25">
        <v>123215</v>
      </c>
      <c r="C229" s="25" t="s">
        <v>1118</v>
      </c>
      <c r="D229" s="25">
        <v>118.36799999999999</v>
      </c>
      <c r="E229" s="34">
        <v>8.5000000000000006E-3</v>
      </c>
      <c r="F229" s="25">
        <v>37.67</v>
      </c>
      <c r="G229" s="25">
        <v>79.37</v>
      </c>
      <c r="H229" s="43">
        <v>0.49130000000000001</v>
      </c>
      <c r="I229" s="57">
        <v>167.49799999999999</v>
      </c>
      <c r="J229" s="32">
        <v>47333</v>
      </c>
      <c r="K229" s="33">
        <v>5.6550000000000002</v>
      </c>
      <c r="L229" s="33">
        <v>10</v>
      </c>
      <c r="M229" s="33">
        <v>1435.1844958000001</v>
      </c>
      <c r="N229" s="34">
        <v>1.2124767638213031E-2</v>
      </c>
      <c r="O229" s="34">
        <v>7.365E-3</v>
      </c>
      <c r="P229" s="25">
        <v>119.26</v>
      </c>
      <c r="Q229" s="25">
        <v>117.36</v>
      </c>
      <c r="R229" s="34">
        <v>1.6189502385821453E-2</v>
      </c>
    </row>
    <row r="230" spans="1:18" x14ac:dyDescent="0.15">
      <c r="A230" s="26">
        <v>223</v>
      </c>
      <c r="B230" s="25">
        <v>123224</v>
      </c>
      <c r="C230" s="25" t="s">
        <v>1109</v>
      </c>
      <c r="D230" s="25">
        <v>113.26</v>
      </c>
      <c r="E230" s="34">
        <v>-7.000000000000001E-4</v>
      </c>
      <c r="F230" s="25">
        <v>52.9</v>
      </c>
      <c r="G230" s="25">
        <v>75.900000000000006</v>
      </c>
      <c r="H230" s="43">
        <v>0.49219999999999997</v>
      </c>
      <c r="I230" s="57">
        <v>162.48000000000002</v>
      </c>
      <c r="J230" s="32">
        <v>47380</v>
      </c>
      <c r="K230" s="33">
        <v>5.7839999999999998</v>
      </c>
      <c r="L230" s="33">
        <v>5</v>
      </c>
      <c r="M230" s="33">
        <v>1354.1581856</v>
      </c>
      <c r="N230" s="34">
        <v>2.3912381875331096E-2</v>
      </c>
      <c r="O230" s="34">
        <v>1.0634999999999999E-2</v>
      </c>
      <c r="P230" s="25">
        <v>114.1</v>
      </c>
      <c r="Q230" s="25">
        <v>113.21899999999999</v>
      </c>
      <c r="R230" s="34">
        <v>7.7813794504455989E-3</v>
      </c>
    </row>
    <row r="231" spans="1:18" x14ac:dyDescent="0.15">
      <c r="A231" s="26">
        <v>224</v>
      </c>
      <c r="B231" s="25">
        <v>118007</v>
      </c>
      <c r="C231" s="25" t="s">
        <v>693</v>
      </c>
      <c r="D231" s="25">
        <v>125.2</v>
      </c>
      <c r="E231" s="34">
        <v>4.0000000000000001E-3</v>
      </c>
      <c r="F231" s="25">
        <v>24.52</v>
      </c>
      <c r="G231" s="25">
        <v>83.73</v>
      </c>
      <c r="H231" s="43">
        <v>0.49530000000000002</v>
      </c>
      <c r="I231" s="57">
        <v>174.73000000000002</v>
      </c>
      <c r="J231" s="32">
        <v>46834</v>
      </c>
      <c r="K231" s="33">
        <v>4.2880000000000003</v>
      </c>
      <c r="L231" s="33">
        <v>2.6729099999999999</v>
      </c>
      <c r="M231" s="33">
        <v>648.16369999999995</v>
      </c>
      <c r="N231" s="34">
        <v>1.936850233575944E-2</v>
      </c>
      <c r="O231" s="34">
        <v>-9.6850000000000009E-3</v>
      </c>
      <c r="P231" s="25">
        <v>125.94499999999999</v>
      </c>
      <c r="Q231" s="25">
        <v>124.324</v>
      </c>
      <c r="R231" s="34">
        <v>1.3038512274379807E-2</v>
      </c>
    </row>
    <row r="232" spans="1:18" x14ac:dyDescent="0.15">
      <c r="A232" s="26">
        <v>225</v>
      </c>
      <c r="B232" s="25">
        <v>123182</v>
      </c>
      <c r="C232" s="25" t="s">
        <v>1046</v>
      </c>
      <c r="D232" s="25">
        <v>112.518</v>
      </c>
      <c r="E232" s="34">
        <v>7.3000000000000001E-3</v>
      </c>
      <c r="F232" s="25">
        <v>32.1</v>
      </c>
      <c r="G232" s="25">
        <v>75.23</v>
      </c>
      <c r="H232" s="43">
        <v>0.49570000000000003</v>
      </c>
      <c r="I232" s="57">
        <v>162.08799999999999</v>
      </c>
      <c r="J232" s="32">
        <v>47199</v>
      </c>
      <c r="K232" s="33">
        <v>5.2880000000000003</v>
      </c>
      <c r="L232" s="33">
        <v>6.999924</v>
      </c>
      <c r="M232" s="33">
        <v>1125.6858262999999</v>
      </c>
      <c r="N232" s="34">
        <v>1.4292291622731129E-2</v>
      </c>
      <c r="O232" s="34">
        <v>1.4279E-2</v>
      </c>
      <c r="P232" s="25">
        <v>112.67100000000001</v>
      </c>
      <c r="Q232" s="25">
        <v>111.31</v>
      </c>
      <c r="R232" s="34">
        <v>1.2227113466894297E-2</v>
      </c>
    </row>
    <row r="233" spans="1:18" x14ac:dyDescent="0.15">
      <c r="A233" s="26">
        <v>226</v>
      </c>
      <c r="B233" s="25">
        <v>123189</v>
      </c>
      <c r="C233" s="25" t="s">
        <v>1189</v>
      </c>
      <c r="D233" s="25">
        <v>113.355</v>
      </c>
      <c r="E233" s="34">
        <v>-3.9000000000000003E-3</v>
      </c>
      <c r="F233" s="25">
        <v>19.46</v>
      </c>
      <c r="G233" s="25">
        <v>75.64</v>
      </c>
      <c r="H233" s="43">
        <v>0.49859999999999999</v>
      </c>
      <c r="I233" s="57">
        <v>163.215</v>
      </c>
      <c r="J233" s="32">
        <v>47214</v>
      </c>
      <c r="K233" s="33">
        <v>5.3289999999999997</v>
      </c>
      <c r="L233" s="33">
        <v>3.2899759999999998</v>
      </c>
      <c r="M233" s="33">
        <v>1387.8629761</v>
      </c>
      <c r="N233" s="34">
        <v>3.7214584903527574E-2</v>
      </c>
      <c r="O233" s="34">
        <v>9.6749999999999996E-3</v>
      </c>
      <c r="P233" s="25">
        <v>114.099</v>
      </c>
      <c r="Q233" s="25">
        <v>112.815</v>
      </c>
      <c r="R233" s="34">
        <v>1.1381465230687463E-2</v>
      </c>
    </row>
    <row r="234" spans="1:18" x14ac:dyDescent="0.15">
      <c r="A234" s="26">
        <v>227</v>
      </c>
      <c r="B234" s="25">
        <v>118035</v>
      </c>
      <c r="C234" s="25" t="s">
        <v>1127</v>
      </c>
      <c r="D234" s="25">
        <v>121.23099999999999</v>
      </c>
      <c r="E234" s="34">
        <v>-4.3E-3</v>
      </c>
      <c r="F234" s="25">
        <v>62.79</v>
      </c>
      <c r="G234" s="25">
        <v>80.81</v>
      </c>
      <c r="H234" s="43">
        <v>0.50019999999999998</v>
      </c>
      <c r="I234" s="57">
        <v>171.251</v>
      </c>
      <c r="J234" s="32">
        <v>47281</v>
      </c>
      <c r="K234" s="33">
        <v>5.5119999999999996</v>
      </c>
      <c r="L234" s="33">
        <v>4.8</v>
      </c>
      <c r="M234" s="33">
        <v>436.50560000000002</v>
      </c>
      <c r="N234" s="34">
        <v>7.5012716769363181E-3</v>
      </c>
      <c r="O234" s="34">
        <v>-1.727E-3</v>
      </c>
      <c r="P234" s="25">
        <v>122.589</v>
      </c>
      <c r="Q234" s="25">
        <v>121.1</v>
      </c>
      <c r="R234" s="34">
        <v>1.2295623451692852E-2</v>
      </c>
    </row>
    <row r="235" spans="1:18" x14ac:dyDescent="0.15">
      <c r="A235" s="26">
        <v>228</v>
      </c>
      <c r="B235" s="25">
        <v>118037</v>
      </c>
      <c r="C235" s="25" t="s">
        <v>1125</v>
      </c>
      <c r="D235" s="25">
        <v>129.98699999999999</v>
      </c>
      <c r="E235" s="34">
        <v>-8.3999999999999995E-3</v>
      </c>
      <c r="F235" s="25">
        <v>47.85</v>
      </c>
      <c r="G235" s="25">
        <v>86.42</v>
      </c>
      <c r="H235" s="43">
        <v>0.50409999999999999</v>
      </c>
      <c r="I235" s="57">
        <v>180.39699999999999</v>
      </c>
      <c r="J235" s="32">
        <v>47305</v>
      </c>
      <c r="K235" s="33">
        <v>5.5780000000000003</v>
      </c>
      <c r="L235" s="33">
        <v>5.2</v>
      </c>
      <c r="M235" s="33">
        <v>3140.5425</v>
      </c>
      <c r="N235" s="34">
        <v>4.646237552749357E-2</v>
      </c>
      <c r="O235" s="34">
        <v>-1.9934E-2</v>
      </c>
      <c r="P235" s="25">
        <v>132.19999999999999</v>
      </c>
      <c r="Q235" s="25">
        <v>129.90199999999999</v>
      </c>
      <c r="R235" s="34">
        <v>1.7690258810487924E-2</v>
      </c>
    </row>
    <row r="236" spans="1:18" x14ac:dyDescent="0.15">
      <c r="A236" s="26">
        <v>229</v>
      </c>
      <c r="B236" s="25">
        <v>127075</v>
      </c>
      <c r="C236" s="25" t="s">
        <v>1142</v>
      </c>
      <c r="D236" s="25">
        <v>103.6</v>
      </c>
      <c r="E236" s="34">
        <v>-3.8E-3</v>
      </c>
      <c r="F236" s="25">
        <v>10.31</v>
      </c>
      <c r="G236" s="25">
        <v>68.09</v>
      </c>
      <c r="H236" s="43">
        <v>0.52149999999999996</v>
      </c>
      <c r="I236" s="57">
        <v>155.75</v>
      </c>
      <c r="J236" s="32">
        <v>47045</v>
      </c>
      <c r="K236" s="33">
        <v>4.8659999999999997</v>
      </c>
      <c r="L236" s="33">
        <v>9.7793910000000004</v>
      </c>
      <c r="M236" s="33">
        <v>319.33090649999997</v>
      </c>
      <c r="N236" s="34">
        <v>3.1518779209624677E-3</v>
      </c>
      <c r="O236" s="34">
        <v>3.2705000000000005E-2</v>
      </c>
      <c r="P236" s="25">
        <v>104.25</v>
      </c>
      <c r="Q236" s="25">
        <v>103.6</v>
      </c>
      <c r="R236" s="34">
        <v>6.2741312741313292E-3</v>
      </c>
    </row>
    <row r="237" spans="1:18" x14ac:dyDescent="0.15">
      <c r="A237" s="26">
        <v>230</v>
      </c>
      <c r="B237" s="25">
        <v>111014</v>
      </c>
      <c r="C237" s="25" t="s">
        <v>1126</v>
      </c>
      <c r="D237" s="25">
        <v>117.85</v>
      </c>
      <c r="E237" s="34">
        <v>-2.3E-3</v>
      </c>
      <c r="F237" s="25">
        <v>19.47</v>
      </c>
      <c r="G237" s="25">
        <v>77.400000000000006</v>
      </c>
      <c r="H237" s="43">
        <v>0.52259999999999995</v>
      </c>
      <c r="I237" s="57">
        <v>170.10999999999999</v>
      </c>
      <c r="J237" s="32">
        <v>47289</v>
      </c>
      <c r="K237" s="33">
        <v>5.5339999999999998</v>
      </c>
      <c r="L237" s="33">
        <v>6</v>
      </c>
      <c r="M237" s="33">
        <v>458.74720000000002</v>
      </c>
      <c r="N237" s="34">
        <v>6.4877273370103246E-3</v>
      </c>
      <c r="O237" s="34">
        <v>-1.173E-3</v>
      </c>
      <c r="P237" s="25">
        <v>118.5</v>
      </c>
      <c r="Q237" s="25">
        <v>117.59399999999999</v>
      </c>
      <c r="R237" s="34">
        <v>7.7044747180979129E-3</v>
      </c>
    </row>
    <row r="238" spans="1:18" x14ac:dyDescent="0.15">
      <c r="A238" s="26">
        <v>231</v>
      </c>
      <c r="B238" s="25">
        <v>123133</v>
      </c>
      <c r="C238" s="25" t="s">
        <v>1191</v>
      </c>
      <c r="D238" s="25">
        <v>112.643</v>
      </c>
      <c r="E238" s="34">
        <v>6.6E-3</v>
      </c>
      <c r="F238" s="25">
        <v>17.829999999999998</v>
      </c>
      <c r="G238" s="25">
        <v>73.81</v>
      </c>
      <c r="H238" s="43">
        <v>0.52610000000000001</v>
      </c>
      <c r="I238" s="57">
        <v>165.25299999999999</v>
      </c>
      <c r="J238" s="32">
        <v>46743</v>
      </c>
      <c r="K238" s="33">
        <v>4.0380000000000003</v>
      </c>
      <c r="L238" s="33">
        <v>7.1982489999999997</v>
      </c>
      <c r="M238" s="33">
        <v>679.20184400000005</v>
      </c>
      <c r="N238" s="34">
        <v>8.3766000932060762E-3</v>
      </c>
      <c r="O238" s="34">
        <v>1.6348999999999999E-2</v>
      </c>
      <c r="P238" s="25">
        <v>112.8</v>
      </c>
      <c r="Q238" s="25">
        <v>111.498</v>
      </c>
      <c r="R238" s="34">
        <v>1.1677339503847535E-2</v>
      </c>
    </row>
    <row r="239" spans="1:18" x14ac:dyDescent="0.15">
      <c r="A239" s="26">
        <v>232</v>
      </c>
      <c r="B239" s="25">
        <v>113636</v>
      </c>
      <c r="C239" s="25" t="s">
        <v>1137</v>
      </c>
      <c r="D239" s="25">
        <v>115.562</v>
      </c>
      <c r="E239" s="34">
        <v>2.9999999999999997E-4</v>
      </c>
      <c r="F239" s="25">
        <v>27.66</v>
      </c>
      <c r="G239" s="25">
        <v>75.52</v>
      </c>
      <c r="H239" s="43">
        <v>0.5302</v>
      </c>
      <c r="I239" s="57">
        <v>168.58199999999999</v>
      </c>
      <c r="J239" s="32">
        <v>46734</v>
      </c>
      <c r="K239" s="33">
        <v>4.0140000000000002</v>
      </c>
      <c r="L239" s="33">
        <v>9.9953099999999999</v>
      </c>
      <c r="M239" s="33">
        <v>418.8485</v>
      </c>
      <c r="N239" s="34">
        <v>3.626149011959505E-3</v>
      </c>
      <c r="O239" s="34">
        <v>1.0267999999999999E-2</v>
      </c>
      <c r="P239" s="25">
        <v>116.18</v>
      </c>
      <c r="Q239" s="25">
        <v>115.298</v>
      </c>
      <c r="R239" s="34">
        <v>7.6497424066332897E-3</v>
      </c>
    </row>
    <row r="240" spans="1:18" x14ac:dyDescent="0.15">
      <c r="A240" s="26">
        <v>233</v>
      </c>
      <c r="B240" s="25">
        <v>127068</v>
      </c>
      <c r="C240" s="25" t="s">
        <v>1145</v>
      </c>
      <c r="D240" s="25">
        <v>104.12</v>
      </c>
      <c r="E240" s="34">
        <v>6.9999999999999993E-3</v>
      </c>
      <c r="F240" s="25">
        <v>16</v>
      </c>
      <c r="G240" s="25">
        <v>67.69</v>
      </c>
      <c r="H240" s="43">
        <v>0.53820000000000001</v>
      </c>
      <c r="I240" s="57">
        <v>157.94</v>
      </c>
      <c r="J240" s="32">
        <v>46977</v>
      </c>
      <c r="K240" s="33">
        <v>4.6790000000000003</v>
      </c>
      <c r="L240" s="33">
        <v>8.2997619999999994</v>
      </c>
      <c r="M240" s="33">
        <v>849.2835960000001</v>
      </c>
      <c r="N240" s="34">
        <v>9.8277236836277967E-3</v>
      </c>
      <c r="O240" s="34">
        <v>1.8398000000000001E-2</v>
      </c>
      <c r="P240" s="25">
        <v>104.542</v>
      </c>
      <c r="Q240" s="25">
        <v>103.547</v>
      </c>
      <c r="R240" s="34">
        <v>9.6091629887877436E-3</v>
      </c>
    </row>
    <row r="241" spans="1:18" x14ac:dyDescent="0.15">
      <c r="A241" s="26">
        <v>234</v>
      </c>
      <c r="B241" s="25">
        <v>123144</v>
      </c>
      <c r="C241" s="25" t="s">
        <v>722</v>
      </c>
      <c r="D241" s="25">
        <v>109.5</v>
      </c>
      <c r="E241" s="34">
        <v>4.3E-3</v>
      </c>
      <c r="F241" s="25">
        <v>13.85</v>
      </c>
      <c r="G241" s="25">
        <v>70.11</v>
      </c>
      <c r="H241" s="43">
        <v>0.56179999999999997</v>
      </c>
      <c r="I241" s="57">
        <v>165.68</v>
      </c>
      <c r="J241" s="32">
        <v>46854</v>
      </c>
      <c r="K241" s="33">
        <v>4.3419999999999996</v>
      </c>
      <c r="L241" s="33">
        <v>5.999066</v>
      </c>
      <c r="M241" s="33">
        <v>239.55662200000003</v>
      </c>
      <c r="N241" s="34">
        <v>3.6467871961444621E-3</v>
      </c>
      <c r="O241" s="34">
        <v>2.1729999999999999E-2</v>
      </c>
      <c r="P241" s="25">
        <v>109.78700000000001</v>
      </c>
      <c r="Q241" s="25">
        <v>108.95</v>
      </c>
      <c r="R241" s="34">
        <v>7.6824231298761201E-3</v>
      </c>
    </row>
    <row r="242" spans="1:18" x14ac:dyDescent="0.15">
      <c r="A242" s="26">
        <v>235</v>
      </c>
      <c r="B242" s="25">
        <v>113676</v>
      </c>
      <c r="C242" s="25" t="s">
        <v>1114</v>
      </c>
      <c r="D242" s="25">
        <v>120.19</v>
      </c>
      <c r="E242" s="34">
        <v>2.5999999999999999E-3</v>
      </c>
      <c r="F242" s="25">
        <v>15.74</v>
      </c>
      <c r="G242" s="25">
        <v>76.180000000000007</v>
      </c>
      <c r="H242" s="43">
        <v>0.57769999999999999</v>
      </c>
      <c r="I242" s="57">
        <v>177.96</v>
      </c>
      <c r="J242" s="32">
        <v>47348</v>
      </c>
      <c r="K242" s="33">
        <v>5.6959999999999997</v>
      </c>
      <c r="L242" s="33">
        <v>5.76</v>
      </c>
      <c r="M242" s="33">
        <v>917.16830000000004</v>
      </c>
      <c r="N242" s="34">
        <v>1.3248240921781255E-2</v>
      </c>
      <c r="O242" s="34">
        <v>-7.27E-4</v>
      </c>
      <c r="P242" s="25">
        <v>120.5</v>
      </c>
      <c r="Q242" s="25">
        <v>119.36799999999999</v>
      </c>
      <c r="R242" s="34">
        <v>9.4832786006300261E-3</v>
      </c>
    </row>
    <row r="243" spans="1:18" x14ac:dyDescent="0.15">
      <c r="A243" s="26">
        <v>236</v>
      </c>
      <c r="B243" s="25">
        <v>113644</v>
      </c>
      <c r="C243" s="25" t="s">
        <v>1195</v>
      </c>
      <c r="D243" s="25">
        <v>109.554</v>
      </c>
      <c r="E243" s="34">
        <v>7.9000000000000008E-3</v>
      </c>
      <c r="F243" s="25">
        <v>23.74</v>
      </c>
      <c r="G243" s="25">
        <v>68.7</v>
      </c>
      <c r="H243" s="43">
        <v>0.59470000000000001</v>
      </c>
      <c r="I243" s="57">
        <v>169.024</v>
      </c>
      <c r="J243" s="32">
        <v>46858</v>
      </c>
      <c r="K243" s="33">
        <v>4.3529999999999998</v>
      </c>
      <c r="L243" s="33">
        <v>9.9996299999999998</v>
      </c>
      <c r="M243" s="33">
        <v>963.98329999999999</v>
      </c>
      <c r="N243" s="34">
        <v>8.7994867252847182E-3</v>
      </c>
      <c r="O243" s="34">
        <v>2.1555000000000001E-2</v>
      </c>
      <c r="P243" s="25">
        <v>109.589</v>
      </c>
      <c r="Q243" s="25">
        <v>108.51</v>
      </c>
      <c r="R243" s="34">
        <v>9.9437839830429781E-3</v>
      </c>
    </row>
    <row r="244" spans="1:18" x14ac:dyDescent="0.15">
      <c r="A244" s="26">
        <v>237</v>
      </c>
      <c r="B244" s="25">
        <v>123218</v>
      </c>
      <c r="C244" s="25" t="s">
        <v>1117</v>
      </c>
      <c r="D244" s="25">
        <v>153.65199999999999</v>
      </c>
      <c r="E244" s="34">
        <v>-1.9900000000000001E-2</v>
      </c>
      <c r="F244" s="25">
        <v>29.62</v>
      </c>
      <c r="G244" s="25">
        <v>95.37</v>
      </c>
      <c r="H244" s="43">
        <v>0.61109999999999998</v>
      </c>
      <c r="I244" s="57">
        <v>214.762</v>
      </c>
      <c r="J244" s="32">
        <v>47340</v>
      </c>
      <c r="K244" s="33">
        <v>5.6740000000000004</v>
      </c>
      <c r="L244" s="33">
        <v>3.8</v>
      </c>
      <c r="M244" s="33">
        <v>11885.587034</v>
      </c>
      <c r="N244" s="34">
        <v>0.20356299049663837</v>
      </c>
      <c r="O244" s="34">
        <v>-4.1782000000000007E-2</v>
      </c>
      <c r="P244" s="25">
        <v>158.77000000000001</v>
      </c>
      <c r="Q244" s="25">
        <v>153.47999999999999</v>
      </c>
      <c r="R244" s="34">
        <v>3.4467031535053566E-2</v>
      </c>
    </row>
    <row r="245" spans="1:18" x14ac:dyDescent="0.15">
      <c r="A245" s="26">
        <v>238</v>
      </c>
      <c r="B245" s="25">
        <v>123226</v>
      </c>
      <c r="C245" s="25" t="s">
        <v>1106</v>
      </c>
      <c r="D245" s="25">
        <v>167</v>
      </c>
      <c r="E245" s="34">
        <v>-0.17929999999999999</v>
      </c>
      <c r="F245" s="25">
        <v>36.44</v>
      </c>
      <c r="G245" s="25">
        <v>103.05</v>
      </c>
      <c r="H245" s="43">
        <v>0.62060000000000004</v>
      </c>
      <c r="I245" s="57">
        <v>229.06</v>
      </c>
      <c r="J245" s="32">
        <v>47407</v>
      </c>
      <c r="K245" s="33">
        <v>5.8579999999999997</v>
      </c>
      <c r="L245" s="33">
        <v>5.2</v>
      </c>
      <c r="M245" s="33">
        <v>122430.5775325</v>
      </c>
      <c r="N245" s="34">
        <v>1.4098408283337169</v>
      </c>
      <c r="O245" s="34">
        <v>-5.5945999999999996E-2</v>
      </c>
      <c r="P245" s="25">
        <v>190.27</v>
      </c>
      <c r="Q245" s="25">
        <v>167</v>
      </c>
      <c r="R245" s="34">
        <v>0.13934131736526953</v>
      </c>
    </row>
    <row r="246" spans="1:18" x14ac:dyDescent="0.15">
      <c r="A246" s="26">
        <v>239</v>
      </c>
      <c r="B246" s="25">
        <v>123142</v>
      </c>
      <c r="C246" s="25" t="s">
        <v>1152</v>
      </c>
      <c r="D246" s="25">
        <v>111.458</v>
      </c>
      <c r="E246" s="34">
        <v>-3.5999999999999999E-3</v>
      </c>
      <c r="F246" s="25">
        <v>33.909999999999997</v>
      </c>
      <c r="G246" s="25">
        <v>68.77</v>
      </c>
      <c r="H246" s="43">
        <v>0.62070000000000003</v>
      </c>
      <c r="I246" s="57">
        <v>173.52799999999999</v>
      </c>
      <c r="J246" s="32">
        <v>46830</v>
      </c>
      <c r="K246" s="33">
        <v>4.2770000000000001</v>
      </c>
      <c r="L246" s="33">
        <v>5.4964310000000003</v>
      </c>
      <c r="M246" s="33">
        <v>430.05273700000004</v>
      </c>
      <c r="N246" s="34">
        <v>7.0198800255146373E-3</v>
      </c>
      <c r="O246" s="34">
        <v>8.9689999999999995E-3</v>
      </c>
      <c r="P246" s="25">
        <v>112.452</v>
      </c>
      <c r="Q246" s="25">
        <v>111.354</v>
      </c>
      <c r="R246" s="34">
        <v>9.8604450670833465E-3</v>
      </c>
    </row>
    <row r="247" spans="1:18" x14ac:dyDescent="0.15">
      <c r="A247" s="26">
        <v>240</v>
      </c>
      <c r="B247" s="25">
        <v>118015</v>
      </c>
      <c r="C247" s="25" t="s">
        <v>1147</v>
      </c>
      <c r="D247" s="25">
        <v>117.157</v>
      </c>
      <c r="E247" s="34">
        <v>1.44E-2</v>
      </c>
      <c r="F247" s="25">
        <v>55.68</v>
      </c>
      <c r="G247" s="25">
        <v>72.180000000000007</v>
      </c>
      <c r="H247" s="43">
        <v>0.62309999999999999</v>
      </c>
      <c r="I247" s="57">
        <v>179.46699999999998</v>
      </c>
      <c r="J247" s="32">
        <v>46955</v>
      </c>
      <c r="K247" s="33">
        <v>4.6189999999999998</v>
      </c>
      <c r="L247" s="33">
        <v>4.0997500000000002</v>
      </c>
      <c r="M247" s="33">
        <v>2286.7125000000001</v>
      </c>
      <c r="N247" s="34">
        <v>4.7608659012111483E-2</v>
      </c>
      <c r="O247" s="34">
        <v>7.3529999999999993E-3</v>
      </c>
      <c r="P247" s="25">
        <v>117.663</v>
      </c>
      <c r="Q247" s="25">
        <v>115.634</v>
      </c>
      <c r="R247" s="34">
        <v>1.7546742307625752E-2</v>
      </c>
    </row>
    <row r="248" spans="1:18" x14ac:dyDescent="0.15">
      <c r="A248" s="26">
        <v>241</v>
      </c>
      <c r="B248" s="25">
        <v>123165</v>
      </c>
      <c r="C248" s="25" t="s">
        <v>1141</v>
      </c>
      <c r="D248" s="25">
        <v>108.50700000000001</v>
      </c>
      <c r="E248" s="34">
        <v>2.5999999999999999E-3</v>
      </c>
      <c r="F248" s="25">
        <v>15.45</v>
      </c>
      <c r="G248" s="25">
        <v>65.760000000000005</v>
      </c>
      <c r="H248" s="43">
        <v>0.65</v>
      </c>
      <c r="I248" s="57">
        <v>173.50700000000001</v>
      </c>
      <c r="J248" s="32">
        <v>47053</v>
      </c>
      <c r="K248" s="33">
        <v>4.8879999999999999</v>
      </c>
      <c r="L248" s="33">
        <v>8.4997690000000006</v>
      </c>
      <c r="M248" s="33">
        <v>436.18868409999999</v>
      </c>
      <c r="N248" s="34">
        <v>4.7294377699796525E-3</v>
      </c>
      <c r="O248" s="34">
        <v>2.1173999999999998E-2</v>
      </c>
      <c r="P248" s="25">
        <v>108.788</v>
      </c>
      <c r="Q248" s="25">
        <v>108.06</v>
      </c>
      <c r="R248" s="34">
        <v>6.7369979640939702E-3</v>
      </c>
    </row>
    <row r="249" spans="1:18" x14ac:dyDescent="0.15">
      <c r="A249" s="26">
        <v>242</v>
      </c>
      <c r="B249" s="25">
        <v>118006</v>
      </c>
      <c r="C249" s="25" t="s">
        <v>1153</v>
      </c>
      <c r="D249" s="25">
        <v>114</v>
      </c>
      <c r="E249" s="34">
        <v>1.9E-3</v>
      </c>
      <c r="F249" s="25">
        <v>28.29</v>
      </c>
      <c r="G249" s="25">
        <v>67.83</v>
      </c>
      <c r="H249" s="43">
        <v>0.68069999999999997</v>
      </c>
      <c r="I249" s="57">
        <v>182.07</v>
      </c>
      <c r="J249" s="32">
        <v>46827</v>
      </c>
      <c r="K249" s="33">
        <v>4.2679999999999998</v>
      </c>
      <c r="L249" s="33">
        <v>3.8703699999999999</v>
      </c>
      <c r="M249" s="33">
        <v>512.97199999999998</v>
      </c>
      <c r="N249" s="34">
        <v>1.1626160770068268E-2</v>
      </c>
      <c r="O249" s="34">
        <v>1.4809000000000001E-2</v>
      </c>
      <c r="P249" s="25">
        <v>114</v>
      </c>
      <c r="Q249" s="25">
        <v>113.414</v>
      </c>
      <c r="R249" s="34">
        <v>5.1669106106829715E-3</v>
      </c>
    </row>
    <row r="250" spans="1:18" x14ac:dyDescent="0.15">
      <c r="A250" s="26">
        <v>243</v>
      </c>
      <c r="B250" s="25">
        <v>118040</v>
      </c>
      <c r="C250" s="25" t="s">
        <v>1060</v>
      </c>
      <c r="D250" s="25">
        <v>113.24299999999999</v>
      </c>
      <c r="E250" s="34">
        <v>1.2999999999999999E-3</v>
      </c>
      <c r="F250" s="25">
        <v>62.35</v>
      </c>
      <c r="G250" s="25">
        <v>66.239999999999995</v>
      </c>
      <c r="H250" s="43">
        <v>0.7095999999999999</v>
      </c>
      <c r="I250" s="57">
        <v>184.20299999999997</v>
      </c>
      <c r="J250" s="32">
        <v>47324</v>
      </c>
      <c r="K250" s="33">
        <v>5.63</v>
      </c>
      <c r="L250" s="33">
        <v>4.3</v>
      </c>
      <c r="M250" s="33">
        <v>673.84469999999999</v>
      </c>
      <c r="N250" s="34">
        <v>1.383821249591073E-2</v>
      </c>
      <c r="O250" s="34">
        <v>1.2849999999999999E-2</v>
      </c>
      <c r="P250" s="25">
        <v>113.5</v>
      </c>
      <c r="Q250" s="25">
        <v>112.8</v>
      </c>
      <c r="R250" s="34">
        <v>6.2056737588652737E-3</v>
      </c>
    </row>
    <row r="251" spans="1:18" x14ac:dyDescent="0.15">
      <c r="A251" s="26">
        <v>244</v>
      </c>
      <c r="B251" s="25">
        <v>118018</v>
      </c>
      <c r="C251" s="25" t="s">
        <v>719</v>
      </c>
      <c r="D251" s="25">
        <v>113.11199999999999</v>
      </c>
      <c r="E251" s="34">
        <v>2.2000000000000001E-3</v>
      </c>
      <c r="F251" s="25">
        <v>30.91</v>
      </c>
      <c r="G251" s="25">
        <v>64.900000000000006</v>
      </c>
      <c r="H251" s="43">
        <v>0.74290000000000012</v>
      </c>
      <c r="I251" s="57">
        <v>187.40199999999999</v>
      </c>
      <c r="J251" s="32">
        <v>46983</v>
      </c>
      <c r="K251" s="33">
        <v>4.6959999999999997</v>
      </c>
      <c r="L251" s="33">
        <v>4.2999400000000003</v>
      </c>
      <c r="M251" s="33">
        <v>154.76179999999999</v>
      </c>
      <c r="N251" s="34">
        <v>3.1819451948245834E-3</v>
      </c>
      <c r="O251" s="34">
        <v>2.261E-3</v>
      </c>
      <c r="P251" s="25">
        <v>113.55200000000001</v>
      </c>
      <c r="Q251" s="25">
        <v>112.801</v>
      </c>
      <c r="R251" s="34">
        <v>6.6577423959007882E-3</v>
      </c>
    </row>
    <row r="252" spans="1:18" x14ac:dyDescent="0.15">
      <c r="A252" s="26">
        <v>245</v>
      </c>
      <c r="B252" s="25">
        <v>118014</v>
      </c>
      <c r="C252" s="25" t="s">
        <v>1034</v>
      </c>
      <c r="D252" s="25">
        <v>112.94499999999999</v>
      </c>
      <c r="E252" s="34">
        <v>4.0000000000000002E-4</v>
      </c>
      <c r="F252" s="25">
        <v>58.51</v>
      </c>
      <c r="G252" s="25">
        <v>62.74</v>
      </c>
      <c r="H252" s="43">
        <v>0.80019999999999991</v>
      </c>
      <c r="I252" s="57">
        <v>192.96499999999997</v>
      </c>
      <c r="J252" s="32">
        <v>46952</v>
      </c>
      <c r="K252" s="33">
        <v>4.6109999999999998</v>
      </c>
      <c r="L252" s="33">
        <v>4.83249</v>
      </c>
      <c r="M252" s="33">
        <v>197.00450000000001</v>
      </c>
      <c r="N252" s="34">
        <v>3.6094262520937406E-3</v>
      </c>
      <c r="O252" s="34">
        <v>2.049E-3</v>
      </c>
      <c r="P252" s="25">
        <v>113.699</v>
      </c>
      <c r="Q252" s="25">
        <v>112.6</v>
      </c>
      <c r="R252" s="34">
        <v>9.7602131438721471E-3</v>
      </c>
    </row>
    <row r="253" spans="1:18" x14ac:dyDescent="0.15">
      <c r="A253" s="26">
        <v>246</v>
      </c>
      <c r="B253" s="25">
        <v>123230</v>
      </c>
      <c r="C253" s="25" t="s">
        <v>1186</v>
      </c>
      <c r="D253" s="25">
        <v>194.51</v>
      </c>
      <c r="E253" s="34">
        <v>7.8000000000000005E-3</v>
      </c>
      <c r="F253" s="25">
        <v>29.1</v>
      </c>
      <c r="G253" s="25">
        <v>98.28</v>
      </c>
      <c r="H253" s="43">
        <v>0.97909999999999997</v>
      </c>
      <c r="I253" s="57">
        <v>292.41999999999996</v>
      </c>
      <c r="J253" s="32">
        <v>47431</v>
      </c>
      <c r="K253" s="33">
        <v>5.923</v>
      </c>
      <c r="L253" s="33">
        <v>3.5</v>
      </c>
      <c r="M253" s="33">
        <v>65684.787982199996</v>
      </c>
      <c r="N253" s="34">
        <v>0.96483894301725193</v>
      </c>
      <c r="O253" s="34">
        <v>-7.7855999999999995E-2</v>
      </c>
      <c r="P253" s="25">
        <v>198.488</v>
      </c>
      <c r="Q253" s="25">
        <v>187.32499999999999</v>
      </c>
      <c r="R253" s="34">
        <v>5.95916188442547E-2</v>
      </c>
    </row>
    <row r="254" spans="1:18" x14ac:dyDescent="0.15">
      <c r="A254" s="26">
        <v>247</v>
      </c>
      <c r="B254" s="25">
        <v>123227</v>
      </c>
      <c r="C254" s="25" t="s">
        <v>1103</v>
      </c>
      <c r="D254" s="25">
        <v>195</v>
      </c>
      <c r="E254" s="34">
        <v>3.4500000000000003E-2</v>
      </c>
      <c r="F254" s="25">
        <v>53.34</v>
      </c>
      <c r="G254" s="25">
        <v>96.14</v>
      </c>
      <c r="H254" s="43">
        <v>1.0283</v>
      </c>
      <c r="I254" s="57">
        <v>297.83</v>
      </c>
      <c r="J254" s="32">
        <v>47411</v>
      </c>
      <c r="K254" s="33">
        <v>5.8680000000000003</v>
      </c>
      <c r="L254" s="33">
        <v>3.63</v>
      </c>
      <c r="M254" s="33">
        <v>87132.048835000009</v>
      </c>
      <c r="N254" s="34">
        <v>1.2309394481175393</v>
      </c>
      <c r="O254" s="34">
        <v>-7.9485E-2</v>
      </c>
      <c r="P254" s="25">
        <v>202.95599999999999</v>
      </c>
      <c r="Q254" s="25">
        <v>185.71799999999999</v>
      </c>
      <c r="R254" s="34">
        <v>9.2818143637127259E-2</v>
      </c>
    </row>
    <row r="255" spans="1:18" x14ac:dyDescent="0.15">
      <c r="A255" s="26">
        <v>248</v>
      </c>
      <c r="B255" s="25">
        <v>113680</v>
      </c>
      <c r="C255" s="25" t="s">
        <v>1185</v>
      </c>
      <c r="D255" s="25">
        <v>197.46299999999999</v>
      </c>
      <c r="E255" s="34">
        <v>1.8500000000000003E-2</v>
      </c>
      <c r="F255" s="25">
        <v>13.01</v>
      </c>
      <c r="G255" s="25">
        <v>91.16</v>
      </c>
      <c r="H255" s="43">
        <v>1.1660999999999999</v>
      </c>
      <c r="I255" s="57">
        <v>314.07299999999998</v>
      </c>
      <c r="J255" s="32">
        <v>47437</v>
      </c>
      <c r="K255" s="33">
        <v>5.94</v>
      </c>
      <c r="L255" s="33">
        <v>3</v>
      </c>
      <c r="M255" s="33">
        <v>48302.938000000002</v>
      </c>
      <c r="N255" s="34">
        <v>0.81539221693853192</v>
      </c>
      <c r="O255" s="34">
        <v>-8.037699999999999E-2</v>
      </c>
      <c r="P255" s="25">
        <v>197.8</v>
      </c>
      <c r="Q255" s="25">
        <v>190.001</v>
      </c>
      <c r="R255" s="34">
        <v>4.1047152383408544E-2</v>
      </c>
    </row>
    <row r="256" spans="1:18" x14ac:dyDescent="0.15">
      <c r="A256" s="26">
        <v>249</v>
      </c>
      <c r="B256" s="25">
        <v>123205</v>
      </c>
      <c r="C256" s="25" t="s">
        <v>1124</v>
      </c>
      <c r="D256" s="25">
        <v>182.7</v>
      </c>
      <c r="E256" s="34">
        <v>3.7699999999999997E-2</v>
      </c>
      <c r="F256" s="25">
        <v>20.010000000000002</v>
      </c>
      <c r="G256" s="25">
        <v>84.26</v>
      </c>
      <c r="H256" s="43">
        <v>1.1682999999999999</v>
      </c>
      <c r="I256" s="57">
        <v>299.52999999999997</v>
      </c>
      <c r="J256" s="32">
        <v>47316</v>
      </c>
      <c r="K256" s="33">
        <v>5.6079999999999997</v>
      </c>
      <c r="L256" s="33">
        <v>4.7603119999999999</v>
      </c>
      <c r="M256" s="33">
        <v>80065.452112600004</v>
      </c>
      <c r="N256" s="34">
        <v>0.92060047546542467</v>
      </c>
      <c r="O256" s="34">
        <v>-7.5027999999999997E-2</v>
      </c>
      <c r="P256" s="25">
        <v>188.88</v>
      </c>
      <c r="Q256" s="25">
        <v>171.89500000000001</v>
      </c>
      <c r="R256" s="34">
        <v>9.8810320253643127E-2</v>
      </c>
    </row>
  </sheetData>
  <autoFilter ref="A7:T94">
    <sortState ref="A8:T196">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F12" sqref="F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80</v>
      </c>
      <c r="B1" s="8"/>
      <c r="C1" s="35" t="s">
        <v>438</v>
      </c>
      <c r="D1" s="12"/>
      <c r="E1" s="12"/>
      <c r="I1" s="8" t="s">
        <v>404</v>
      </c>
      <c r="J1" s="8"/>
      <c r="K1" s="30" t="s">
        <v>405</v>
      </c>
      <c r="L1" s="37"/>
      <c r="M1" s="31"/>
      <c r="N1" s="30"/>
      <c r="O1" s="30"/>
      <c r="P1" s="30"/>
      <c r="R1" s="8" t="s">
        <v>674</v>
      </c>
      <c r="S1" s="8"/>
      <c r="U1" s="7"/>
      <c r="V1" s="7"/>
    </row>
    <row r="2" spans="1:23" s="6" customFormat="1" x14ac:dyDescent="0.15">
      <c r="A2" s="6" t="s">
        <v>45</v>
      </c>
      <c r="B2" s="6" t="s">
        <v>44</v>
      </c>
      <c r="C2" s="6" t="s">
        <v>398</v>
      </c>
      <c r="D2" s="4" t="s">
        <v>78</v>
      </c>
      <c r="E2" s="4" t="s">
        <v>215</v>
      </c>
      <c r="H2" s="15"/>
      <c r="I2" s="6" t="s">
        <v>400</v>
      </c>
      <c r="J2" s="6" t="s">
        <v>401</v>
      </c>
      <c r="K2" s="6" t="s">
        <v>398</v>
      </c>
      <c r="L2" s="38" t="s">
        <v>29</v>
      </c>
      <c r="M2" s="28" t="s">
        <v>403</v>
      </c>
      <c r="N2" s="4" t="s">
        <v>76</v>
      </c>
      <c r="Q2" s="15"/>
      <c r="R2" s="6" t="s">
        <v>400</v>
      </c>
      <c r="S2" s="6" t="s">
        <v>401</v>
      </c>
      <c r="T2" s="6" t="s">
        <v>398</v>
      </c>
      <c r="U2" s="38" t="s">
        <v>29</v>
      </c>
      <c r="V2" s="28" t="s">
        <v>403</v>
      </c>
      <c r="W2" s="4" t="s">
        <v>76</v>
      </c>
    </row>
    <row r="3" spans="1:23" x14ac:dyDescent="0.15">
      <c r="A3" s="1">
        <v>110052</v>
      </c>
      <c r="B3" s="1" t="s">
        <v>660</v>
      </c>
      <c r="C3" s="7">
        <f>VLOOKUP(A3,可转债实时数据!$B$7:$D$195,3,FALSE)</f>
        <v>138.31399999999999</v>
      </c>
      <c r="D3" s="5">
        <f t="shared" ref="D3:D34" si="0">MATCH(A3,$I$1:$I$130,0)-2</f>
        <v>30</v>
      </c>
      <c r="E3" s="5">
        <f t="shared" ref="E3:E34" si="1">MATCH(A3,$R$1:$R$43,0)-2</f>
        <v>25</v>
      </c>
      <c r="H3" s="14">
        <v>1</v>
      </c>
      <c r="I3">
        <v>113648</v>
      </c>
      <c r="J3" t="s">
        <v>1194</v>
      </c>
      <c r="K3">
        <v>142.43299999999999</v>
      </c>
      <c r="L3" s="39">
        <v>-1.0800000000000001E-2</v>
      </c>
      <c r="M3" s="17">
        <v>9.88781</v>
      </c>
      <c r="N3" s="5" t="str">
        <f>IF(ISNA(MATCH(I3,$A$3:$A$130,0)),"未买","Yes")</f>
        <v>未买</v>
      </c>
      <c r="Q3" s="14">
        <v>1</v>
      </c>
      <c r="R3" s="7">
        <v>128082</v>
      </c>
      <c r="S3" s="7" t="s">
        <v>678</v>
      </c>
      <c r="T3" s="7">
        <v>155.94</v>
      </c>
      <c r="U3" s="39">
        <v>5.5000000000000005E-3</v>
      </c>
      <c r="V3" s="17">
        <v>2.0094319999999999</v>
      </c>
      <c r="W3" s="5" t="str">
        <f t="shared" ref="W3:W52" si="2">IF(ISNA(MATCH(R3,$A$2:$A$43,0)),"未买","Yes")</f>
        <v>未买</v>
      </c>
    </row>
    <row r="4" spans="1:23" x14ac:dyDescent="0.15">
      <c r="A4" s="1">
        <v>110061</v>
      </c>
      <c r="B4" s="1" t="s">
        <v>464</v>
      </c>
      <c r="C4" s="7" t="e">
        <f>VLOOKUP(A4,可转债实时数据!$B$7:$D$195,3,FALSE)</f>
        <v>#N/A</v>
      </c>
      <c r="D4" s="5" t="e">
        <f t="shared" si="0"/>
        <v>#N/A</v>
      </c>
      <c r="E4" s="5" t="e">
        <f t="shared" si="1"/>
        <v>#N/A</v>
      </c>
      <c r="H4" s="14">
        <v>2</v>
      </c>
      <c r="I4">
        <v>128082</v>
      </c>
      <c r="J4" t="s">
        <v>678</v>
      </c>
      <c r="K4">
        <v>155.94</v>
      </c>
      <c r="L4" s="39">
        <v>5.5000000000000005E-3</v>
      </c>
      <c r="M4" s="17">
        <v>2.0094319999999999</v>
      </c>
      <c r="N4" s="5" t="str">
        <f>IF(ISNA(MATCH(I4,$A$3:$A$130,0)),"未买","Yes")</f>
        <v>Yes</v>
      </c>
      <c r="Q4" s="14">
        <v>2</v>
      </c>
      <c r="R4" s="7">
        <v>113595</v>
      </c>
      <c r="S4" s="7" t="s">
        <v>67</v>
      </c>
      <c r="T4" s="7">
        <v>101.925</v>
      </c>
      <c r="U4" s="39">
        <v>8.0000000000000002E-3</v>
      </c>
      <c r="V4" s="17">
        <v>2.2404299999999999</v>
      </c>
      <c r="W4" s="5" t="str">
        <f t="shared" si="2"/>
        <v>Yes</v>
      </c>
    </row>
    <row r="5" spans="1:23" x14ac:dyDescent="0.15">
      <c r="A5" s="1">
        <v>110074</v>
      </c>
      <c r="B5" s="1" t="s">
        <v>661</v>
      </c>
      <c r="C5" s="7">
        <f>VLOOKUP(A5,可转债实时数据!$B$7:$D$195,3,FALSE)</f>
        <v>131.71600000000001</v>
      </c>
      <c r="D5" s="5" t="e">
        <f t="shared" si="0"/>
        <v>#N/A</v>
      </c>
      <c r="E5" s="5" t="e">
        <f t="shared" si="1"/>
        <v>#N/A</v>
      </c>
      <c r="H5" s="14">
        <v>3</v>
      </c>
      <c r="I5">
        <v>113595</v>
      </c>
      <c r="J5" t="s">
        <v>67</v>
      </c>
      <c r="K5">
        <v>101.925</v>
      </c>
      <c r="L5" s="39">
        <v>8.0000000000000002E-3</v>
      </c>
      <c r="M5" s="17">
        <v>2.2404299999999999</v>
      </c>
      <c r="N5" s="5" t="str">
        <f>IF(ISNA(MATCH(I5,$A$3:$A$130,0)),"未买","Yes")</f>
        <v>Yes</v>
      </c>
      <c r="Q5" s="14">
        <v>3</v>
      </c>
      <c r="R5" s="7">
        <v>113534</v>
      </c>
      <c r="S5" s="7" t="s">
        <v>1021</v>
      </c>
      <c r="T5" s="7">
        <v>164</v>
      </c>
      <c r="U5" s="39">
        <v>1.1599999999999999E-2</v>
      </c>
      <c r="V5" s="17">
        <v>3.6909100000000001</v>
      </c>
      <c r="W5" s="5" t="str">
        <f t="shared" si="2"/>
        <v>未买</v>
      </c>
    </row>
    <row r="6" spans="1:23" x14ac:dyDescent="0.15">
      <c r="A6" s="1">
        <v>110084</v>
      </c>
      <c r="B6" s="1" t="s">
        <v>79</v>
      </c>
      <c r="C6" s="7">
        <f>VLOOKUP(A6,可转债实时数据!$B$7:$D$195,3,FALSE)</f>
        <v>122.99</v>
      </c>
      <c r="D6" s="5">
        <f t="shared" si="0"/>
        <v>32</v>
      </c>
      <c r="E6" s="5" t="e">
        <f t="shared" si="1"/>
        <v>#N/A</v>
      </c>
      <c r="H6" s="14">
        <v>4</v>
      </c>
      <c r="I6">
        <v>113534</v>
      </c>
      <c r="J6" t="s">
        <v>1021</v>
      </c>
      <c r="K6">
        <v>164</v>
      </c>
      <c r="L6" s="39">
        <v>1.1599999999999999E-2</v>
      </c>
      <c r="M6" s="17">
        <v>3.6909100000000001</v>
      </c>
      <c r="N6" s="5" t="str">
        <f>IF(ISNA(MATCH(I6,$A$3:$A$130,0)),"未买","Yes")</f>
        <v>未买</v>
      </c>
      <c r="Q6" s="14">
        <v>4</v>
      </c>
      <c r="R6" s="7">
        <v>128033</v>
      </c>
      <c r="S6" s="7" t="s">
        <v>1164</v>
      </c>
      <c r="T6" s="7">
        <v>107.81</v>
      </c>
      <c r="U6" s="39">
        <v>1.7399999999999999E-2</v>
      </c>
      <c r="V6" s="17">
        <v>2.5758719999999999</v>
      </c>
      <c r="W6" s="5" t="str">
        <f t="shared" si="2"/>
        <v>Yes</v>
      </c>
    </row>
    <row r="7" spans="1:23" x14ac:dyDescent="0.15">
      <c r="A7" s="1">
        <v>113027</v>
      </c>
      <c r="B7" s="1" t="s">
        <v>38</v>
      </c>
      <c r="C7" s="7">
        <f>VLOOKUP(A7,可转债实时数据!$B$7:$D$195,3,FALSE)</f>
        <v>139.17099999999999</v>
      </c>
      <c r="D7" s="5">
        <f t="shared" si="0"/>
        <v>39</v>
      </c>
      <c r="E7" s="5">
        <f t="shared" si="1"/>
        <v>33</v>
      </c>
      <c r="H7" s="14">
        <v>5</v>
      </c>
      <c r="I7">
        <v>123194</v>
      </c>
      <c r="J7" t="s">
        <v>1128</v>
      </c>
      <c r="K7">
        <v>136.11099999999999</v>
      </c>
      <c r="L7" s="39">
        <v>1.55E-2</v>
      </c>
      <c r="M7" s="17">
        <v>8.4628589999999999</v>
      </c>
      <c r="N7" s="5" t="str">
        <f t="shared" ref="N7:N52" si="3">IF(ISNA(MATCH(I7,$A$3:$A$130,0)),"未买","Yes")</f>
        <v>未买</v>
      </c>
      <c r="Q7" s="14">
        <v>5</v>
      </c>
      <c r="R7" s="7">
        <v>118017</v>
      </c>
      <c r="S7" s="7" t="s">
        <v>1193</v>
      </c>
      <c r="T7" s="7">
        <v>145.78</v>
      </c>
      <c r="U7" s="39">
        <v>1.9799999999999998E-2</v>
      </c>
      <c r="V7" s="17">
        <v>3.59998</v>
      </c>
      <c r="W7" s="5" t="str">
        <f t="shared" si="2"/>
        <v>未买</v>
      </c>
    </row>
    <row r="8" spans="1:23" x14ac:dyDescent="0.15">
      <c r="A8" s="1">
        <v>113039</v>
      </c>
      <c r="B8" s="1" t="s">
        <v>37</v>
      </c>
      <c r="C8" s="7">
        <f>VLOOKUP(A8,可转债实时数据!$B$7:$D$195,3,FALSE)</f>
        <v>128.98699999999999</v>
      </c>
      <c r="D8" s="5" t="e">
        <f t="shared" si="0"/>
        <v>#N/A</v>
      </c>
      <c r="E8" s="5" t="e">
        <f t="shared" si="1"/>
        <v>#N/A</v>
      </c>
      <c r="H8" s="14">
        <v>6</v>
      </c>
      <c r="I8">
        <v>128033</v>
      </c>
      <c r="J8" t="s">
        <v>1164</v>
      </c>
      <c r="K8">
        <v>107.81</v>
      </c>
      <c r="L8" s="39">
        <v>1.7399999999999999E-2</v>
      </c>
      <c r="M8" s="17">
        <v>2.5758719999999999</v>
      </c>
      <c r="N8" s="5" t="str">
        <f t="shared" si="3"/>
        <v>Yes</v>
      </c>
      <c r="Q8" s="14">
        <v>6</v>
      </c>
      <c r="R8" s="7">
        <v>123096</v>
      </c>
      <c r="S8" s="7" t="s">
        <v>1155</v>
      </c>
      <c r="T8" s="7">
        <v>105.28</v>
      </c>
      <c r="U8" s="39">
        <v>2.1000000000000001E-2</v>
      </c>
      <c r="V8" s="17">
        <v>6.5940399999999997</v>
      </c>
      <c r="W8" s="5" t="str">
        <f t="shared" si="2"/>
        <v>未买</v>
      </c>
    </row>
    <row r="9" spans="1:23" x14ac:dyDescent="0.15">
      <c r="A9" s="1">
        <v>113504</v>
      </c>
      <c r="B9" s="1" t="s">
        <v>64</v>
      </c>
      <c r="C9" s="7" t="e">
        <f>VLOOKUP(A9,可转债实时数据!$B$7:$D$195,3,FALSE)</f>
        <v>#N/A</v>
      </c>
      <c r="D9" s="5" t="e">
        <f t="shared" si="0"/>
        <v>#N/A</v>
      </c>
      <c r="E9" s="5" t="e">
        <f t="shared" si="1"/>
        <v>#N/A</v>
      </c>
      <c r="H9" s="14">
        <v>7</v>
      </c>
      <c r="I9">
        <v>118017</v>
      </c>
      <c r="J9" t="s">
        <v>1193</v>
      </c>
      <c r="K9">
        <v>145.78</v>
      </c>
      <c r="L9" s="39">
        <v>1.9799999999999998E-2</v>
      </c>
      <c r="M9" s="17">
        <v>3.59998</v>
      </c>
      <c r="N9" s="5" t="str">
        <f t="shared" si="3"/>
        <v>未买</v>
      </c>
      <c r="Q9" s="14">
        <v>7</v>
      </c>
      <c r="R9" s="7">
        <v>113588</v>
      </c>
      <c r="S9" s="7" t="s">
        <v>1169</v>
      </c>
      <c r="T9" s="7">
        <v>192.28100000000001</v>
      </c>
      <c r="U9" s="39">
        <v>2.6000000000000002E-2</v>
      </c>
      <c r="V9" s="17">
        <v>3.1854499999999999</v>
      </c>
      <c r="W9" s="5" t="str">
        <f t="shared" si="2"/>
        <v>未买</v>
      </c>
    </row>
    <row r="10" spans="1:23" x14ac:dyDescent="0.15">
      <c r="A10" s="1">
        <v>113525</v>
      </c>
      <c r="B10" s="1" t="s">
        <v>66</v>
      </c>
      <c r="C10" s="7" t="e">
        <f>VLOOKUP(A10,可转债实时数据!$B$7:$D$195,3,FALSE)</f>
        <v>#N/A</v>
      </c>
      <c r="D10" s="5" t="e">
        <f t="shared" si="0"/>
        <v>#N/A</v>
      </c>
      <c r="E10" s="5" t="e">
        <f t="shared" si="1"/>
        <v>#N/A</v>
      </c>
      <c r="H10" s="14">
        <v>8</v>
      </c>
      <c r="I10">
        <v>123096</v>
      </c>
      <c r="J10" t="s">
        <v>1155</v>
      </c>
      <c r="K10">
        <v>105.28</v>
      </c>
      <c r="L10" s="39">
        <v>2.1000000000000001E-2</v>
      </c>
      <c r="M10" s="17">
        <v>6.5940399999999997</v>
      </c>
      <c r="N10" s="5" t="str">
        <f t="shared" si="3"/>
        <v>未买</v>
      </c>
      <c r="Q10" s="14">
        <v>8</v>
      </c>
      <c r="R10" s="7">
        <v>113594</v>
      </c>
      <c r="S10" s="7" t="s">
        <v>758</v>
      </c>
      <c r="T10" s="7">
        <v>138.84299999999999</v>
      </c>
      <c r="U10" s="39">
        <v>2.87E-2</v>
      </c>
      <c r="V10" s="17">
        <v>2.9956200000000002</v>
      </c>
      <c r="W10" s="5" t="str">
        <f t="shared" si="2"/>
        <v>未买</v>
      </c>
    </row>
    <row r="11" spans="1:23" x14ac:dyDescent="0.15">
      <c r="A11" s="1">
        <v>113526</v>
      </c>
      <c r="B11" s="1" t="s">
        <v>68</v>
      </c>
      <c r="C11" s="7">
        <f>VLOOKUP(A11,可转债实时数据!$B$7:$D$195,3,FALSE)</f>
        <v>123.712</v>
      </c>
      <c r="D11" s="5" t="e">
        <f t="shared" si="0"/>
        <v>#N/A</v>
      </c>
      <c r="E11" s="5" t="e">
        <f t="shared" si="1"/>
        <v>#N/A</v>
      </c>
      <c r="H11" s="14">
        <v>9</v>
      </c>
      <c r="I11">
        <v>113588</v>
      </c>
      <c r="J11" t="s">
        <v>1169</v>
      </c>
      <c r="K11">
        <v>192.28100000000001</v>
      </c>
      <c r="L11" s="39">
        <v>2.6000000000000002E-2</v>
      </c>
      <c r="M11" s="17">
        <v>3.1854499999999999</v>
      </c>
      <c r="N11" s="5" t="str">
        <f t="shared" si="3"/>
        <v>未买</v>
      </c>
      <c r="Q11" s="14">
        <v>9</v>
      </c>
      <c r="R11" s="7">
        <v>127053</v>
      </c>
      <c r="S11" s="7" t="s">
        <v>1134</v>
      </c>
      <c r="T11" s="7">
        <v>146.61000000000001</v>
      </c>
      <c r="U11" s="39">
        <v>2.9600000000000001E-2</v>
      </c>
      <c r="V11" s="17">
        <v>4.8172750000000004</v>
      </c>
      <c r="W11" s="5" t="str">
        <f t="shared" si="2"/>
        <v>未买</v>
      </c>
    </row>
    <row r="12" spans="1:23" x14ac:dyDescent="0.15">
      <c r="A12" s="1">
        <v>113546</v>
      </c>
      <c r="B12" s="1" t="s">
        <v>51</v>
      </c>
      <c r="C12" s="7">
        <f>VLOOKUP(A12,可转债实时数据!$B$7:$D$195,3,FALSE)</f>
        <v>128.57499999999999</v>
      </c>
      <c r="D12" s="5" t="e">
        <f t="shared" si="0"/>
        <v>#N/A</v>
      </c>
      <c r="E12" s="5" t="e">
        <f t="shared" si="1"/>
        <v>#N/A</v>
      </c>
      <c r="H12" s="14">
        <v>10</v>
      </c>
      <c r="I12">
        <v>113594</v>
      </c>
      <c r="J12" t="s">
        <v>758</v>
      </c>
      <c r="K12">
        <v>138.84299999999999</v>
      </c>
      <c r="L12" s="39">
        <v>2.87E-2</v>
      </c>
      <c r="M12" s="17">
        <v>2.9956200000000002</v>
      </c>
      <c r="N12" s="5" t="str">
        <f t="shared" si="3"/>
        <v>未买</v>
      </c>
      <c r="Q12" s="14">
        <v>10</v>
      </c>
      <c r="R12" s="7">
        <v>123127</v>
      </c>
      <c r="S12" s="7" t="s">
        <v>57</v>
      </c>
      <c r="T12" s="7">
        <v>139.38900000000001</v>
      </c>
      <c r="U12" s="39">
        <v>4.2000000000000003E-2</v>
      </c>
      <c r="V12" s="17">
        <v>3.9971580000000002</v>
      </c>
      <c r="W12" s="5" t="str">
        <f t="shared" si="2"/>
        <v>未买</v>
      </c>
    </row>
    <row r="13" spans="1:23" x14ac:dyDescent="0.15">
      <c r="A13" s="1">
        <v>113567</v>
      </c>
      <c r="B13" s="1" t="s">
        <v>36</v>
      </c>
      <c r="C13" s="7" t="e">
        <f>VLOOKUP(A13,可转债实时数据!$B$7:$D$195,3,FALSE)</f>
        <v>#N/A</v>
      </c>
      <c r="D13" s="5" t="e">
        <f t="shared" si="0"/>
        <v>#N/A</v>
      </c>
      <c r="E13" s="5" t="e">
        <f t="shared" si="1"/>
        <v>#N/A</v>
      </c>
      <c r="H13" s="14">
        <v>11</v>
      </c>
      <c r="I13">
        <v>127053</v>
      </c>
      <c r="J13" t="s">
        <v>1134</v>
      </c>
      <c r="K13">
        <v>146.61000000000001</v>
      </c>
      <c r="L13" s="39">
        <v>2.9600000000000001E-2</v>
      </c>
      <c r="M13" s="17">
        <v>4.8172750000000004</v>
      </c>
      <c r="N13" s="5" t="str">
        <f t="shared" si="3"/>
        <v>未买</v>
      </c>
      <c r="Q13" s="14">
        <v>11</v>
      </c>
      <c r="R13" s="7">
        <v>123092</v>
      </c>
      <c r="S13" s="7" t="s">
        <v>1024</v>
      </c>
      <c r="T13" s="7">
        <v>167.804</v>
      </c>
      <c r="U13" s="39">
        <v>4.8300000000000003E-2</v>
      </c>
      <c r="V13" s="17">
        <v>3.996658</v>
      </c>
      <c r="W13" s="5" t="str">
        <f t="shared" si="2"/>
        <v>未买</v>
      </c>
    </row>
    <row r="14" spans="1:23" x14ac:dyDescent="0.15">
      <c r="A14" s="1">
        <v>113577</v>
      </c>
      <c r="B14" s="1" t="s">
        <v>58</v>
      </c>
      <c r="C14" s="7">
        <f>VLOOKUP(A14,可转债实时数据!$B$7:$D$195,3,FALSE)</f>
        <v>134.489</v>
      </c>
      <c r="D14" s="5" t="e">
        <f t="shared" si="0"/>
        <v>#N/A</v>
      </c>
      <c r="E14" s="5" t="e">
        <f t="shared" si="1"/>
        <v>#N/A</v>
      </c>
      <c r="H14" s="14">
        <v>12</v>
      </c>
      <c r="I14">
        <v>123127</v>
      </c>
      <c r="J14" t="s">
        <v>57</v>
      </c>
      <c r="K14">
        <v>139.38900000000001</v>
      </c>
      <c r="L14" s="39">
        <v>4.2000000000000003E-2</v>
      </c>
      <c r="M14" s="17">
        <v>3.9971580000000002</v>
      </c>
      <c r="N14" s="5" t="str">
        <f t="shared" si="3"/>
        <v>未买</v>
      </c>
      <c r="Q14" s="14">
        <v>12</v>
      </c>
      <c r="R14" s="7">
        <v>123054</v>
      </c>
      <c r="S14" s="7" t="s">
        <v>1170</v>
      </c>
      <c r="T14" s="7">
        <v>170.982</v>
      </c>
      <c r="U14" s="39">
        <v>4.8399999999999999E-2</v>
      </c>
      <c r="V14" s="17">
        <v>1.67441</v>
      </c>
      <c r="W14" s="5" t="str">
        <f t="shared" si="2"/>
        <v>未买</v>
      </c>
    </row>
    <row r="15" spans="1:23" x14ac:dyDescent="0.15">
      <c r="A15" s="1">
        <v>113582</v>
      </c>
      <c r="B15" s="1" t="s">
        <v>662</v>
      </c>
      <c r="C15" s="7">
        <f>VLOOKUP(A15,可转债实时数据!$B$7:$D$195,3,FALSE)</f>
        <v>132.96799999999999</v>
      </c>
      <c r="D15" s="5" t="e">
        <f t="shared" si="0"/>
        <v>#N/A</v>
      </c>
      <c r="E15" s="5" t="e">
        <f t="shared" si="1"/>
        <v>#N/A</v>
      </c>
      <c r="H15" s="14">
        <v>13</v>
      </c>
      <c r="I15">
        <v>123092</v>
      </c>
      <c r="J15" t="s">
        <v>1024</v>
      </c>
      <c r="K15">
        <v>167.804</v>
      </c>
      <c r="L15" s="39">
        <v>4.8300000000000003E-2</v>
      </c>
      <c r="M15" s="17">
        <v>3.996658</v>
      </c>
      <c r="N15" s="5" t="str">
        <f t="shared" si="3"/>
        <v>未买</v>
      </c>
      <c r="Q15" s="14">
        <v>13</v>
      </c>
      <c r="R15" s="7">
        <v>128087</v>
      </c>
      <c r="S15" s="7" t="s">
        <v>60</v>
      </c>
      <c r="T15" s="7">
        <v>124.76900000000001</v>
      </c>
      <c r="U15" s="39">
        <v>4.8600000000000004E-2</v>
      </c>
      <c r="V15" s="17">
        <v>6.4427640000000004</v>
      </c>
      <c r="W15" s="5" t="str">
        <f t="shared" si="2"/>
        <v>未买</v>
      </c>
    </row>
    <row r="16" spans="1:23" x14ac:dyDescent="0.15">
      <c r="A16" s="1">
        <v>113585</v>
      </c>
      <c r="B16" s="1" t="s">
        <v>217</v>
      </c>
      <c r="C16" s="7" t="e">
        <f>VLOOKUP(A16,可转债实时数据!$B$7:$D$195,3,FALSE)</f>
        <v>#N/A</v>
      </c>
      <c r="D16" s="5" t="e">
        <f t="shared" si="0"/>
        <v>#N/A</v>
      </c>
      <c r="E16" s="5" t="e">
        <f t="shared" si="1"/>
        <v>#N/A</v>
      </c>
      <c r="H16" s="14">
        <v>14</v>
      </c>
      <c r="I16">
        <v>123054</v>
      </c>
      <c r="J16" t="s">
        <v>1170</v>
      </c>
      <c r="K16">
        <v>170.982</v>
      </c>
      <c r="L16" s="39">
        <v>4.8399999999999999E-2</v>
      </c>
      <c r="M16" s="17">
        <v>1.67441</v>
      </c>
      <c r="N16" s="5" t="str">
        <f t="shared" si="3"/>
        <v>未买</v>
      </c>
      <c r="Q16" s="14">
        <v>14</v>
      </c>
      <c r="R16" s="7">
        <v>127037</v>
      </c>
      <c r="S16" s="7" t="s">
        <v>727</v>
      </c>
      <c r="T16" s="7">
        <v>177.9</v>
      </c>
      <c r="U16" s="39">
        <v>4.9200000000000001E-2</v>
      </c>
      <c r="V16" s="17">
        <v>6.99404</v>
      </c>
      <c r="W16" s="5" t="str">
        <f t="shared" si="2"/>
        <v>未买</v>
      </c>
    </row>
    <row r="17" spans="1:23" x14ac:dyDescent="0.15">
      <c r="A17" s="1">
        <v>113591</v>
      </c>
      <c r="B17" s="1" t="s">
        <v>35</v>
      </c>
      <c r="C17" s="7" t="e">
        <f>VLOOKUP(A17,可转债实时数据!$B$7:$D$195,3,FALSE)</f>
        <v>#N/A</v>
      </c>
      <c r="D17" s="5" t="e">
        <f t="shared" si="0"/>
        <v>#N/A</v>
      </c>
      <c r="E17" s="5" t="e">
        <f t="shared" si="1"/>
        <v>#N/A</v>
      </c>
      <c r="H17" s="14">
        <v>15</v>
      </c>
      <c r="I17">
        <v>128087</v>
      </c>
      <c r="J17" t="s">
        <v>60</v>
      </c>
      <c r="K17">
        <v>124.76900000000001</v>
      </c>
      <c r="L17" s="39">
        <v>4.8600000000000004E-2</v>
      </c>
      <c r="M17" s="17">
        <v>6.4427640000000004</v>
      </c>
      <c r="N17" s="5" t="str">
        <f t="shared" si="3"/>
        <v>Yes</v>
      </c>
      <c r="Q17" s="14">
        <v>15</v>
      </c>
      <c r="R17" s="7">
        <v>128030</v>
      </c>
      <c r="S17" s="7" t="s">
        <v>1174</v>
      </c>
      <c r="T17" s="7">
        <v>127.399</v>
      </c>
      <c r="U17" s="39">
        <v>5.7500000000000002E-2</v>
      </c>
      <c r="V17" s="17">
        <v>0.79018600000000006</v>
      </c>
      <c r="W17" s="5" t="str">
        <f t="shared" si="2"/>
        <v>未买</v>
      </c>
    </row>
    <row r="18" spans="1:23" x14ac:dyDescent="0.15">
      <c r="A18" s="1">
        <v>113595</v>
      </c>
      <c r="B18" s="1" t="s">
        <v>67</v>
      </c>
      <c r="C18" s="7">
        <f>VLOOKUP(A18,可转债实时数据!$B$7:$D$195,3,FALSE)</f>
        <v>101.925</v>
      </c>
      <c r="D18" s="5">
        <f t="shared" si="0"/>
        <v>3</v>
      </c>
      <c r="E18" s="5">
        <f t="shared" si="1"/>
        <v>2</v>
      </c>
      <c r="H18" s="14">
        <v>16</v>
      </c>
      <c r="I18">
        <v>127037</v>
      </c>
      <c r="J18" t="s">
        <v>727</v>
      </c>
      <c r="K18">
        <v>177.9</v>
      </c>
      <c r="L18" s="39">
        <v>4.9200000000000001E-2</v>
      </c>
      <c r="M18" s="17">
        <v>6.99404</v>
      </c>
      <c r="N18" s="5" t="str">
        <f t="shared" si="3"/>
        <v>未买</v>
      </c>
      <c r="Q18" s="14">
        <v>16</v>
      </c>
      <c r="R18" s="7">
        <v>127065</v>
      </c>
      <c r="S18" s="7" t="s">
        <v>736</v>
      </c>
      <c r="T18" s="7">
        <v>201</v>
      </c>
      <c r="U18" s="39">
        <v>5.9699999999999996E-2</v>
      </c>
      <c r="V18" s="17">
        <v>1.8685740000000004</v>
      </c>
      <c r="W18" s="5" t="str">
        <f t="shared" si="2"/>
        <v>未买</v>
      </c>
    </row>
    <row r="19" spans="1:23" x14ac:dyDescent="0.15">
      <c r="A19" s="1">
        <v>113598</v>
      </c>
      <c r="B19" s="1" t="s">
        <v>55</v>
      </c>
      <c r="C19" s="7">
        <f>VLOOKUP(A19,可转债实时数据!$B$7:$D$195,3,FALSE)</f>
        <v>129.113</v>
      </c>
      <c r="D19" s="5" t="e">
        <f t="shared" si="0"/>
        <v>#N/A</v>
      </c>
      <c r="E19" s="5" t="e">
        <f t="shared" si="1"/>
        <v>#N/A</v>
      </c>
      <c r="H19" s="14">
        <v>17</v>
      </c>
      <c r="I19">
        <v>113549</v>
      </c>
      <c r="J19" t="s">
        <v>1175</v>
      </c>
      <c r="K19">
        <v>128.40700000000001</v>
      </c>
      <c r="L19" s="39">
        <v>5.5399999999999998E-2</v>
      </c>
      <c r="M19" s="17">
        <v>8.0396300000000007</v>
      </c>
      <c r="N19" s="5" t="str">
        <f t="shared" si="3"/>
        <v>未买</v>
      </c>
      <c r="Q19" s="14">
        <v>17</v>
      </c>
      <c r="R19" s="7">
        <v>123187</v>
      </c>
      <c r="S19" s="7" t="s">
        <v>1129</v>
      </c>
      <c r="T19" s="7">
        <v>128.1</v>
      </c>
      <c r="U19" s="39">
        <v>6.2100000000000002E-2</v>
      </c>
      <c r="V19" s="17">
        <v>4.5301070000000001</v>
      </c>
      <c r="W19" s="5" t="str">
        <f t="shared" si="2"/>
        <v>未买</v>
      </c>
    </row>
    <row r="20" spans="1:23" x14ac:dyDescent="0.15">
      <c r="A20" s="1">
        <v>113657</v>
      </c>
      <c r="B20" s="1" t="s">
        <v>469</v>
      </c>
      <c r="C20" s="7" t="e">
        <f>VLOOKUP(A20,可转债实时数据!$B$7:$D$195,3,FALSE)</f>
        <v>#N/A</v>
      </c>
      <c r="D20" s="5" t="e">
        <f t="shared" si="0"/>
        <v>#N/A</v>
      </c>
      <c r="E20" s="5" t="e">
        <f t="shared" si="1"/>
        <v>#N/A</v>
      </c>
      <c r="H20" s="14">
        <v>18</v>
      </c>
      <c r="I20">
        <v>128030</v>
      </c>
      <c r="J20" t="s">
        <v>1174</v>
      </c>
      <c r="K20">
        <v>127.399</v>
      </c>
      <c r="L20" s="39">
        <v>5.7500000000000002E-2</v>
      </c>
      <c r="M20" s="17">
        <v>0.79018600000000006</v>
      </c>
      <c r="N20" s="5" t="str">
        <f t="shared" si="3"/>
        <v>未买</v>
      </c>
      <c r="Q20" s="14">
        <v>18</v>
      </c>
      <c r="R20" s="7">
        <v>128091</v>
      </c>
      <c r="S20" s="7" t="s">
        <v>743</v>
      </c>
      <c r="T20" s="7">
        <v>164.16499999999999</v>
      </c>
      <c r="U20" s="39">
        <v>6.3399999999999998E-2</v>
      </c>
      <c r="V20" s="17">
        <v>1.523163</v>
      </c>
      <c r="W20" s="5" t="str">
        <f t="shared" si="2"/>
        <v>未买</v>
      </c>
    </row>
    <row r="21" spans="1:23" x14ac:dyDescent="0.15">
      <c r="A21" s="1">
        <v>118016</v>
      </c>
      <c r="B21" s="1" t="s">
        <v>467</v>
      </c>
      <c r="C21" s="7">
        <f>VLOOKUP(A21,可转债实时数据!$B$7:$D$195,3,FALSE)</f>
        <v>117.523</v>
      </c>
      <c r="D21" s="5" t="e">
        <f t="shared" si="0"/>
        <v>#N/A</v>
      </c>
      <c r="E21" s="5" t="e">
        <f t="shared" si="1"/>
        <v>#N/A</v>
      </c>
      <c r="H21" s="14">
        <v>19</v>
      </c>
      <c r="I21">
        <v>123187</v>
      </c>
      <c r="J21" t="s">
        <v>1129</v>
      </c>
      <c r="K21">
        <v>128.1</v>
      </c>
      <c r="L21" s="39">
        <v>6.2100000000000002E-2</v>
      </c>
      <c r="M21" s="17">
        <v>4.5301070000000001</v>
      </c>
      <c r="N21" s="5" t="str">
        <f t="shared" si="3"/>
        <v>未买</v>
      </c>
      <c r="Q21" s="14">
        <v>19</v>
      </c>
      <c r="R21" s="7">
        <v>128062</v>
      </c>
      <c r="S21" s="7" t="s">
        <v>1180</v>
      </c>
      <c r="T21" s="7">
        <v>116</v>
      </c>
      <c r="U21" s="39">
        <v>7.0999999999999994E-2</v>
      </c>
      <c r="V21" s="17">
        <v>6.5678210000000012</v>
      </c>
      <c r="W21" s="5" t="str">
        <f t="shared" si="2"/>
        <v>未买</v>
      </c>
    </row>
    <row r="22" spans="1:23" x14ac:dyDescent="0.15">
      <c r="A22" s="1">
        <v>123012</v>
      </c>
      <c r="B22" s="1" t="s">
        <v>43</v>
      </c>
      <c r="C22" s="7" t="e">
        <f>VLOOKUP(A22,可转债实时数据!$B$7:$D$195,3,FALSE)</f>
        <v>#N/A</v>
      </c>
      <c r="D22" s="5" t="e">
        <f t="shared" si="0"/>
        <v>#N/A</v>
      </c>
      <c r="E22" s="5" t="e">
        <f t="shared" si="1"/>
        <v>#N/A</v>
      </c>
      <c r="H22" s="14">
        <v>20</v>
      </c>
      <c r="I22">
        <v>113631</v>
      </c>
      <c r="J22" t="s">
        <v>1158</v>
      </c>
      <c r="K22">
        <v>124.61799999999999</v>
      </c>
      <c r="L22" s="39">
        <v>6.3299999999999995E-2</v>
      </c>
      <c r="M22" s="17">
        <v>9.2987199999999994</v>
      </c>
      <c r="N22" s="5" t="str">
        <f t="shared" si="3"/>
        <v>未买</v>
      </c>
      <c r="Q22" s="14">
        <v>20</v>
      </c>
      <c r="R22" s="7">
        <v>127014</v>
      </c>
      <c r="S22" s="7" t="s">
        <v>1023</v>
      </c>
      <c r="T22" s="7">
        <v>150.60300000000001</v>
      </c>
      <c r="U22" s="39">
        <v>7.3399999999999993E-2</v>
      </c>
      <c r="V22" s="17">
        <v>5.3382250000000004</v>
      </c>
      <c r="W22" s="5" t="str">
        <f t="shared" si="2"/>
        <v>未买</v>
      </c>
    </row>
    <row r="23" spans="1:23" x14ac:dyDescent="0.15">
      <c r="A23" s="1">
        <v>123014</v>
      </c>
      <c r="B23" s="1" t="s">
        <v>42</v>
      </c>
      <c r="C23" s="7" t="e">
        <f>VLOOKUP(A23,可转债实时数据!$B$7:$D$195,3,FALSE)</f>
        <v>#N/A</v>
      </c>
      <c r="D23" s="5" t="e">
        <f t="shared" si="0"/>
        <v>#N/A</v>
      </c>
      <c r="E23" s="5" t="e">
        <f t="shared" si="1"/>
        <v>#N/A</v>
      </c>
      <c r="H23" s="14">
        <v>21</v>
      </c>
      <c r="I23">
        <v>128091</v>
      </c>
      <c r="J23" t="s">
        <v>743</v>
      </c>
      <c r="K23">
        <v>164.16499999999999</v>
      </c>
      <c r="L23" s="39">
        <v>6.3399999999999998E-2</v>
      </c>
      <c r="M23" s="17">
        <v>1.523163</v>
      </c>
      <c r="N23" s="5" t="str">
        <f t="shared" si="3"/>
        <v>Yes</v>
      </c>
      <c r="Q23" s="14">
        <v>21</v>
      </c>
      <c r="R23" s="7">
        <v>123221</v>
      </c>
      <c r="S23" s="7" t="s">
        <v>1056</v>
      </c>
      <c r="T23" s="7">
        <v>132.19999999999999</v>
      </c>
      <c r="U23" s="39">
        <v>7.3700000000000002E-2</v>
      </c>
      <c r="V23" s="17">
        <v>5</v>
      </c>
      <c r="W23" s="5" t="str">
        <f t="shared" si="2"/>
        <v>未买</v>
      </c>
    </row>
    <row r="24" spans="1:23" x14ac:dyDescent="0.15">
      <c r="A24" s="1">
        <v>123025</v>
      </c>
      <c r="B24" s="1" t="s">
        <v>47</v>
      </c>
      <c r="C24" s="7">
        <f>VLOOKUP(A24,可转债实时数据!$B$7:$D$195,3,FALSE)</f>
        <v>203</v>
      </c>
      <c r="D24" s="5" t="e">
        <f t="shared" si="0"/>
        <v>#N/A</v>
      </c>
      <c r="E24" s="5">
        <f t="shared" si="1"/>
        <v>34</v>
      </c>
      <c r="H24" s="14">
        <v>22</v>
      </c>
      <c r="I24">
        <v>128083</v>
      </c>
      <c r="J24" t="s">
        <v>70</v>
      </c>
      <c r="K24">
        <v>129.47800000000001</v>
      </c>
      <c r="L24" s="39">
        <v>6.6400000000000001E-2</v>
      </c>
      <c r="M24" s="17">
        <v>8.7676800000000004</v>
      </c>
      <c r="N24" s="5" t="str">
        <f t="shared" si="3"/>
        <v>Yes</v>
      </c>
      <c r="Q24" s="14">
        <v>22</v>
      </c>
      <c r="R24" s="7">
        <v>111011</v>
      </c>
      <c r="S24" s="7" t="s">
        <v>749</v>
      </c>
      <c r="T24" s="7">
        <v>133.053</v>
      </c>
      <c r="U24" s="39">
        <v>7.5300000000000006E-2</v>
      </c>
      <c r="V24" s="17">
        <v>6.0157800000000003</v>
      </c>
      <c r="W24" s="5" t="str">
        <f t="shared" si="2"/>
        <v>未买</v>
      </c>
    </row>
    <row r="25" spans="1:23" x14ac:dyDescent="0.15">
      <c r="A25" s="1">
        <v>123052</v>
      </c>
      <c r="B25" s="1" t="s">
        <v>210</v>
      </c>
      <c r="C25" s="7">
        <f>VLOOKUP(A25,可转债实时数据!$B$7:$D$195,3,FALSE)</f>
        <v>144.56</v>
      </c>
      <c r="D25" s="5" t="e">
        <f t="shared" si="0"/>
        <v>#N/A</v>
      </c>
      <c r="E25" s="5" t="e">
        <f t="shared" si="1"/>
        <v>#N/A</v>
      </c>
      <c r="H25" s="14">
        <v>23</v>
      </c>
      <c r="I25">
        <v>128062</v>
      </c>
      <c r="J25" t="s">
        <v>1180</v>
      </c>
      <c r="K25">
        <v>116</v>
      </c>
      <c r="L25" s="39">
        <v>7.0999999999999994E-2</v>
      </c>
      <c r="M25" s="17">
        <v>6.5678210000000012</v>
      </c>
      <c r="N25" s="5" t="str">
        <f t="shared" si="3"/>
        <v>未买</v>
      </c>
      <c r="Q25" s="14">
        <v>23</v>
      </c>
      <c r="R25" s="7">
        <v>123044</v>
      </c>
      <c r="S25" s="7" t="s">
        <v>1171</v>
      </c>
      <c r="T25" s="7">
        <v>103.105</v>
      </c>
      <c r="U25" s="39">
        <v>7.6700000000000004E-2</v>
      </c>
      <c r="V25" s="17">
        <v>5.4927549999999998</v>
      </c>
      <c r="W25" s="5" t="str">
        <f t="shared" si="2"/>
        <v>未买</v>
      </c>
    </row>
    <row r="26" spans="1:23" x14ac:dyDescent="0.15">
      <c r="A26" s="1">
        <v>123057</v>
      </c>
      <c r="B26" s="1" t="s">
        <v>211</v>
      </c>
      <c r="C26" s="7" t="e">
        <f>VLOOKUP(A26,可转债实时数据!$B$7:$D$195,3,FALSE)</f>
        <v>#N/A</v>
      </c>
      <c r="D26" s="5" t="e">
        <f t="shared" si="0"/>
        <v>#N/A</v>
      </c>
      <c r="E26" s="5" t="e">
        <f t="shared" si="1"/>
        <v>#N/A</v>
      </c>
      <c r="H26" s="14">
        <v>24</v>
      </c>
      <c r="I26">
        <v>127014</v>
      </c>
      <c r="J26" t="s">
        <v>1023</v>
      </c>
      <c r="K26">
        <v>150.60300000000001</v>
      </c>
      <c r="L26" s="39">
        <v>7.3399999999999993E-2</v>
      </c>
      <c r="M26" s="17">
        <v>5.3382250000000004</v>
      </c>
      <c r="N26" s="5" t="str">
        <f t="shared" si="3"/>
        <v>未买</v>
      </c>
      <c r="Q26" s="14">
        <v>24</v>
      </c>
      <c r="R26" s="7">
        <v>123202</v>
      </c>
      <c r="S26" s="7" t="s">
        <v>1026</v>
      </c>
      <c r="T26" s="7">
        <v>135.04</v>
      </c>
      <c r="U26" s="39">
        <v>7.9100000000000004E-2</v>
      </c>
      <c r="V26" s="17">
        <v>4.5999999999999996</v>
      </c>
      <c r="W26" s="5" t="str">
        <f t="shared" si="2"/>
        <v>未买</v>
      </c>
    </row>
    <row r="27" spans="1:23" x14ac:dyDescent="0.15">
      <c r="A27" s="1">
        <v>123060</v>
      </c>
      <c r="B27" s="1" t="s">
        <v>223</v>
      </c>
      <c r="C27" s="7" t="e">
        <f>VLOOKUP(A27,可转债实时数据!$B$7:$D$195,3,FALSE)</f>
        <v>#N/A</v>
      </c>
      <c r="D27" s="5" t="e">
        <f t="shared" si="0"/>
        <v>#N/A</v>
      </c>
      <c r="E27" s="5" t="e">
        <f t="shared" si="1"/>
        <v>#N/A</v>
      </c>
      <c r="H27" s="14">
        <v>25</v>
      </c>
      <c r="I27">
        <v>123221</v>
      </c>
      <c r="J27" t="s">
        <v>1056</v>
      </c>
      <c r="K27">
        <v>132.19999999999999</v>
      </c>
      <c r="L27" s="39">
        <v>7.3700000000000002E-2</v>
      </c>
      <c r="M27" s="17">
        <v>5</v>
      </c>
      <c r="N27" s="5" t="str">
        <f t="shared" si="3"/>
        <v>未买</v>
      </c>
      <c r="Q27" s="14">
        <v>25</v>
      </c>
      <c r="R27" s="7">
        <v>110052</v>
      </c>
      <c r="S27" s="7" t="s">
        <v>759</v>
      </c>
      <c r="T27" s="7">
        <v>138.31399999999999</v>
      </c>
      <c r="U27" s="39">
        <v>8.09E-2</v>
      </c>
      <c r="V27" s="17">
        <v>2.64188</v>
      </c>
      <c r="W27" s="5" t="str">
        <f t="shared" si="2"/>
        <v>Yes</v>
      </c>
    </row>
    <row r="28" spans="1:23" x14ac:dyDescent="0.15">
      <c r="A28" s="1">
        <v>123080</v>
      </c>
      <c r="B28" s="1" t="s">
        <v>41</v>
      </c>
      <c r="C28" s="7">
        <f>VLOOKUP(A28,可转债实时数据!$B$7:$D$195,3,FALSE)</f>
        <v>135.43299999999999</v>
      </c>
      <c r="D28" s="5" t="e">
        <f t="shared" si="0"/>
        <v>#N/A</v>
      </c>
      <c r="E28" s="5" t="e">
        <f t="shared" si="1"/>
        <v>#N/A</v>
      </c>
      <c r="H28" s="14">
        <v>26</v>
      </c>
      <c r="I28">
        <v>111011</v>
      </c>
      <c r="J28" t="s">
        <v>749</v>
      </c>
      <c r="K28">
        <v>133.053</v>
      </c>
      <c r="L28" s="39">
        <v>7.5300000000000006E-2</v>
      </c>
      <c r="M28" s="17">
        <v>6.0157800000000003</v>
      </c>
      <c r="N28" s="5" t="str">
        <f t="shared" si="3"/>
        <v>未买</v>
      </c>
      <c r="Q28" s="14">
        <v>26</v>
      </c>
      <c r="R28" s="7">
        <v>123177</v>
      </c>
      <c r="S28" s="7" t="s">
        <v>1132</v>
      </c>
      <c r="T28" s="7">
        <v>149.499</v>
      </c>
      <c r="U28" s="39">
        <v>8.4900000000000003E-2</v>
      </c>
      <c r="V28" s="17">
        <v>2.4368310000000002</v>
      </c>
      <c r="W28" s="5" t="str">
        <f t="shared" si="2"/>
        <v>未买</v>
      </c>
    </row>
    <row r="29" spans="1:23" x14ac:dyDescent="0.15">
      <c r="A29" s="1">
        <v>123085</v>
      </c>
      <c r="B29" s="1" t="s">
        <v>663</v>
      </c>
      <c r="C29" s="7">
        <f>VLOOKUP(A29,可转债实时数据!$B$7:$D$195,3,FALSE)</f>
        <v>118.873</v>
      </c>
      <c r="D29" s="5" t="e">
        <f t="shared" si="0"/>
        <v>#N/A</v>
      </c>
      <c r="E29" s="5" t="e">
        <f t="shared" si="1"/>
        <v>#N/A</v>
      </c>
      <c r="H29" s="14">
        <v>27</v>
      </c>
      <c r="I29">
        <v>123044</v>
      </c>
      <c r="J29" t="s">
        <v>1171</v>
      </c>
      <c r="K29">
        <v>103.105</v>
      </c>
      <c r="L29" s="39">
        <v>7.6700000000000004E-2</v>
      </c>
      <c r="M29" s="17">
        <v>5.4927549999999998</v>
      </c>
      <c r="N29" s="5" t="str">
        <f t="shared" si="3"/>
        <v>未买</v>
      </c>
      <c r="Q29" s="14">
        <v>27</v>
      </c>
      <c r="R29" s="7">
        <v>123129</v>
      </c>
      <c r="S29" s="7" t="s">
        <v>1159</v>
      </c>
      <c r="T29" s="7">
        <v>139.99299999999999</v>
      </c>
      <c r="U29" s="39">
        <v>8.900000000000001E-2</v>
      </c>
      <c r="V29" s="17">
        <v>1.941565</v>
      </c>
      <c r="W29" s="5" t="str">
        <f t="shared" si="2"/>
        <v>未买</v>
      </c>
    </row>
    <row r="30" spans="1:23" x14ac:dyDescent="0.15">
      <c r="A30" s="1">
        <v>123089</v>
      </c>
      <c r="B30" s="1" t="s">
        <v>212</v>
      </c>
      <c r="C30" s="7">
        <f>VLOOKUP(A30,可转债实时数据!$B$7:$D$195,3,FALSE)</f>
        <v>121.23</v>
      </c>
      <c r="D30" s="5" t="e">
        <f t="shared" si="0"/>
        <v>#N/A</v>
      </c>
      <c r="E30" s="5" t="e">
        <f t="shared" si="1"/>
        <v>#N/A</v>
      </c>
      <c r="H30" s="14">
        <v>28</v>
      </c>
      <c r="I30">
        <v>123202</v>
      </c>
      <c r="J30" t="s">
        <v>1026</v>
      </c>
      <c r="K30">
        <v>135.04</v>
      </c>
      <c r="L30" s="39">
        <v>7.9100000000000004E-2</v>
      </c>
      <c r="M30" s="17">
        <v>4.5999999999999996</v>
      </c>
      <c r="N30" s="5" t="str">
        <f t="shared" si="3"/>
        <v>未买</v>
      </c>
      <c r="Q30" s="14">
        <v>28</v>
      </c>
      <c r="R30" s="7">
        <v>113628</v>
      </c>
      <c r="S30" s="7" t="s">
        <v>1006</v>
      </c>
      <c r="T30" s="7">
        <v>125.527</v>
      </c>
      <c r="U30" s="39">
        <v>9.4600000000000004E-2</v>
      </c>
      <c r="V30" s="17">
        <v>4.1492800000000001</v>
      </c>
      <c r="W30" s="5" t="str">
        <f t="shared" si="2"/>
        <v>未买</v>
      </c>
    </row>
    <row r="31" spans="1:23" x14ac:dyDescent="0.15">
      <c r="A31" s="1">
        <v>123098</v>
      </c>
      <c r="B31" s="1" t="s">
        <v>439</v>
      </c>
      <c r="C31" s="7" t="e">
        <f>VLOOKUP(A31,可转债实时数据!$B$7:$D$195,3,FALSE)</f>
        <v>#N/A</v>
      </c>
      <c r="D31" s="5" t="e">
        <f t="shared" si="0"/>
        <v>#N/A</v>
      </c>
      <c r="E31" s="5" t="e">
        <f t="shared" si="1"/>
        <v>#N/A</v>
      </c>
      <c r="H31" s="14">
        <v>29</v>
      </c>
      <c r="I31">
        <v>118028</v>
      </c>
      <c r="J31" t="s">
        <v>1096</v>
      </c>
      <c r="K31">
        <v>126.51</v>
      </c>
      <c r="L31" s="39">
        <v>8.0500000000000002E-2</v>
      </c>
      <c r="M31" s="17">
        <v>8.2998999999999992</v>
      </c>
      <c r="N31" s="5" t="str">
        <f t="shared" si="3"/>
        <v>未买</v>
      </c>
      <c r="Q31" s="14">
        <v>29</v>
      </c>
      <c r="R31" s="7">
        <v>113576</v>
      </c>
      <c r="S31" s="7" t="s">
        <v>1070</v>
      </c>
      <c r="T31" s="7">
        <v>96.4</v>
      </c>
      <c r="U31" s="39">
        <v>9.9299999999999999E-2</v>
      </c>
      <c r="V31" s="17">
        <v>2.58474</v>
      </c>
      <c r="W31" s="5" t="str">
        <f t="shared" si="2"/>
        <v>未买</v>
      </c>
    </row>
    <row r="32" spans="1:23" x14ac:dyDescent="0.15">
      <c r="A32" s="1">
        <v>123112</v>
      </c>
      <c r="B32" s="1" t="s">
        <v>63</v>
      </c>
      <c r="C32" s="7">
        <f>VLOOKUP(A32,可转债实时数据!$B$7:$D$195,3,FALSE)</f>
        <v>141.863</v>
      </c>
      <c r="D32" s="5" t="e">
        <f t="shared" si="0"/>
        <v>#N/A</v>
      </c>
      <c r="E32" s="5" t="e">
        <f t="shared" si="1"/>
        <v>#N/A</v>
      </c>
      <c r="H32" s="14">
        <v>30</v>
      </c>
      <c r="I32">
        <v>110052</v>
      </c>
      <c r="J32" t="s">
        <v>759</v>
      </c>
      <c r="K32">
        <v>138.31399999999999</v>
      </c>
      <c r="L32" s="39">
        <v>8.09E-2</v>
      </c>
      <c r="M32" s="17">
        <v>2.64188</v>
      </c>
      <c r="N32" s="5" t="str">
        <f t="shared" si="3"/>
        <v>Yes</v>
      </c>
      <c r="Q32" s="14">
        <v>30</v>
      </c>
      <c r="R32" s="7">
        <v>123147</v>
      </c>
      <c r="S32" s="7" t="s">
        <v>437</v>
      </c>
      <c r="T32" s="7">
        <v>131.9</v>
      </c>
      <c r="U32" s="39">
        <v>0.10460000000000001</v>
      </c>
      <c r="V32" s="17">
        <v>5.7046939999999999</v>
      </c>
      <c r="W32" s="5" t="str">
        <f t="shared" si="2"/>
        <v>Yes</v>
      </c>
    </row>
    <row r="33" spans="1:23" x14ac:dyDescent="0.15">
      <c r="A33" s="1">
        <v>123141</v>
      </c>
      <c r="B33" s="1" t="s">
        <v>209</v>
      </c>
      <c r="C33" s="7">
        <f>VLOOKUP(A33,可转债实时数据!$B$7:$D$195,3,FALSE)</f>
        <v>125.4</v>
      </c>
      <c r="D33" s="5">
        <f t="shared" si="0"/>
        <v>38</v>
      </c>
      <c r="E33" s="5">
        <f t="shared" si="1"/>
        <v>32</v>
      </c>
      <c r="H33" s="14">
        <v>31</v>
      </c>
      <c r="I33">
        <v>123177</v>
      </c>
      <c r="J33" t="s">
        <v>1132</v>
      </c>
      <c r="K33">
        <v>149.499</v>
      </c>
      <c r="L33" s="39">
        <v>8.4900000000000003E-2</v>
      </c>
      <c r="M33" s="17">
        <v>2.4368310000000002</v>
      </c>
      <c r="N33" s="5" t="str">
        <f t="shared" si="3"/>
        <v>未买</v>
      </c>
      <c r="Q33" s="14">
        <v>31</v>
      </c>
      <c r="R33" s="7">
        <v>110060</v>
      </c>
      <c r="S33" s="7" t="s">
        <v>1176</v>
      </c>
      <c r="T33" s="7">
        <v>134.774</v>
      </c>
      <c r="U33" s="39">
        <v>0.10630000000000001</v>
      </c>
      <c r="V33" s="17">
        <v>5.6661799999999998</v>
      </c>
      <c r="W33" s="5" t="str">
        <f t="shared" si="2"/>
        <v>未买</v>
      </c>
    </row>
    <row r="34" spans="1:23" x14ac:dyDescent="0.15">
      <c r="A34" s="1">
        <v>123147</v>
      </c>
      <c r="B34" s="1" t="s">
        <v>437</v>
      </c>
      <c r="C34" s="7">
        <f>VLOOKUP(A34,可转债实时数据!$B$7:$D$195,3,FALSE)</f>
        <v>131.9</v>
      </c>
      <c r="D34" s="5">
        <f t="shared" si="0"/>
        <v>36</v>
      </c>
      <c r="E34" s="5">
        <f t="shared" si="1"/>
        <v>30</v>
      </c>
      <c r="H34" s="14">
        <v>32</v>
      </c>
      <c r="I34">
        <v>110084</v>
      </c>
      <c r="J34" t="s">
        <v>79</v>
      </c>
      <c r="K34">
        <v>122.99</v>
      </c>
      <c r="L34" s="39">
        <v>8.4900000000000003E-2</v>
      </c>
      <c r="M34" s="17">
        <v>9.15151</v>
      </c>
      <c r="N34" s="5" t="str">
        <f t="shared" si="3"/>
        <v>Yes</v>
      </c>
      <c r="Q34" s="14">
        <v>32</v>
      </c>
      <c r="R34" s="7">
        <v>123141</v>
      </c>
      <c r="S34" s="7" t="s">
        <v>209</v>
      </c>
      <c r="T34" s="7">
        <v>125.4</v>
      </c>
      <c r="U34" s="39">
        <v>0.1076</v>
      </c>
      <c r="V34" s="17">
        <v>3.2098330000000002</v>
      </c>
      <c r="W34" s="5" t="str">
        <f t="shared" si="2"/>
        <v>Yes</v>
      </c>
    </row>
    <row r="35" spans="1:23" x14ac:dyDescent="0.15">
      <c r="A35" s="1">
        <v>127007</v>
      </c>
      <c r="B35" s="1" t="s">
        <v>216</v>
      </c>
      <c r="C35" s="7" t="e">
        <f>VLOOKUP(A35,可转债实时数据!$B$7:$D$195,3,FALSE)</f>
        <v>#N/A</v>
      </c>
      <c r="D35" s="5" t="e">
        <f t="shared" ref="D35:D56" si="4">MATCH(A35,$I$1:$I$130,0)-2</f>
        <v>#N/A</v>
      </c>
      <c r="E35" s="5" t="e">
        <f t="shared" ref="E35:E56" si="5">MATCH(A35,$R$1:$R$43,0)-2</f>
        <v>#N/A</v>
      </c>
      <c r="H35" s="14">
        <v>33</v>
      </c>
      <c r="I35">
        <v>123129</v>
      </c>
      <c r="J35" t="s">
        <v>1159</v>
      </c>
      <c r="K35">
        <v>139.99299999999999</v>
      </c>
      <c r="L35" s="39">
        <v>8.900000000000001E-2</v>
      </c>
      <c r="M35" s="17">
        <v>1.941565</v>
      </c>
      <c r="N35" s="5" t="str">
        <f t="shared" si="3"/>
        <v>未买</v>
      </c>
      <c r="Q35" s="14">
        <v>33</v>
      </c>
      <c r="R35" s="7">
        <v>113027</v>
      </c>
      <c r="S35" s="7" t="s">
        <v>1178</v>
      </c>
      <c r="T35" s="7">
        <v>139.17099999999999</v>
      </c>
      <c r="U35" s="39">
        <v>0.1177</v>
      </c>
      <c r="V35" s="17">
        <v>2.3835500000000001</v>
      </c>
      <c r="W35" s="5" t="str">
        <f t="shared" si="2"/>
        <v>Yes</v>
      </c>
    </row>
    <row r="36" spans="1:23" x14ac:dyDescent="0.15">
      <c r="A36" s="1">
        <v>127028</v>
      </c>
      <c r="B36" s="1" t="s">
        <v>46</v>
      </c>
      <c r="C36" s="7">
        <f>VLOOKUP(A36,可转债实时数据!$B$7:$D$195,3,FALSE)</f>
        <v>134.38999999999999</v>
      </c>
      <c r="D36" s="5" t="e">
        <f t="shared" si="4"/>
        <v>#N/A</v>
      </c>
      <c r="E36" s="5" t="e">
        <f t="shared" si="5"/>
        <v>#N/A</v>
      </c>
      <c r="H36" s="14">
        <v>34</v>
      </c>
      <c r="I36">
        <v>113628</v>
      </c>
      <c r="J36" t="s">
        <v>1006</v>
      </c>
      <c r="K36">
        <v>125.527</v>
      </c>
      <c r="L36" s="39">
        <v>9.4600000000000004E-2</v>
      </c>
      <c r="M36" s="17">
        <v>4.1492800000000001</v>
      </c>
      <c r="N36" s="5" t="str">
        <f t="shared" si="3"/>
        <v>未买</v>
      </c>
      <c r="Q36" s="14">
        <v>34</v>
      </c>
      <c r="R36" s="7">
        <v>123025</v>
      </c>
      <c r="S36" s="7" t="s">
        <v>1022</v>
      </c>
      <c r="T36" s="7">
        <v>203</v>
      </c>
      <c r="U36" s="39">
        <v>0.11990000000000001</v>
      </c>
      <c r="V36" s="17">
        <v>3.0842489999999998</v>
      </c>
      <c r="W36" s="5" t="str">
        <f t="shared" si="2"/>
        <v>Yes</v>
      </c>
    </row>
    <row r="37" spans="1:23" x14ac:dyDescent="0.15">
      <c r="A37" s="1">
        <v>128017</v>
      </c>
      <c r="B37" s="1" t="s">
        <v>222</v>
      </c>
      <c r="C37" s="7" t="e">
        <f>VLOOKUP(A37,可转债实时数据!$B$7:$D$195,3,FALSE)</f>
        <v>#N/A</v>
      </c>
      <c r="D37" s="5" t="e">
        <f t="shared" si="4"/>
        <v>#N/A</v>
      </c>
      <c r="E37" s="5" t="e">
        <f t="shared" si="5"/>
        <v>#N/A</v>
      </c>
      <c r="H37" s="14">
        <v>35</v>
      </c>
      <c r="I37">
        <v>113576</v>
      </c>
      <c r="J37" t="s">
        <v>1070</v>
      </c>
      <c r="K37">
        <v>96.4</v>
      </c>
      <c r="L37" s="39">
        <v>9.9299999999999999E-2</v>
      </c>
      <c r="M37" s="17">
        <v>2.58474</v>
      </c>
      <c r="N37" s="5" t="str">
        <f t="shared" si="3"/>
        <v>未买</v>
      </c>
      <c r="Q37" s="14">
        <v>35</v>
      </c>
      <c r="R37" s="7">
        <v>128066</v>
      </c>
      <c r="S37" s="7" t="s">
        <v>1179</v>
      </c>
      <c r="T37" s="7">
        <v>119.90600000000001</v>
      </c>
      <c r="U37" s="39">
        <v>0.11990000000000001</v>
      </c>
      <c r="V37" s="17">
        <v>4.6103620000000003</v>
      </c>
      <c r="W37" s="5" t="str">
        <f t="shared" si="2"/>
        <v>未买</v>
      </c>
    </row>
    <row r="38" spans="1:23" x14ac:dyDescent="0.15">
      <c r="A38" s="1">
        <v>128021</v>
      </c>
      <c r="B38" s="1" t="s">
        <v>40</v>
      </c>
      <c r="C38" s="7" t="e">
        <f>VLOOKUP(A38,可转债实时数据!$B$7:$D$195,3,FALSE)</f>
        <v>#N/A</v>
      </c>
      <c r="D38" s="5" t="e">
        <f t="shared" si="4"/>
        <v>#N/A</v>
      </c>
      <c r="E38" s="5" t="e">
        <f t="shared" si="5"/>
        <v>#N/A</v>
      </c>
      <c r="H38" s="14">
        <v>36</v>
      </c>
      <c r="I38">
        <v>123147</v>
      </c>
      <c r="J38" t="s">
        <v>437</v>
      </c>
      <c r="K38">
        <v>131.9</v>
      </c>
      <c r="L38" s="39">
        <v>0.10460000000000001</v>
      </c>
      <c r="M38" s="17">
        <v>5.7046939999999999</v>
      </c>
      <c r="N38" s="5" t="str">
        <f t="shared" si="3"/>
        <v>Yes</v>
      </c>
      <c r="Q38" s="14">
        <v>36</v>
      </c>
      <c r="R38" s="7">
        <v>123050</v>
      </c>
      <c r="S38" s="7" t="s">
        <v>1048</v>
      </c>
      <c r="T38" s="7">
        <v>137.233</v>
      </c>
      <c r="U38" s="39">
        <v>0.1217</v>
      </c>
      <c r="V38" s="17">
        <v>3.7456649999999998</v>
      </c>
      <c r="W38" s="5" t="str">
        <f t="shared" si="2"/>
        <v>未买</v>
      </c>
    </row>
    <row r="39" spans="1:23" x14ac:dyDescent="0.15">
      <c r="A39" s="1">
        <v>128022</v>
      </c>
      <c r="B39" s="1" t="s">
        <v>69</v>
      </c>
      <c r="C39" s="7" t="e">
        <f>VLOOKUP(A39,可转债实时数据!$B$7:$D$195,3,FALSE)</f>
        <v>#N/A</v>
      </c>
      <c r="D39" s="5" t="e">
        <f t="shared" si="4"/>
        <v>#N/A</v>
      </c>
      <c r="E39" s="5" t="e">
        <f t="shared" si="5"/>
        <v>#N/A</v>
      </c>
      <c r="H39" s="14">
        <v>37</v>
      </c>
      <c r="I39">
        <v>110060</v>
      </c>
      <c r="J39" t="s">
        <v>1176</v>
      </c>
      <c r="K39">
        <v>134.774</v>
      </c>
      <c r="L39" s="39">
        <v>0.10630000000000001</v>
      </c>
      <c r="M39" s="17">
        <v>5.6661799999999998</v>
      </c>
      <c r="N39" s="5" t="str">
        <f t="shared" si="3"/>
        <v>未买</v>
      </c>
      <c r="Q39" s="14">
        <v>37</v>
      </c>
      <c r="R39" s="7">
        <v>123223</v>
      </c>
      <c r="S39" s="7" t="s">
        <v>1110</v>
      </c>
      <c r="T39" s="7">
        <v>190.62</v>
      </c>
      <c r="U39" s="39">
        <v>0.12689999999999999</v>
      </c>
      <c r="V39" s="17">
        <v>3.6</v>
      </c>
      <c r="W39" s="5" t="str">
        <f t="shared" si="2"/>
        <v>未买</v>
      </c>
    </row>
    <row r="40" spans="1:23" x14ac:dyDescent="0.15">
      <c r="A40" s="1">
        <v>128033</v>
      </c>
      <c r="B40" s="1" t="s">
        <v>48</v>
      </c>
      <c r="C40" s="7">
        <f>VLOOKUP(A40,可转债实时数据!$B$7:$D$195,3,FALSE)</f>
        <v>107.81</v>
      </c>
      <c r="D40" s="5">
        <f t="shared" si="4"/>
        <v>6</v>
      </c>
      <c r="E40" s="5">
        <f t="shared" si="5"/>
        <v>4</v>
      </c>
      <c r="H40" s="14">
        <v>38</v>
      </c>
      <c r="I40">
        <v>123141</v>
      </c>
      <c r="J40" t="s">
        <v>209</v>
      </c>
      <c r="K40">
        <v>125.4</v>
      </c>
      <c r="L40" s="39">
        <v>0.1076</v>
      </c>
      <c r="M40" s="17">
        <v>3.2098330000000002</v>
      </c>
      <c r="N40" s="5" t="str">
        <f t="shared" si="3"/>
        <v>Yes</v>
      </c>
      <c r="Q40" s="14">
        <v>38</v>
      </c>
      <c r="R40" s="7">
        <v>123099</v>
      </c>
      <c r="S40" s="7" t="s">
        <v>1199</v>
      </c>
      <c r="T40" s="7">
        <v>129.29599999999999</v>
      </c>
      <c r="U40" s="39">
        <v>0.127</v>
      </c>
      <c r="V40" s="17">
        <v>5.3118489999999996</v>
      </c>
      <c r="W40" s="5" t="str">
        <f t="shared" si="2"/>
        <v>未买</v>
      </c>
    </row>
    <row r="41" spans="1:23" x14ac:dyDescent="0.15">
      <c r="A41" s="7">
        <v>128037</v>
      </c>
      <c r="B41" s="7" t="s">
        <v>49</v>
      </c>
      <c r="C41" s="7" t="e">
        <f>VLOOKUP(A41,可转债实时数据!$B$7:$D$195,3,FALSE)</f>
        <v>#N/A</v>
      </c>
      <c r="D41" s="5" t="e">
        <f t="shared" si="4"/>
        <v>#N/A</v>
      </c>
      <c r="E41" s="5" t="e">
        <f t="shared" si="5"/>
        <v>#N/A</v>
      </c>
      <c r="H41" s="14">
        <v>39</v>
      </c>
      <c r="I41">
        <v>113027</v>
      </c>
      <c r="J41" t="s">
        <v>1178</v>
      </c>
      <c r="K41">
        <v>139.17099999999999</v>
      </c>
      <c r="L41" s="39">
        <v>0.1177</v>
      </c>
      <c r="M41" s="17">
        <v>2.3835500000000001</v>
      </c>
      <c r="N41" s="5" t="str">
        <f t="shared" si="3"/>
        <v>Yes</v>
      </c>
      <c r="Q41" s="14">
        <v>39</v>
      </c>
      <c r="R41" s="7">
        <v>127078</v>
      </c>
      <c r="S41" s="7" t="s">
        <v>738</v>
      </c>
      <c r="T41" s="7">
        <v>125.14</v>
      </c>
      <c r="U41" s="39">
        <v>0.12909999999999999</v>
      </c>
      <c r="V41" s="17">
        <v>5.9997040000000004</v>
      </c>
      <c r="W41" s="5" t="str">
        <f t="shared" si="2"/>
        <v>未买</v>
      </c>
    </row>
    <row r="42" spans="1:23" x14ac:dyDescent="0.15">
      <c r="A42" s="7">
        <v>128040</v>
      </c>
      <c r="B42" s="7" t="s">
        <v>39</v>
      </c>
      <c r="C42" s="7" t="e">
        <f>VLOOKUP(A42,可转债实时数据!$B$7:$D$195,3,FALSE)</f>
        <v>#N/A</v>
      </c>
      <c r="D42" s="5" t="e">
        <f t="shared" si="4"/>
        <v>#N/A</v>
      </c>
      <c r="E42" s="5" t="e">
        <f t="shared" si="5"/>
        <v>#N/A</v>
      </c>
      <c r="H42" s="14">
        <v>40</v>
      </c>
      <c r="I42">
        <v>128066</v>
      </c>
      <c r="J42" t="s">
        <v>1179</v>
      </c>
      <c r="K42">
        <v>119.90600000000001</v>
      </c>
      <c r="L42" s="39">
        <v>0.11990000000000001</v>
      </c>
      <c r="M42" s="17">
        <v>4.6103620000000003</v>
      </c>
      <c r="N42" s="5" t="str">
        <f t="shared" si="3"/>
        <v>未买</v>
      </c>
      <c r="Q42" s="14">
        <v>40</v>
      </c>
      <c r="R42" s="7">
        <v>128090</v>
      </c>
      <c r="S42" s="7" t="s">
        <v>61</v>
      </c>
      <c r="T42" s="7">
        <v>145.52000000000001</v>
      </c>
      <c r="U42" s="39">
        <v>0.13570000000000002</v>
      </c>
      <c r="V42" s="17">
        <v>3.0946189999999998</v>
      </c>
      <c r="W42" s="5" t="str">
        <f t="shared" si="2"/>
        <v>未买</v>
      </c>
    </row>
    <row r="43" spans="1:23" x14ac:dyDescent="0.15">
      <c r="A43" s="7">
        <v>128042</v>
      </c>
      <c r="B43" s="7" t="s">
        <v>72</v>
      </c>
      <c r="C43" s="7" t="e">
        <f>VLOOKUP(A43,可转债实时数据!$B$7:$D$195,3,FALSE)</f>
        <v>#N/A</v>
      </c>
      <c r="D43" s="5" t="e">
        <f t="shared" si="4"/>
        <v>#N/A</v>
      </c>
      <c r="E43" s="5" t="e">
        <f t="shared" si="5"/>
        <v>#N/A</v>
      </c>
      <c r="H43" s="14">
        <v>41</v>
      </c>
      <c r="I43">
        <v>123050</v>
      </c>
      <c r="J43" t="s">
        <v>1048</v>
      </c>
      <c r="K43">
        <v>137.233</v>
      </c>
      <c r="L43" s="39">
        <v>0.1217</v>
      </c>
      <c r="M43" s="17">
        <v>3.7456649999999998</v>
      </c>
      <c r="N43" s="5" t="str">
        <f t="shared" si="3"/>
        <v>未买</v>
      </c>
      <c r="Q43" s="14">
        <v>41</v>
      </c>
      <c r="R43" s="7">
        <v>123038</v>
      </c>
      <c r="S43" s="7" t="s">
        <v>1163</v>
      </c>
      <c r="T43" s="7">
        <v>156.935</v>
      </c>
      <c r="U43" s="39">
        <v>0.1394</v>
      </c>
      <c r="V43" s="17">
        <v>1.4714469999999999</v>
      </c>
      <c r="W43" s="5" t="str">
        <f t="shared" si="2"/>
        <v>未买</v>
      </c>
    </row>
    <row r="44" spans="1:23" x14ac:dyDescent="0.15">
      <c r="A44" s="7">
        <v>128049</v>
      </c>
      <c r="B44" s="7" t="s">
        <v>71</v>
      </c>
      <c r="C44" s="7" t="e">
        <f>VLOOKUP(A44,可转债实时数据!$B$7:$D$195,3,FALSE)</f>
        <v>#N/A</v>
      </c>
      <c r="D44" s="5" t="e">
        <f t="shared" si="4"/>
        <v>#N/A</v>
      </c>
      <c r="E44" s="5" t="e">
        <f t="shared" si="5"/>
        <v>#N/A</v>
      </c>
      <c r="H44" s="14">
        <v>42</v>
      </c>
      <c r="I44" s="7">
        <v>123223</v>
      </c>
      <c r="J44" s="7" t="s">
        <v>1110</v>
      </c>
      <c r="K44" s="7">
        <v>190.62</v>
      </c>
      <c r="L44" s="40">
        <v>0.12689999999999999</v>
      </c>
      <c r="M44" s="29">
        <v>3.6</v>
      </c>
      <c r="N44" s="5" t="str">
        <f>IF(ISNA(MATCH(I44,$A$3:$A$130,0)),"未买","Yes")</f>
        <v>未买</v>
      </c>
      <c r="Q44" s="14">
        <v>42</v>
      </c>
      <c r="R44" s="7">
        <v>128121</v>
      </c>
      <c r="S44" s="7" t="s">
        <v>720</v>
      </c>
      <c r="T44" s="7">
        <v>125.449</v>
      </c>
      <c r="U44" s="40">
        <v>0.14279999999999998</v>
      </c>
      <c r="V44" s="29">
        <v>6.697871000000001</v>
      </c>
      <c r="W44" s="5" t="str">
        <f t="shared" si="2"/>
        <v>未买</v>
      </c>
    </row>
    <row r="45" spans="1:23" x14ac:dyDescent="0.15">
      <c r="A45" s="7">
        <v>128075</v>
      </c>
      <c r="B45" s="7" t="s">
        <v>62</v>
      </c>
      <c r="C45" s="7" t="e">
        <f>VLOOKUP(A45,可转债实时数据!$B$7:$D$195,3,FALSE)</f>
        <v>#N/A</v>
      </c>
      <c r="D45" s="5" t="e">
        <f t="shared" si="4"/>
        <v>#N/A</v>
      </c>
      <c r="E45" s="5" t="e">
        <f t="shared" si="5"/>
        <v>#N/A</v>
      </c>
      <c r="H45" s="14">
        <v>43</v>
      </c>
      <c r="I45" s="7">
        <v>123099</v>
      </c>
      <c r="J45" s="7" t="s">
        <v>1199</v>
      </c>
      <c r="K45" s="7">
        <v>129.29599999999999</v>
      </c>
      <c r="L45" s="40">
        <v>0.127</v>
      </c>
      <c r="M45" s="29">
        <v>5.3118489999999996</v>
      </c>
      <c r="N45" s="5" t="str">
        <f t="shared" si="3"/>
        <v>未买</v>
      </c>
      <c r="Q45" s="14">
        <v>43</v>
      </c>
      <c r="R45" s="7">
        <v>123188</v>
      </c>
      <c r="S45" s="7" t="s">
        <v>761</v>
      </c>
      <c r="T45" s="7">
        <v>134.07300000000001</v>
      </c>
      <c r="U45" s="40">
        <v>0.14410000000000001</v>
      </c>
      <c r="V45" s="29">
        <v>6.9495170000000002</v>
      </c>
      <c r="W45" s="5" t="str">
        <f t="shared" si="2"/>
        <v>未买</v>
      </c>
    </row>
    <row r="46" spans="1:23" x14ac:dyDescent="0.15">
      <c r="A46" s="7">
        <v>128076</v>
      </c>
      <c r="B46" s="7" t="s">
        <v>65</v>
      </c>
      <c r="C46" s="7">
        <f>VLOOKUP(A46,可转债实时数据!$B$7:$D$195,3,FALSE)</f>
        <v>130.12100000000001</v>
      </c>
      <c r="D46" s="5" t="e">
        <f t="shared" si="4"/>
        <v>#N/A</v>
      </c>
      <c r="E46" s="5" t="e">
        <f t="shared" si="5"/>
        <v>#N/A</v>
      </c>
      <c r="H46" s="14">
        <v>44</v>
      </c>
      <c r="I46" s="7">
        <v>127078</v>
      </c>
      <c r="J46" s="7" t="s">
        <v>738</v>
      </c>
      <c r="K46" s="7">
        <v>125.14</v>
      </c>
      <c r="L46" s="40">
        <v>0.12909999999999999</v>
      </c>
      <c r="M46" s="29">
        <v>5.9997040000000004</v>
      </c>
      <c r="N46" s="5" t="str">
        <f t="shared" si="3"/>
        <v>未买</v>
      </c>
      <c r="Q46" s="14">
        <v>44</v>
      </c>
      <c r="R46" s="7">
        <v>123167</v>
      </c>
      <c r="S46" s="7" t="s">
        <v>724</v>
      </c>
      <c r="T46" s="7">
        <v>135.33000000000001</v>
      </c>
      <c r="U46" s="40">
        <v>0.1474</v>
      </c>
      <c r="V46" s="29">
        <v>3.9367960000000002</v>
      </c>
      <c r="W46" s="5" t="str">
        <f t="shared" si="2"/>
        <v>未买</v>
      </c>
    </row>
    <row r="47" spans="1:23" x14ac:dyDescent="0.15">
      <c r="A47" s="7">
        <v>128078</v>
      </c>
      <c r="B47" s="7" t="s">
        <v>440</v>
      </c>
      <c r="C47" s="7" t="e">
        <f>VLOOKUP(A47,可转债实时数据!$B$7:$D$195,3,FALSE)</f>
        <v>#N/A</v>
      </c>
      <c r="D47" s="5" t="e">
        <f t="shared" si="4"/>
        <v>#N/A</v>
      </c>
      <c r="E47" s="5" t="e">
        <f t="shared" si="5"/>
        <v>#N/A</v>
      </c>
      <c r="H47" s="14">
        <v>45</v>
      </c>
      <c r="I47" s="7">
        <v>128090</v>
      </c>
      <c r="J47" s="7" t="s">
        <v>61</v>
      </c>
      <c r="K47" s="7">
        <v>145.52000000000001</v>
      </c>
      <c r="L47" s="40">
        <v>0.13570000000000002</v>
      </c>
      <c r="M47" s="29">
        <v>3.0946189999999998</v>
      </c>
      <c r="N47" s="5" t="str">
        <f t="shared" si="3"/>
        <v>Yes</v>
      </c>
      <c r="Q47" s="14">
        <v>45</v>
      </c>
      <c r="R47" s="7">
        <v>111012</v>
      </c>
      <c r="S47" s="7" t="s">
        <v>747</v>
      </c>
      <c r="T47" s="7">
        <v>123.736</v>
      </c>
      <c r="U47" s="40">
        <v>0.1573</v>
      </c>
      <c r="V47" s="29">
        <v>4.2877400000000003</v>
      </c>
      <c r="W47" s="5" t="str">
        <f t="shared" si="2"/>
        <v>未买</v>
      </c>
    </row>
    <row r="48" spans="1:23" x14ac:dyDescent="0.15">
      <c r="A48" s="7">
        <v>128079</v>
      </c>
      <c r="B48" s="7" t="s">
        <v>53</v>
      </c>
      <c r="C48" s="7" t="e">
        <f>VLOOKUP(A48,可转债实时数据!$B$7:$D$195,3,FALSE)</f>
        <v>#N/A</v>
      </c>
      <c r="D48" s="5" t="e">
        <f t="shared" si="4"/>
        <v>#N/A</v>
      </c>
      <c r="E48" s="5" t="e">
        <f t="shared" si="5"/>
        <v>#N/A</v>
      </c>
      <c r="H48" s="14">
        <v>46</v>
      </c>
      <c r="I48" s="7">
        <v>123038</v>
      </c>
      <c r="J48" s="7" t="s">
        <v>1163</v>
      </c>
      <c r="K48" s="7">
        <v>156.935</v>
      </c>
      <c r="L48" s="40">
        <v>0.1394</v>
      </c>
      <c r="M48" s="29">
        <v>1.4714469999999999</v>
      </c>
      <c r="N48" s="5" t="str">
        <f t="shared" si="3"/>
        <v>未买</v>
      </c>
      <c r="Q48" s="14">
        <v>46</v>
      </c>
      <c r="R48" s="7">
        <v>110074</v>
      </c>
      <c r="S48" s="7" t="s">
        <v>746</v>
      </c>
      <c r="T48" s="7">
        <v>131.71600000000001</v>
      </c>
      <c r="U48" s="40">
        <v>0.15810000000000002</v>
      </c>
      <c r="V48" s="29">
        <v>5.09354</v>
      </c>
      <c r="W48" s="5" t="str">
        <f t="shared" si="2"/>
        <v>Yes</v>
      </c>
    </row>
    <row r="49" spans="1:23" x14ac:dyDescent="0.15">
      <c r="A49" s="7">
        <v>128082</v>
      </c>
      <c r="B49" s="7" t="s">
        <v>664</v>
      </c>
      <c r="C49" s="7">
        <f>VLOOKUP(A49,可转债实时数据!$B$7:$D$195,3,FALSE)</f>
        <v>155.94</v>
      </c>
      <c r="D49" s="5">
        <f t="shared" si="4"/>
        <v>2</v>
      </c>
      <c r="E49" s="5">
        <f t="shared" si="5"/>
        <v>1</v>
      </c>
      <c r="H49" s="14">
        <v>47</v>
      </c>
      <c r="I49" s="7">
        <v>128121</v>
      </c>
      <c r="J49" s="7" t="s">
        <v>720</v>
      </c>
      <c r="K49" s="7">
        <v>125.449</v>
      </c>
      <c r="L49" s="40">
        <v>0.14279999999999998</v>
      </c>
      <c r="M49" s="29">
        <v>6.697871000000001</v>
      </c>
      <c r="N49" s="5" t="str">
        <f t="shared" si="3"/>
        <v>未买</v>
      </c>
      <c r="Q49" s="14">
        <v>47</v>
      </c>
      <c r="R49" s="7">
        <v>113651</v>
      </c>
      <c r="S49" s="7" t="s">
        <v>689</v>
      </c>
      <c r="T49" s="7">
        <v>126.78100000000001</v>
      </c>
      <c r="U49" s="40">
        <v>0.15990000000000001</v>
      </c>
      <c r="V49" s="29">
        <v>6.0994799999999998</v>
      </c>
      <c r="W49" s="5" t="str">
        <f t="shared" si="2"/>
        <v>未买</v>
      </c>
    </row>
    <row r="50" spans="1:23" x14ac:dyDescent="0.15">
      <c r="A50" s="7">
        <v>128083</v>
      </c>
      <c r="B50" s="7" t="s">
        <v>70</v>
      </c>
      <c r="C50" s="7">
        <f>VLOOKUP(A50,可转债实时数据!$B$7:$D$195,3,FALSE)</f>
        <v>129.47800000000001</v>
      </c>
      <c r="D50" s="5">
        <f t="shared" si="4"/>
        <v>22</v>
      </c>
      <c r="E50" s="5" t="e">
        <f t="shared" si="5"/>
        <v>#N/A</v>
      </c>
      <c r="H50" s="14">
        <v>48</v>
      </c>
      <c r="I50" s="7">
        <v>123188</v>
      </c>
      <c r="J50" s="7" t="s">
        <v>761</v>
      </c>
      <c r="K50" s="7">
        <v>134.07300000000001</v>
      </c>
      <c r="L50" s="40">
        <v>0.14410000000000001</v>
      </c>
      <c r="M50" s="29">
        <v>6.9495170000000002</v>
      </c>
      <c r="N50" s="5" t="str">
        <f t="shared" si="3"/>
        <v>未买</v>
      </c>
      <c r="Q50" s="14">
        <v>48</v>
      </c>
      <c r="R50" s="7">
        <v>127028</v>
      </c>
      <c r="S50" s="7" t="s">
        <v>46</v>
      </c>
      <c r="T50" s="7">
        <v>134.38999999999999</v>
      </c>
      <c r="U50" s="40">
        <v>0.16020000000000001</v>
      </c>
      <c r="V50" s="29">
        <v>4.0626790000000002</v>
      </c>
      <c r="W50" s="5" t="str">
        <f t="shared" si="2"/>
        <v>Yes</v>
      </c>
    </row>
    <row r="51" spans="1:23" x14ac:dyDescent="0.15">
      <c r="A51" s="7">
        <v>128085</v>
      </c>
      <c r="B51" s="7" t="s">
        <v>213</v>
      </c>
      <c r="C51" s="7" t="e">
        <f>VLOOKUP(A51,可转债实时数据!$B$7:$D$195,3,FALSE)</f>
        <v>#N/A</v>
      </c>
      <c r="D51" s="5" t="e">
        <f t="shared" si="4"/>
        <v>#N/A</v>
      </c>
      <c r="E51" s="5" t="e">
        <f t="shared" si="5"/>
        <v>#N/A</v>
      </c>
      <c r="H51" s="14">
        <v>49</v>
      </c>
      <c r="I51" s="7">
        <v>123167</v>
      </c>
      <c r="J51" s="7" t="s">
        <v>724</v>
      </c>
      <c r="K51" s="7">
        <v>135.33000000000001</v>
      </c>
      <c r="L51" s="40">
        <v>0.1474</v>
      </c>
      <c r="M51" s="29">
        <v>3.9367960000000002</v>
      </c>
      <c r="N51" s="5" t="str">
        <f t="shared" si="3"/>
        <v>未买</v>
      </c>
      <c r="Q51" s="14">
        <v>49</v>
      </c>
      <c r="R51" s="7">
        <v>123160</v>
      </c>
      <c r="S51" s="7" t="s">
        <v>470</v>
      </c>
      <c r="T51" s="7">
        <v>122.523</v>
      </c>
      <c r="U51" s="40">
        <v>0.16079999999999997</v>
      </c>
      <c r="V51" s="29">
        <v>3.3488739999999999</v>
      </c>
      <c r="W51" s="5" t="str">
        <f t="shared" si="2"/>
        <v>未买</v>
      </c>
    </row>
    <row r="52" spans="1:23" x14ac:dyDescent="0.15">
      <c r="A52" s="7">
        <v>128087</v>
      </c>
      <c r="B52" s="7" t="s">
        <v>60</v>
      </c>
      <c r="C52" s="7">
        <f>VLOOKUP(A52,可转债实时数据!$B$7:$D$195,3,FALSE)</f>
        <v>124.76900000000001</v>
      </c>
      <c r="D52" s="5">
        <f t="shared" si="4"/>
        <v>15</v>
      </c>
      <c r="E52" s="5">
        <f t="shared" si="5"/>
        <v>13</v>
      </c>
      <c r="H52" s="14">
        <v>50</v>
      </c>
      <c r="I52" s="7">
        <v>111017</v>
      </c>
      <c r="J52" s="7" t="s">
        <v>1115</v>
      </c>
      <c r="K52" s="7">
        <v>128.04</v>
      </c>
      <c r="L52" s="40">
        <v>0.14779999999999999</v>
      </c>
      <c r="M52" s="29">
        <v>8.6999999999999993</v>
      </c>
      <c r="N52" s="5" t="str">
        <f t="shared" si="3"/>
        <v>未买</v>
      </c>
      <c r="Q52" s="14">
        <v>50</v>
      </c>
      <c r="R52" s="7">
        <v>113532</v>
      </c>
      <c r="S52" s="7" t="s">
        <v>1181</v>
      </c>
      <c r="T52" s="7">
        <v>119.021</v>
      </c>
      <c r="U52" s="40">
        <v>0.16190000000000002</v>
      </c>
      <c r="V52" s="29">
        <v>4.5847199999999999</v>
      </c>
      <c r="W52" s="5" t="str">
        <f t="shared" si="2"/>
        <v>未买</v>
      </c>
    </row>
    <row r="53" spans="1:23" x14ac:dyDescent="0.15">
      <c r="A53" s="7">
        <v>128090</v>
      </c>
      <c r="B53" s="7" t="s">
        <v>61</v>
      </c>
      <c r="C53" s="7">
        <f>VLOOKUP(A53,可转债实时数据!$B$7:$D$195,3,FALSE)</f>
        <v>145.52000000000001</v>
      </c>
      <c r="D53" s="5">
        <f t="shared" si="4"/>
        <v>45</v>
      </c>
      <c r="E53" s="5">
        <f t="shared" si="5"/>
        <v>40</v>
      </c>
    </row>
    <row r="54" spans="1:23" x14ac:dyDescent="0.15">
      <c r="A54" s="7">
        <v>128091</v>
      </c>
      <c r="B54" s="7" t="s">
        <v>214</v>
      </c>
      <c r="C54" s="7">
        <f>VLOOKUP(A54,可转债实时数据!$B$7:$D$195,3,FALSE)</f>
        <v>164.16499999999999</v>
      </c>
      <c r="D54" s="5">
        <f t="shared" si="4"/>
        <v>21</v>
      </c>
      <c r="E54" s="5">
        <f t="shared" si="5"/>
        <v>18</v>
      </c>
    </row>
    <row r="55" spans="1:23" x14ac:dyDescent="0.15">
      <c r="A55" s="7">
        <v>128119</v>
      </c>
      <c r="B55" s="7" t="s">
        <v>74</v>
      </c>
      <c r="C55" s="7" t="e">
        <f>VLOOKUP(A55,可转债实时数据!$B$7:$D$195,3,FALSE)</f>
        <v>#N/A</v>
      </c>
      <c r="D55" s="5" t="e">
        <f t="shared" si="4"/>
        <v>#N/A</v>
      </c>
      <c r="E55" s="5" t="e">
        <f t="shared" si="5"/>
        <v>#N/A</v>
      </c>
    </row>
    <row r="56" spans="1:23" x14ac:dyDescent="0.15">
      <c r="A56" s="7">
        <v>128145</v>
      </c>
      <c r="B56" s="7" t="s">
        <v>466</v>
      </c>
      <c r="C56" s="7" t="e">
        <f>VLOOKUP(A56,可转债实时数据!$B$7:$D$195,3,FALSE)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12" activePane="bottomLeft" state="frozen"/>
      <selection pane="bottomLeft" activeCell="M16" sqref="M16"/>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81</v>
      </c>
      <c r="B1" s="8"/>
      <c r="C1" s="35" t="s">
        <v>421</v>
      </c>
      <c r="D1" s="12"/>
      <c r="E1" s="12"/>
      <c r="I1" s="8" t="s">
        <v>406</v>
      </c>
      <c r="J1" s="8"/>
      <c r="K1" s="30" t="s">
        <v>407</v>
      </c>
      <c r="L1" s="37"/>
      <c r="M1" s="30"/>
      <c r="N1" s="30"/>
      <c r="O1" s="30"/>
      <c r="P1" s="30"/>
      <c r="S1" s="8" t="s">
        <v>675</v>
      </c>
      <c r="V1" s="7"/>
      <c r="W1" s="7"/>
    </row>
    <row r="2" spans="1:24" s="6" customFormat="1" x14ac:dyDescent="0.15">
      <c r="A2" s="6" t="s">
        <v>45</v>
      </c>
      <c r="B2" s="6" t="s">
        <v>44</v>
      </c>
      <c r="C2" s="6" t="s">
        <v>398</v>
      </c>
      <c r="D2" s="4" t="s">
        <v>667</v>
      </c>
      <c r="E2" s="4" t="s">
        <v>668</v>
      </c>
      <c r="H2" s="15"/>
      <c r="I2" s="6" t="s">
        <v>400</v>
      </c>
      <c r="J2" s="6" t="s">
        <v>401</v>
      </c>
      <c r="K2" s="6" t="s">
        <v>398</v>
      </c>
      <c r="L2" s="38" t="s">
        <v>29</v>
      </c>
      <c r="M2" s="6" t="s">
        <v>402</v>
      </c>
      <c r="N2" s="28" t="s">
        <v>403</v>
      </c>
      <c r="O2" s="4" t="s">
        <v>76</v>
      </c>
      <c r="R2" s="15"/>
      <c r="S2" s="6" t="s">
        <v>400</v>
      </c>
      <c r="T2" s="6" t="s">
        <v>401</v>
      </c>
      <c r="U2" s="6" t="s">
        <v>398</v>
      </c>
      <c r="V2" s="38" t="s">
        <v>29</v>
      </c>
      <c r="W2" s="28" t="s">
        <v>403</v>
      </c>
      <c r="X2" s="4" t="s">
        <v>76</v>
      </c>
    </row>
    <row r="3" spans="1:24" s="3" customFormat="1" x14ac:dyDescent="0.15">
      <c r="A3" s="3">
        <v>123014</v>
      </c>
      <c r="B3" s="3" t="s">
        <v>42</v>
      </c>
      <c r="C3" s="3" t="e">
        <f>VLOOKUP(A3,可转债实时数据!$B$7:$D$195,3,FALSE)</f>
        <v>#N/A</v>
      </c>
      <c r="D3" s="5" t="e">
        <f t="shared" ref="D3:D16" si="0">MATCH(A3,$I$1:$I$290,0)-2</f>
        <v>#N/A</v>
      </c>
      <c r="E3" s="5" t="e">
        <f t="shared" ref="E3:E16" si="1">MATCH(A3,$S$1:$S$44,0)-2</f>
        <v>#N/A</v>
      </c>
      <c r="H3" s="16">
        <v>1</v>
      </c>
      <c r="I3">
        <v>113595</v>
      </c>
      <c r="J3" t="s">
        <v>67</v>
      </c>
      <c r="K3">
        <v>101.925</v>
      </c>
      <c r="L3" s="39">
        <v>8.0000000000000002E-3</v>
      </c>
      <c r="M3">
        <v>102.72499999999999</v>
      </c>
      <c r="N3" s="17">
        <v>2.2404299999999999</v>
      </c>
      <c r="O3" s="5" t="str">
        <f t="shared" ref="O3:O30" si="2">IF(ISNA(MATCH(I3,$A$3:$A$290,0)),"未买","Yes")</f>
        <v>未买</v>
      </c>
      <c r="R3" s="16">
        <v>1</v>
      </c>
      <c r="S3" s="7">
        <v>113595</v>
      </c>
      <c r="T3" s="7" t="s">
        <v>67</v>
      </c>
      <c r="U3" s="7">
        <v>101.925</v>
      </c>
      <c r="V3" s="39">
        <v>8.0000000000000002E-3</v>
      </c>
      <c r="W3" s="17">
        <v>2.2404299999999999</v>
      </c>
      <c r="X3" s="5" t="str">
        <f t="shared" ref="X3:X28" si="3">IF(ISNA(MATCH(S3,$A$3:$A$290,0)),"未买","Yes")</f>
        <v>未买</v>
      </c>
    </row>
    <row r="4" spans="1:24" s="3" customFormat="1" x14ac:dyDescent="0.15">
      <c r="A4" s="3">
        <v>123025</v>
      </c>
      <c r="B4" s="3" t="s">
        <v>47</v>
      </c>
      <c r="C4" s="3">
        <f>VLOOKUP(A4,可转债实时数据!$B$7:$D$195,3,FALSE)</f>
        <v>203</v>
      </c>
      <c r="D4" s="5" t="e">
        <f t="shared" si="0"/>
        <v>#N/A</v>
      </c>
      <c r="E4" s="5" t="e">
        <f t="shared" si="1"/>
        <v>#N/A</v>
      </c>
      <c r="H4" s="16">
        <v>2</v>
      </c>
      <c r="I4">
        <v>113576</v>
      </c>
      <c r="J4" t="s">
        <v>1070</v>
      </c>
      <c r="K4">
        <v>96.4</v>
      </c>
      <c r="L4" s="39">
        <v>9.9299999999999999E-2</v>
      </c>
      <c r="M4">
        <v>106.33000000000001</v>
      </c>
      <c r="N4" s="17">
        <v>2.58474</v>
      </c>
      <c r="O4" s="5" t="str">
        <f t="shared" si="2"/>
        <v>未买</v>
      </c>
      <c r="R4" s="16">
        <v>2</v>
      </c>
      <c r="S4" s="7">
        <v>128033</v>
      </c>
      <c r="T4" s="7" t="s">
        <v>1164</v>
      </c>
      <c r="U4" s="7">
        <v>107.81</v>
      </c>
      <c r="V4" s="39">
        <v>1.7399999999999999E-2</v>
      </c>
      <c r="W4" s="17">
        <v>2.5758719999999999</v>
      </c>
      <c r="X4" s="5" t="str">
        <f t="shared" si="3"/>
        <v>Yes</v>
      </c>
    </row>
    <row r="5" spans="1:24" x14ac:dyDescent="0.15">
      <c r="A5" s="7">
        <v>123052</v>
      </c>
      <c r="B5" s="7" t="s">
        <v>210</v>
      </c>
      <c r="C5" s="3">
        <f>VLOOKUP(A5,可转债实时数据!$B$7:$D$195,3,FALSE)</f>
        <v>144.56</v>
      </c>
      <c r="D5" s="5" t="e">
        <f t="shared" si="0"/>
        <v>#N/A</v>
      </c>
      <c r="E5" s="5" t="e">
        <f t="shared" si="1"/>
        <v>#N/A</v>
      </c>
      <c r="H5" s="16">
        <v>3</v>
      </c>
      <c r="I5">
        <v>128033</v>
      </c>
      <c r="J5" t="s">
        <v>1164</v>
      </c>
      <c r="K5">
        <v>107.81</v>
      </c>
      <c r="L5" s="39">
        <v>1.7399999999999999E-2</v>
      </c>
      <c r="M5">
        <v>109.55</v>
      </c>
      <c r="N5" s="17">
        <v>2.5758719999999999</v>
      </c>
      <c r="O5" s="5" t="str">
        <f t="shared" si="2"/>
        <v>Yes</v>
      </c>
      <c r="R5" s="16">
        <v>3</v>
      </c>
      <c r="S5" s="7">
        <v>118017</v>
      </c>
      <c r="T5" s="7" t="s">
        <v>1193</v>
      </c>
      <c r="U5" s="7">
        <v>145.78</v>
      </c>
      <c r="V5" s="39">
        <v>1.9799999999999998E-2</v>
      </c>
      <c r="W5" s="17">
        <v>3.59998</v>
      </c>
      <c r="X5" s="5" t="str">
        <f t="shared" si="3"/>
        <v>未买</v>
      </c>
    </row>
    <row r="6" spans="1:24" x14ac:dyDescent="0.15">
      <c r="A6" s="7">
        <v>123061</v>
      </c>
      <c r="B6" s="7" t="s">
        <v>54</v>
      </c>
      <c r="C6" s="3">
        <f>VLOOKUP(A6,可转债实时数据!$B$7:$D$195,3,FALSE)</f>
        <v>124.69499999999999</v>
      </c>
      <c r="D6" s="5" t="e">
        <f t="shared" si="0"/>
        <v>#N/A</v>
      </c>
      <c r="E6" s="5" t="e">
        <f t="shared" si="1"/>
        <v>#N/A</v>
      </c>
      <c r="H6" s="16">
        <v>4</v>
      </c>
      <c r="I6">
        <v>128030</v>
      </c>
      <c r="J6" t="s">
        <v>1174</v>
      </c>
      <c r="K6">
        <v>127.399</v>
      </c>
      <c r="L6" s="39">
        <v>5.7500000000000002E-2</v>
      </c>
      <c r="M6">
        <v>133.149</v>
      </c>
      <c r="N6" s="17">
        <v>0.79018600000000006</v>
      </c>
      <c r="O6" s="5" t="str">
        <f t="shared" si="2"/>
        <v>未买</v>
      </c>
      <c r="R6" s="16">
        <v>4</v>
      </c>
      <c r="S6" s="7">
        <v>123096</v>
      </c>
      <c r="T6" s="7" t="s">
        <v>1155</v>
      </c>
      <c r="U6" s="7">
        <v>105.28</v>
      </c>
      <c r="V6" s="39">
        <v>2.1000000000000001E-2</v>
      </c>
      <c r="W6" s="17">
        <v>6.5940399999999997</v>
      </c>
      <c r="X6" s="5" t="str">
        <f t="shared" si="3"/>
        <v>未买</v>
      </c>
    </row>
    <row r="7" spans="1:24" x14ac:dyDescent="0.15">
      <c r="A7" s="7">
        <v>123080</v>
      </c>
      <c r="B7" s="7" t="s">
        <v>41</v>
      </c>
      <c r="C7" s="3">
        <f>VLOOKUP(A7,可转债实时数据!$B$7:$D$195,3,FALSE)</f>
        <v>135.43299999999999</v>
      </c>
      <c r="D7" s="5">
        <f t="shared" si="0"/>
        <v>45</v>
      </c>
      <c r="E7" s="5" t="e">
        <f t="shared" si="1"/>
        <v>#N/A</v>
      </c>
      <c r="H7" s="16">
        <v>5</v>
      </c>
      <c r="I7">
        <v>123141</v>
      </c>
      <c r="J7" t="s">
        <v>209</v>
      </c>
      <c r="K7">
        <v>125.4</v>
      </c>
      <c r="L7" s="39">
        <v>0.1076</v>
      </c>
      <c r="M7">
        <v>136.16</v>
      </c>
      <c r="N7" s="17">
        <v>3.2098330000000002</v>
      </c>
      <c r="O7" s="5" t="str">
        <f t="shared" si="2"/>
        <v>Yes</v>
      </c>
      <c r="R7" s="16">
        <v>5</v>
      </c>
      <c r="S7" s="7">
        <v>113594</v>
      </c>
      <c r="T7" s="7" t="s">
        <v>758</v>
      </c>
      <c r="U7" s="7">
        <v>138.84299999999999</v>
      </c>
      <c r="V7" s="39">
        <v>2.87E-2</v>
      </c>
      <c r="W7" s="17">
        <v>2.9956200000000002</v>
      </c>
      <c r="X7" s="5" t="str">
        <f t="shared" si="3"/>
        <v>未买</v>
      </c>
    </row>
    <row r="8" spans="1:24" x14ac:dyDescent="0.15">
      <c r="A8" s="7">
        <v>123082</v>
      </c>
      <c r="B8" s="7" t="s">
        <v>50</v>
      </c>
      <c r="C8" s="3">
        <f>VLOOKUP(A8,可转债实时数据!$B$7:$D$195,3,FALSE)</f>
        <v>117.581</v>
      </c>
      <c r="D8" s="5" t="e">
        <f t="shared" si="0"/>
        <v>#N/A</v>
      </c>
      <c r="E8" s="5" t="e">
        <f t="shared" si="1"/>
        <v>#N/A</v>
      </c>
      <c r="H8" s="16">
        <v>6</v>
      </c>
      <c r="I8">
        <v>123160</v>
      </c>
      <c r="J8" t="s">
        <v>470</v>
      </c>
      <c r="K8">
        <v>122.523</v>
      </c>
      <c r="L8" s="39">
        <v>0.16079999999999997</v>
      </c>
      <c r="M8">
        <v>138.60300000000001</v>
      </c>
      <c r="N8" s="17">
        <v>3.3488739999999999</v>
      </c>
      <c r="O8" s="5" t="str">
        <f t="shared" si="2"/>
        <v>Yes</v>
      </c>
      <c r="R8" s="16">
        <v>6</v>
      </c>
      <c r="S8" s="7">
        <v>127053</v>
      </c>
      <c r="T8" s="7" t="s">
        <v>1134</v>
      </c>
      <c r="U8" s="7">
        <v>146.61000000000001</v>
      </c>
      <c r="V8" s="39">
        <v>2.9600000000000001E-2</v>
      </c>
      <c r="W8" s="17">
        <v>4.8172750000000004</v>
      </c>
      <c r="X8" s="5" t="str">
        <f t="shared" si="3"/>
        <v>未买</v>
      </c>
    </row>
    <row r="9" spans="1:24" s="3" customFormat="1" x14ac:dyDescent="0.15">
      <c r="A9" s="7">
        <v>123089</v>
      </c>
      <c r="B9" s="7" t="s">
        <v>212</v>
      </c>
      <c r="C9" s="3">
        <f>VLOOKUP(A9,可转债实时数据!$B$7:$D$195,3,FALSE)</f>
        <v>121.23</v>
      </c>
      <c r="D9" s="5">
        <f t="shared" si="0"/>
        <v>12</v>
      </c>
      <c r="E9" s="5" t="e">
        <f t="shared" si="1"/>
        <v>#N/A</v>
      </c>
      <c r="H9" s="16">
        <v>7</v>
      </c>
      <c r="I9">
        <v>118016</v>
      </c>
      <c r="J9" t="s">
        <v>467</v>
      </c>
      <c r="K9">
        <v>117.523</v>
      </c>
      <c r="L9" s="39">
        <v>0.2303</v>
      </c>
      <c r="M9">
        <v>140.553</v>
      </c>
      <c r="N9" s="17">
        <v>3.32497</v>
      </c>
      <c r="O9" s="5" t="str">
        <f t="shared" si="2"/>
        <v>未买</v>
      </c>
      <c r="R9" s="16">
        <v>7</v>
      </c>
      <c r="S9" s="7">
        <v>123127</v>
      </c>
      <c r="T9" s="7" t="s">
        <v>57</v>
      </c>
      <c r="U9" s="7">
        <v>139.38900000000001</v>
      </c>
      <c r="V9" s="39">
        <v>4.2000000000000003E-2</v>
      </c>
      <c r="W9" s="17">
        <v>3.9971580000000002</v>
      </c>
      <c r="X9" s="5" t="str">
        <f t="shared" si="3"/>
        <v>Yes</v>
      </c>
    </row>
    <row r="10" spans="1:24" x14ac:dyDescent="0.15">
      <c r="A10" s="7">
        <v>123098</v>
      </c>
      <c r="B10" s="7" t="s">
        <v>439</v>
      </c>
      <c r="C10" s="3" t="e">
        <f>VLOOKUP(A10,可转债实时数据!$B$7:$D$195,3,FALSE)</f>
        <v>#N/A</v>
      </c>
      <c r="D10" s="5" t="e">
        <f t="shared" si="0"/>
        <v>#N/A</v>
      </c>
      <c r="E10" s="5" t="e">
        <f t="shared" si="1"/>
        <v>#N/A</v>
      </c>
      <c r="H10" s="16">
        <v>8</v>
      </c>
      <c r="I10">
        <v>123166</v>
      </c>
      <c r="J10" t="s">
        <v>681</v>
      </c>
      <c r="K10">
        <v>117.514</v>
      </c>
      <c r="L10" s="39">
        <v>0.2341</v>
      </c>
      <c r="M10">
        <v>140.92400000000001</v>
      </c>
      <c r="N10" s="17">
        <v>2.9999630000000002</v>
      </c>
      <c r="O10" s="5" t="str">
        <f t="shared" si="2"/>
        <v>Yes</v>
      </c>
      <c r="R10" s="16">
        <v>8</v>
      </c>
      <c r="S10" s="7">
        <v>128087</v>
      </c>
      <c r="T10" s="7" t="s">
        <v>60</v>
      </c>
      <c r="U10" s="7">
        <v>124.76900000000001</v>
      </c>
      <c r="V10" s="39">
        <v>4.8600000000000004E-2</v>
      </c>
      <c r="W10" s="17">
        <v>6.4427640000000004</v>
      </c>
      <c r="X10" s="5" t="str">
        <f t="shared" si="3"/>
        <v>Yes</v>
      </c>
    </row>
    <row r="11" spans="1:24" x14ac:dyDescent="0.15">
      <c r="A11" s="7">
        <v>123100</v>
      </c>
      <c r="B11" s="7" t="s">
        <v>56</v>
      </c>
      <c r="C11" s="3">
        <f>VLOOKUP(A11,可转债实时数据!$B$7:$D$195,3,FALSE)</f>
        <v>117.211</v>
      </c>
      <c r="D11" s="5">
        <f t="shared" si="0"/>
        <v>18</v>
      </c>
      <c r="E11" s="5" t="e">
        <f t="shared" si="1"/>
        <v>#N/A</v>
      </c>
      <c r="H11" s="16">
        <v>9</v>
      </c>
      <c r="I11">
        <v>113594</v>
      </c>
      <c r="J11" t="s">
        <v>758</v>
      </c>
      <c r="K11">
        <v>138.84299999999999</v>
      </c>
      <c r="L11" s="39">
        <v>2.87E-2</v>
      </c>
      <c r="M11">
        <v>141.71299999999999</v>
      </c>
      <c r="N11" s="17">
        <v>2.9956200000000002</v>
      </c>
      <c r="O11" s="5" t="str">
        <f t="shared" si="2"/>
        <v>未买</v>
      </c>
      <c r="R11" s="16">
        <v>9</v>
      </c>
      <c r="S11" s="7">
        <v>128030</v>
      </c>
      <c r="T11" s="7" t="s">
        <v>1174</v>
      </c>
      <c r="U11" s="7">
        <v>127.399</v>
      </c>
      <c r="V11" s="39">
        <v>5.7500000000000002E-2</v>
      </c>
      <c r="W11" s="17">
        <v>0.79018600000000006</v>
      </c>
      <c r="X11" s="5" t="str">
        <f t="shared" si="3"/>
        <v>未买</v>
      </c>
    </row>
    <row r="12" spans="1:24" x14ac:dyDescent="0.15">
      <c r="A12" s="7">
        <v>123112</v>
      </c>
      <c r="B12" s="7" t="s">
        <v>63</v>
      </c>
      <c r="C12" s="3">
        <f>VLOOKUP(A12,可转债实时数据!$B$7:$D$195,3,FALSE)</f>
        <v>141.863</v>
      </c>
      <c r="D12" s="5" t="e">
        <f t="shared" si="0"/>
        <v>#N/A</v>
      </c>
      <c r="E12" s="5">
        <f t="shared" si="1"/>
        <v>41</v>
      </c>
      <c r="H12" s="16">
        <v>10</v>
      </c>
      <c r="I12">
        <v>123127</v>
      </c>
      <c r="J12" t="s">
        <v>57</v>
      </c>
      <c r="K12">
        <v>139.38900000000001</v>
      </c>
      <c r="L12" s="39">
        <v>4.2000000000000003E-2</v>
      </c>
      <c r="M12">
        <v>143.589</v>
      </c>
      <c r="N12" s="17">
        <v>3.9971580000000002</v>
      </c>
      <c r="O12" s="5" t="str">
        <f t="shared" si="2"/>
        <v>Yes</v>
      </c>
      <c r="R12" s="16">
        <v>10</v>
      </c>
      <c r="S12" s="7">
        <v>123187</v>
      </c>
      <c r="T12" s="7" t="s">
        <v>1129</v>
      </c>
      <c r="U12" s="7">
        <v>128.1</v>
      </c>
      <c r="V12" s="39">
        <v>6.2100000000000002E-2</v>
      </c>
      <c r="W12" s="17">
        <v>4.5301070000000001</v>
      </c>
      <c r="X12" s="5" t="str">
        <f t="shared" si="3"/>
        <v>未买</v>
      </c>
    </row>
    <row r="13" spans="1:24" x14ac:dyDescent="0.15">
      <c r="A13" s="7">
        <v>123127</v>
      </c>
      <c r="B13" s="7" t="s">
        <v>57</v>
      </c>
      <c r="C13" s="3">
        <f>VLOOKUP(A13,可转债实时数据!$B$7:$D$195,3,FALSE)</f>
        <v>139.38900000000001</v>
      </c>
      <c r="D13" s="5">
        <f t="shared" si="0"/>
        <v>10</v>
      </c>
      <c r="E13" s="5">
        <f t="shared" si="1"/>
        <v>7</v>
      </c>
      <c r="H13" s="16">
        <v>11</v>
      </c>
      <c r="I13">
        <v>123156</v>
      </c>
      <c r="J13" t="s">
        <v>760</v>
      </c>
      <c r="K13">
        <v>117.782</v>
      </c>
      <c r="L13" s="39">
        <v>0.2616</v>
      </c>
      <c r="M13">
        <v>143.94200000000001</v>
      </c>
      <c r="N13" s="17">
        <v>3.969519</v>
      </c>
      <c r="O13" s="5" t="str">
        <f t="shared" si="2"/>
        <v>未买</v>
      </c>
      <c r="R13" s="16">
        <v>11</v>
      </c>
      <c r="S13" s="7">
        <v>128062</v>
      </c>
      <c r="T13" s="7" t="s">
        <v>1180</v>
      </c>
      <c r="U13" s="7">
        <v>116</v>
      </c>
      <c r="V13" s="39">
        <v>7.0999999999999994E-2</v>
      </c>
      <c r="W13" s="17">
        <v>6.5678210000000012</v>
      </c>
      <c r="X13" s="5" t="str">
        <f t="shared" si="3"/>
        <v>未买</v>
      </c>
    </row>
    <row r="14" spans="1:24" x14ac:dyDescent="0.15">
      <c r="A14" s="7">
        <v>123129</v>
      </c>
      <c r="B14" s="7" t="s">
        <v>75</v>
      </c>
      <c r="C14" s="3">
        <f>VLOOKUP(A14,可转债实时数据!$B$7:$D$195,3,FALSE)</f>
        <v>139.99299999999999</v>
      </c>
      <c r="D14" s="5">
        <f t="shared" si="0"/>
        <v>20</v>
      </c>
      <c r="E14" s="5">
        <f t="shared" si="1"/>
        <v>18</v>
      </c>
      <c r="H14" s="16">
        <v>12</v>
      </c>
      <c r="I14">
        <v>123089</v>
      </c>
      <c r="J14" t="s">
        <v>723</v>
      </c>
      <c r="K14">
        <v>121.23</v>
      </c>
      <c r="L14" s="39">
        <v>0.23230000000000001</v>
      </c>
      <c r="M14">
        <v>144.46</v>
      </c>
      <c r="N14" s="17">
        <v>3.0604269999999998</v>
      </c>
      <c r="O14" s="5" t="str">
        <f t="shared" si="2"/>
        <v>Yes</v>
      </c>
      <c r="R14" s="16">
        <v>12</v>
      </c>
      <c r="S14" s="7">
        <v>123221</v>
      </c>
      <c r="T14" s="7" t="s">
        <v>1056</v>
      </c>
      <c r="U14" s="7">
        <v>132.19999999999999</v>
      </c>
      <c r="V14" s="39">
        <v>7.3700000000000002E-2</v>
      </c>
      <c r="W14" s="17">
        <v>5</v>
      </c>
      <c r="X14" s="5" t="str">
        <f t="shared" si="3"/>
        <v>未买</v>
      </c>
    </row>
    <row r="15" spans="1:24" x14ac:dyDescent="0.15">
      <c r="A15" s="7">
        <v>123141</v>
      </c>
      <c r="B15" s="7" t="s">
        <v>209</v>
      </c>
      <c r="C15" s="3">
        <f>VLOOKUP(A15,可转债实时数据!$B$7:$D$195,3,FALSE)</f>
        <v>125.4</v>
      </c>
      <c r="D15" s="5">
        <f t="shared" si="0"/>
        <v>5</v>
      </c>
      <c r="E15" s="5">
        <f t="shared" si="1"/>
        <v>23</v>
      </c>
      <c r="H15" s="16">
        <v>13</v>
      </c>
      <c r="I15">
        <v>113546</v>
      </c>
      <c r="J15" t="s">
        <v>51</v>
      </c>
      <c r="K15">
        <v>128.57499999999999</v>
      </c>
      <c r="L15" s="39">
        <v>0.16899999999999998</v>
      </c>
      <c r="M15">
        <v>145.47499999999999</v>
      </c>
      <c r="N15" s="17">
        <v>2.29569</v>
      </c>
      <c r="O15" s="5" t="str">
        <f t="shared" si="2"/>
        <v>未买</v>
      </c>
      <c r="R15" s="16">
        <v>13</v>
      </c>
      <c r="S15" s="7">
        <v>111011</v>
      </c>
      <c r="T15" s="7" t="s">
        <v>749</v>
      </c>
      <c r="U15" s="7">
        <v>133.053</v>
      </c>
      <c r="V15" s="39">
        <v>7.5300000000000006E-2</v>
      </c>
      <c r="W15" s="17">
        <v>6.0157800000000003</v>
      </c>
      <c r="X15" s="5" t="str">
        <f t="shared" si="3"/>
        <v>未买</v>
      </c>
    </row>
    <row r="16" spans="1:24" x14ac:dyDescent="0.15">
      <c r="A16" s="7">
        <v>123146</v>
      </c>
      <c r="B16" s="7" t="s">
        <v>399</v>
      </c>
      <c r="C16" s="3">
        <f>VLOOKUP(A16,可转债实时数据!$B$7:$D$195,3,FALSE)</f>
        <v>111.339</v>
      </c>
      <c r="D16" s="5" t="e">
        <f t="shared" si="0"/>
        <v>#N/A</v>
      </c>
      <c r="E16" s="5" t="e">
        <f t="shared" si="1"/>
        <v>#N/A</v>
      </c>
      <c r="H16" s="16">
        <v>14</v>
      </c>
      <c r="I16">
        <v>113524</v>
      </c>
      <c r="J16" t="s">
        <v>1000</v>
      </c>
      <c r="K16">
        <v>125.542</v>
      </c>
      <c r="L16" s="39">
        <v>0.20379999999999998</v>
      </c>
      <c r="M16">
        <v>145.922</v>
      </c>
      <c r="N16" s="17">
        <v>3.29697</v>
      </c>
      <c r="O16" s="5" t="str">
        <f t="shared" si="2"/>
        <v>未买</v>
      </c>
      <c r="R16" s="16">
        <v>14</v>
      </c>
      <c r="S16" s="7">
        <v>123044</v>
      </c>
      <c r="T16" s="7" t="s">
        <v>1171</v>
      </c>
      <c r="U16" s="7">
        <v>103.105</v>
      </c>
      <c r="V16" s="39">
        <v>7.6700000000000004E-2</v>
      </c>
      <c r="W16" s="17">
        <v>5.4927549999999998</v>
      </c>
      <c r="X16" s="5" t="str">
        <f t="shared" si="3"/>
        <v>未买</v>
      </c>
    </row>
    <row r="17" spans="1:24" x14ac:dyDescent="0.15">
      <c r="A17" s="7">
        <v>123147</v>
      </c>
      <c r="B17" s="7" t="s">
        <v>437</v>
      </c>
      <c r="C17" s="3">
        <f>VLOOKUP(A17,可转债实时数据!$B$7:$D$195,3,FALSE)</f>
        <v>131.9</v>
      </c>
      <c r="D17" s="5" t="e">
        <f t="shared" ref="D17:D44" si="4">MATCH(A17,$I$1:$I$290,0)-2</f>
        <v>#N/A</v>
      </c>
      <c r="E17" s="5">
        <f t="shared" ref="E17:E44" si="5">MATCH(A17,$S$1:$S$44,0)-2</f>
        <v>21</v>
      </c>
      <c r="H17" s="16">
        <v>15</v>
      </c>
      <c r="I17">
        <v>127059</v>
      </c>
      <c r="J17" t="s">
        <v>1149</v>
      </c>
      <c r="K17">
        <v>118.55</v>
      </c>
      <c r="L17" s="39">
        <v>0.2757</v>
      </c>
      <c r="M17">
        <v>146.12</v>
      </c>
      <c r="N17" s="17">
        <v>3.7919339999999995</v>
      </c>
      <c r="O17" s="5" t="str">
        <f t="shared" si="2"/>
        <v>未买</v>
      </c>
      <c r="R17" s="16">
        <v>15</v>
      </c>
      <c r="S17" s="7">
        <v>123202</v>
      </c>
      <c r="T17" s="7" t="s">
        <v>1026</v>
      </c>
      <c r="U17" s="7">
        <v>135.04</v>
      </c>
      <c r="V17" s="39">
        <v>7.9100000000000004E-2</v>
      </c>
      <c r="W17" s="17">
        <v>4.5999999999999996</v>
      </c>
      <c r="X17" s="5" t="str">
        <f t="shared" si="3"/>
        <v>未买</v>
      </c>
    </row>
    <row r="18" spans="1:24" x14ac:dyDescent="0.15">
      <c r="A18" s="7">
        <v>123153</v>
      </c>
      <c r="B18" s="7" t="s">
        <v>441</v>
      </c>
      <c r="C18" s="3">
        <f>VLOOKUP(A18,可转债实时数据!$B$7:$D$195,3,FALSE)</f>
        <v>119.69499999999999</v>
      </c>
      <c r="D18" s="5">
        <f t="shared" si="4"/>
        <v>23</v>
      </c>
      <c r="E18" s="5" t="e">
        <f t="shared" si="5"/>
        <v>#N/A</v>
      </c>
      <c r="H18" s="16">
        <v>16</v>
      </c>
      <c r="I18">
        <v>110052</v>
      </c>
      <c r="J18" t="s">
        <v>759</v>
      </c>
      <c r="K18">
        <v>138.31399999999999</v>
      </c>
      <c r="L18" s="39">
        <v>8.09E-2</v>
      </c>
      <c r="M18">
        <v>146.404</v>
      </c>
      <c r="N18" s="17">
        <v>2.64188</v>
      </c>
      <c r="O18" s="5" t="str">
        <f t="shared" si="2"/>
        <v>未买</v>
      </c>
      <c r="R18" s="16">
        <v>16</v>
      </c>
      <c r="S18" s="7">
        <v>110052</v>
      </c>
      <c r="T18" s="7" t="s">
        <v>759</v>
      </c>
      <c r="U18" s="7">
        <v>138.31399999999999</v>
      </c>
      <c r="V18" s="39">
        <v>8.09E-2</v>
      </c>
      <c r="W18" s="17">
        <v>2.64188</v>
      </c>
      <c r="X18" s="5" t="str">
        <f t="shared" si="3"/>
        <v>未买</v>
      </c>
    </row>
    <row r="19" spans="1:24" x14ac:dyDescent="0.15">
      <c r="A19" s="7">
        <v>123157</v>
      </c>
      <c r="B19" s="7" t="s">
        <v>468</v>
      </c>
      <c r="C19" s="3">
        <f>VLOOKUP(A19,可转债实时数据!$B$7:$D$195,3,FALSE)</f>
        <v>129.6</v>
      </c>
      <c r="D19" s="5" t="e">
        <f t="shared" si="4"/>
        <v>#N/A</v>
      </c>
      <c r="E19" s="5" t="e">
        <f t="shared" si="5"/>
        <v>#N/A</v>
      </c>
      <c r="H19" s="16">
        <v>17</v>
      </c>
      <c r="I19">
        <v>118017</v>
      </c>
      <c r="J19" t="s">
        <v>1193</v>
      </c>
      <c r="K19">
        <v>145.78</v>
      </c>
      <c r="L19" s="39">
        <v>1.9799999999999998E-2</v>
      </c>
      <c r="M19">
        <v>147.76</v>
      </c>
      <c r="N19" s="17">
        <v>3.59998</v>
      </c>
      <c r="O19" s="5" t="str">
        <f t="shared" si="2"/>
        <v>未买</v>
      </c>
      <c r="R19" s="16">
        <v>17</v>
      </c>
      <c r="S19" s="7">
        <v>123177</v>
      </c>
      <c r="T19" s="7" t="s">
        <v>1132</v>
      </c>
      <c r="U19" s="7">
        <v>149.499</v>
      </c>
      <c r="V19" s="39">
        <v>8.4900000000000003E-2</v>
      </c>
      <c r="W19" s="17">
        <v>2.4368310000000002</v>
      </c>
      <c r="X19" s="5" t="str">
        <f t="shared" si="3"/>
        <v>未买</v>
      </c>
    </row>
    <row r="20" spans="1:24" x14ac:dyDescent="0.15">
      <c r="A20" s="7">
        <v>123159</v>
      </c>
      <c r="B20" s="7" t="s">
        <v>471</v>
      </c>
      <c r="C20" s="3" t="e">
        <f>VLOOKUP(A20,可转债实时数据!$B$7:$D$195,3,FALSE)</f>
        <v>#N/A</v>
      </c>
      <c r="D20" s="5">
        <f t="shared" si="4"/>
        <v>44</v>
      </c>
      <c r="E20" s="5" t="e">
        <f t="shared" si="5"/>
        <v>#N/A</v>
      </c>
      <c r="H20" s="16">
        <v>18</v>
      </c>
      <c r="I20">
        <v>123100</v>
      </c>
      <c r="J20" t="s">
        <v>1067</v>
      </c>
      <c r="K20">
        <v>117.211</v>
      </c>
      <c r="L20" s="39">
        <v>0.31059999999999999</v>
      </c>
      <c r="M20">
        <v>148.27099999999999</v>
      </c>
      <c r="N20" s="17">
        <v>3.7971200000000001</v>
      </c>
      <c r="O20" s="5" t="str">
        <f t="shared" si="2"/>
        <v>Yes</v>
      </c>
      <c r="R20" s="16">
        <v>18</v>
      </c>
      <c r="S20" s="7">
        <v>123129</v>
      </c>
      <c r="T20" s="7" t="s">
        <v>1159</v>
      </c>
      <c r="U20" s="7">
        <v>139.99299999999999</v>
      </c>
      <c r="V20" s="39">
        <v>8.900000000000001E-2</v>
      </c>
      <c r="W20" s="17">
        <v>1.941565</v>
      </c>
      <c r="X20" s="5" t="str">
        <f t="shared" si="3"/>
        <v>Yes</v>
      </c>
    </row>
    <row r="21" spans="1:24" x14ac:dyDescent="0.15">
      <c r="A21" s="7">
        <v>123160</v>
      </c>
      <c r="B21" s="7" t="s">
        <v>470</v>
      </c>
      <c r="C21" s="3">
        <f>VLOOKUP(A21,可转债实时数据!$B$7:$D$195,3,FALSE)</f>
        <v>122.523</v>
      </c>
      <c r="D21" s="5">
        <f t="shared" si="4"/>
        <v>6</v>
      </c>
      <c r="E21" s="5">
        <f t="shared" si="5"/>
        <v>37</v>
      </c>
      <c r="H21" s="16">
        <v>19</v>
      </c>
      <c r="I21">
        <v>111013</v>
      </c>
      <c r="J21" t="s">
        <v>1027</v>
      </c>
      <c r="K21">
        <v>124.053</v>
      </c>
      <c r="L21" s="39">
        <v>0.24460000000000001</v>
      </c>
      <c r="M21">
        <v>148.51300000000001</v>
      </c>
      <c r="N21" s="17">
        <v>3.6882100000000002</v>
      </c>
      <c r="O21" s="5" t="str">
        <f t="shared" si="2"/>
        <v>未买</v>
      </c>
      <c r="R21" s="16">
        <v>19</v>
      </c>
      <c r="S21" s="7">
        <v>113628</v>
      </c>
      <c r="T21" s="7" t="s">
        <v>1006</v>
      </c>
      <c r="U21" s="7">
        <v>125.527</v>
      </c>
      <c r="V21" s="39">
        <v>9.4600000000000004E-2</v>
      </c>
      <c r="W21" s="17">
        <v>4.1492800000000001</v>
      </c>
      <c r="X21" s="5" t="str">
        <f t="shared" si="3"/>
        <v>未买</v>
      </c>
    </row>
    <row r="22" spans="1:24" x14ac:dyDescent="0.15">
      <c r="A22" s="7">
        <v>123162</v>
      </c>
      <c r="B22" s="7" t="s">
        <v>465</v>
      </c>
      <c r="C22" s="3">
        <f>VLOOKUP(A22,可转债实时数据!$B$7:$D$195,3,FALSE)</f>
        <v>113.04900000000001</v>
      </c>
      <c r="D22" s="5" t="e">
        <f t="shared" si="4"/>
        <v>#N/A</v>
      </c>
      <c r="E22" s="5" t="e">
        <f t="shared" si="5"/>
        <v>#N/A</v>
      </c>
      <c r="H22" s="16">
        <v>20</v>
      </c>
      <c r="I22">
        <v>123129</v>
      </c>
      <c r="J22" t="s">
        <v>1159</v>
      </c>
      <c r="K22">
        <v>139.99299999999999</v>
      </c>
      <c r="L22" s="39">
        <v>8.900000000000001E-2</v>
      </c>
      <c r="M22">
        <v>148.893</v>
      </c>
      <c r="N22" s="17">
        <v>1.941565</v>
      </c>
      <c r="O22" s="5" t="str">
        <f t="shared" si="2"/>
        <v>Yes</v>
      </c>
      <c r="R22" s="16">
        <v>20</v>
      </c>
      <c r="S22" s="7">
        <v>113576</v>
      </c>
      <c r="T22" s="7" t="s">
        <v>1070</v>
      </c>
      <c r="U22" s="7">
        <v>96.4</v>
      </c>
      <c r="V22" s="39">
        <v>9.9299999999999999E-2</v>
      </c>
      <c r="W22" s="17">
        <v>2.58474</v>
      </c>
      <c r="X22" s="5" t="str">
        <f t="shared" si="3"/>
        <v>未买</v>
      </c>
    </row>
    <row r="23" spans="1:24" x14ac:dyDescent="0.15">
      <c r="A23" s="7">
        <v>123164</v>
      </c>
      <c r="B23" s="7" t="s">
        <v>665</v>
      </c>
      <c r="C23" s="3" t="e">
        <f>VLOOKUP(A23,可转债实时数据!$B$7:$D$195,3,FALSE)</f>
        <v>#N/A</v>
      </c>
      <c r="D23" s="5" t="e">
        <f t="shared" si="4"/>
        <v>#N/A</v>
      </c>
      <c r="E23" s="5" t="e">
        <f t="shared" si="5"/>
        <v>#N/A</v>
      </c>
      <c r="H23" s="16">
        <v>21</v>
      </c>
      <c r="I23">
        <v>123050</v>
      </c>
      <c r="J23" t="s">
        <v>1048</v>
      </c>
      <c r="K23">
        <v>137.233</v>
      </c>
      <c r="L23" s="39">
        <v>0.1217</v>
      </c>
      <c r="M23">
        <v>149.40299999999999</v>
      </c>
      <c r="N23" s="17">
        <v>3.7456649999999998</v>
      </c>
      <c r="O23" s="5" t="str">
        <f t="shared" si="2"/>
        <v>未买</v>
      </c>
      <c r="R23" s="16">
        <v>21</v>
      </c>
      <c r="S23" s="7">
        <v>123147</v>
      </c>
      <c r="T23" s="7" t="s">
        <v>437</v>
      </c>
      <c r="U23" s="7">
        <v>131.9</v>
      </c>
      <c r="V23" s="39">
        <v>0.10460000000000001</v>
      </c>
      <c r="W23" s="17">
        <v>5.7046939999999999</v>
      </c>
      <c r="X23" s="5" t="str">
        <f t="shared" si="3"/>
        <v>Yes</v>
      </c>
    </row>
    <row r="24" spans="1:24" x14ac:dyDescent="0.15">
      <c r="A24" s="7">
        <v>123166</v>
      </c>
      <c r="B24" s="7" t="s">
        <v>666</v>
      </c>
      <c r="C24" s="3">
        <f>VLOOKUP(A24,可转债实时数据!$B$7:$D$195,3,FALSE)</f>
        <v>117.514</v>
      </c>
      <c r="D24" s="5">
        <f t="shared" si="4"/>
        <v>8</v>
      </c>
      <c r="E24" s="5" t="e">
        <f t="shared" si="5"/>
        <v>#N/A</v>
      </c>
      <c r="H24" s="16">
        <v>22</v>
      </c>
      <c r="I24">
        <v>123130</v>
      </c>
      <c r="J24" t="s">
        <v>683</v>
      </c>
      <c r="K24">
        <v>124.08</v>
      </c>
      <c r="L24" s="39">
        <v>0.25769999999999998</v>
      </c>
      <c r="M24">
        <v>149.85</v>
      </c>
      <c r="N24" s="17">
        <v>3.755125</v>
      </c>
      <c r="O24" s="5" t="str">
        <f t="shared" si="2"/>
        <v>未买</v>
      </c>
      <c r="R24" s="16">
        <v>22</v>
      </c>
      <c r="S24" s="7">
        <v>110060</v>
      </c>
      <c r="T24" s="7" t="s">
        <v>1176</v>
      </c>
      <c r="U24" s="7">
        <v>134.774</v>
      </c>
      <c r="V24" s="39">
        <v>0.10630000000000001</v>
      </c>
      <c r="W24" s="17">
        <v>5.6661799999999998</v>
      </c>
      <c r="X24" s="5" t="str">
        <f t="shared" si="3"/>
        <v>未买</v>
      </c>
    </row>
    <row r="25" spans="1:24" x14ac:dyDescent="0.15">
      <c r="A25" s="7">
        <v>127007</v>
      </c>
      <c r="B25" s="7" t="s">
        <v>216</v>
      </c>
      <c r="C25" s="3" t="e">
        <f>VLOOKUP(A25,可转债实时数据!$B$7:$D$195,3,FALSE)</f>
        <v>#N/A</v>
      </c>
      <c r="D25" s="5" t="e">
        <f t="shared" si="4"/>
        <v>#N/A</v>
      </c>
      <c r="E25" s="5" t="e">
        <f t="shared" si="5"/>
        <v>#N/A</v>
      </c>
      <c r="H25" s="16">
        <v>23</v>
      </c>
      <c r="I25">
        <v>123153</v>
      </c>
      <c r="J25" t="s">
        <v>441</v>
      </c>
      <c r="K25">
        <v>119.69499999999999</v>
      </c>
      <c r="L25" s="39">
        <v>0.30329999999999996</v>
      </c>
      <c r="M25">
        <v>150.02499999999998</v>
      </c>
      <c r="N25" s="17">
        <v>3.3998230000000005</v>
      </c>
      <c r="O25" s="5" t="str">
        <f t="shared" si="2"/>
        <v>Yes</v>
      </c>
      <c r="R25" s="16">
        <v>23</v>
      </c>
      <c r="S25" s="7">
        <v>123141</v>
      </c>
      <c r="T25" s="7" t="s">
        <v>209</v>
      </c>
      <c r="U25" s="7">
        <v>125.4</v>
      </c>
      <c r="V25" s="39">
        <v>0.1076</v>
      </c>
      <c r="W25" s="17">
        <v>3.2098330000000002</v>
      </c>
      <c r="X25" s="5" t="str">
        <f t="shared" si="3"/>
        <v>Yes</v>
      </c>
    </row>
    <row r="26" spans="1:24" x14ac:dyDescent="0.15">
      <c r="A26" s="7">
        <v>127028</v>
      </c>
      <c r="B26" s="7" t="s">
        <v>46</v>
      </c>
      <c r="C26" s="3">
        <f>VLOOKUP(A26,可转债实时数据!$B$7:$D$195,3,FALSE)</f>
        <v>134.38999999999999</v>
      </c>
      <c r="D26" s="5" t="e">
        <f t="shared" si="4"/>
        <v>#N/A</v>
      </c>
      <c r="E26" s="5">
        <f t="shared" si="5"/>
        <v>36</v>
      </c>
      <c r="H26" s="16">
        <v>24</v>
      </c>
      <c r="I26">
        <v>123167</v>
      </c>
      <c r="J26" t="s">
        <v>724</v>
      </c>
      <c r="K26">
        <v>135.33000000000001</v>
      </c>
      <c r="L26" s="39">
        <v>0.1474</v>
      </c>
      <c r="M26">
        <v>150.07000000000002</v>
      </c>
      <c r="N26" s="17">
        <v>3.9367960000000002</v>
      </c>
      <c r="O26" s="5" t="str">
        <f t="shared" si="2"/>
        <v>未买</v>
      </c>
      <c r="R26" s="16">
        <v>24</v>
      </c>
      <c r="S26" s="7">
        <v>113027</v>
      </c>
      <c r="T26" s="7" t="s">
        <v>1178</v>
      </c>
      <c r="U26" s="7">
        <v>139.17099999999999</v>
      </c>
      <c r="V26" s="39">
        <v>0.1177</v>
      </c>
      <c r="W26" s="17">
        <v>2.3835500000000001</v>
      </c>
      <c r="X26" s="5" t="str">
        <f t="shared" si="3"/>
        <v>未买</v>
      </c>
    </row>
    <row r="27" spans="1:24" x14ac:dyDescent="0.15">
      <c r="A27" s="7">
        <v>128021</v>
      </c>
      <c r="B27" s="7" t="s">
        <v>40</v>
      </c>
      <c r="C27" s="3" t="e">
        <f>VLOOKUP(A27,可转债实时数据!$B$7:$D$195,3,FALSE)</f>
        <v>#N/A</v>
      </c>
      <c r="D27" s="5" t="e">
        <f t="shared" si="4"/>
        <v>#N/A</v>
      </c>
      <c r="E27" s="5" t="e">
        <f t="shared" si="5"/>
        <v>#N/A</v>
      </c>
      <c r="H27" s="16">
        <v>25</v>
      </c>
      <c r="I27">
        <v>113039</v>
      </c>
      <c r="J27" t="s">
        <v>1069</v>
      </c>
      <c r="K27">
        <v>128.98699999999999</v>
      </c>
      <c r="L27" s="39">
        <v>0.21230000000000002</v>
      </c>
      <c r="M27">
        <v>150.21699999999998</v>
      </c>
      <c r="N27" s="17">
        <v>2.8770699999999998</v>
      </c>
      <c r="O27" s="5" t="str">
        <f t="shared" si="2"/>
        <v>未买</v>
      </c>
      <c r="R27" s="16">
        <v>25</v>
      </c>
      <c r="S27" s="7">
        <v>128066</v>
      </c>
      <c r="T27" s="7" t="s">
        <v>1179</v>
      </c>
      <c r="U27" s="7">
        <v>119.90600000000001</v>
      </c>
      <c r="V27" s="39">
        <v>0.11990000000000001</v>
      </c>
      <c r="W27" s="17">
        <v>4.6103620000000003</v>
      </c>
      <c r="X27" s="5" t="str">
        <f t="shared" si="3"/>
        <v>未买</v>
      </c>
    </row>
    <row r="28" spans="1:24" x14ac:dyDescent="0.15">
      <c r="A28" s="7">
        <v>128022</v>
      </c>
      <c r="B28" s="7" t="s">
        <v>69</v>
      </c>
      <c r="C28" s="3" t="e">
        <f>VLOOKUP(A28,可转债实时数据!$B$7:$D$195,3,FALSE)</f>
        <v>#N/A</v>
      </c>
      <c r="D28" s="5" t="e">
        <f t="shared" si="4"/>
        <v>#N/A</v>
      </c>
      <c r="E28" s="5" t="e">
        <f t="shared" si="5"/>
        <v>#N/A</v>
      </c>
      <c r="H28" s="16">
        <v>26</v>
      </c>
      <c r="I28">
        <v>123220</v>
      </c>
      <c r="J28" t="s">
        <v>1057</v>
      </c>
      <c r="K28">
        <v>122.251</v>
      </c>
      <c r="L28" s="39">
        <v>0.2833</v>
      </c>
      <c r="M28">
        <v>150.58100000000002</v>
      </c>
      <c r="N28" s="17">
        <v>3.2819669999999999</v>
      </c>
      <c r="O28" s="5" t="str">
        <f t="shared" si="2"/>
        <v>未买</v>
      </c>
      <c r="R28" s="16">
        <v>26</v>
      </c>
      <c r="S28" s="7">
        <v>123050</v>
      </c>
      <c r="T28" s="7" t="s">
        <v>1048</v>
      </c>
      <c r="U28" s="7">
        <v>137.233</v>
      </c>
      <c r="V28" s="39">
        <v>0.1217</v>
      </c>
      <c r="W28" s="17">
        <v>3.7456649999999998</v>
      </c>
      <c r="X28" s="5" t="str">
        <f t="shared" si="3"/>
        <v>未买</v>
      </c>
    </row>
    <row r="29" spans="1:24" x14ac:dyDescent="0.15">
      <c r="A29" s="7">
        <v>128033</v>
      </c>
      <c r="B29" s="7" t="s">
        <v>48</v>
      </c>
      <c r="C29" s="3">
        <f>VLOOKUP(A29,可转债实时数据!$B$7:$D$195,3,FALSE)</f>
        <v>107.81</v>
      </c>
      <c r="D29" s="5">
        <f t="shared" si="4"/>
        <v>3</v>
      </c>
      <c r="E29" s="5">
        <f t="shared" si="5"/>
        <v>2</v>
      </c>
      <c r="H29" s="16">
        <v>27</v>
      </c>
      <c r="I29">
        <v>113027</v>
      </c>
      <c r="J29" t="s">
        <v>1178</v>
      </c>
      <c r="K29">
        <v>139.17099999999999</v>
      </c>
      <c r="L29" s="39">
        <v>0.1177</v>
      </c>
      <c r="M29">
        <v>150.941</v>
      </c>
      <c r="N29" s="17">
        <v>2.3835500000000001</v>
      </c>
      <c r="O29" s="5" t="str">
        <f t="shared" si="2"/>
        <v>未买</v>
      </c>
      <c r="R29" s="16">
        <v>27</v>
      </c>
      <c r="S29" s="7">
        <v>123099</v>
      </c>
      <c r="T29" s="7" t="s">
        <v>1199</v>
      </c>
      <c r="U29" s="7">
        <v>129.29599999999999</v>
      </c>
      <c r="V29" s="39">
        <v>0.127</v>
      </c>
      <c r="W29" s="17">
        <v>5.3118489999999996</v>
      </c>
      <c r="X29" s="5" t="str">
        <f t="shared" ref="X29:X52" si="6">IF(ISNA(MATCH(S29,$A$3:$A$290,0)),"未买","Yes")</f>
        <v>未买</v>
      </c>
    </row>
    <row r="30" spans="1:24" x14ac:dyDescent="0.15">
      <c r="A30" s="7">
        <v>128037</v>
      </c>
      <c r="B30" s="7" t="s">
        <v>49</v>
      </c>
      <c r="C30" s="3" t="e">
        <f>VLOOKUP(A30,可转债实时数据!$B$7:$D$195,3,FALSE)</f>
        <v>#N/A</v>
      </c>
      <c r="D30" s="5" t="e">
        <f t="shared" si="4"/>
        <v>#N/A</v>
      </c>
      <c r="E30" s="5" t="e">
        <f t="shared" si="5"/>
        <v>#N/A</v>
      </c>
      <c r="H30" s="16">
        <v>28</v>
      </c>
      <c r="I30">
        <v>127094</v>
      </c>
      <c r="J30" t="s">
        <v>1102</v>
      </c>
      <c r="K30">
        <v>122</v>
      </c>
      <c r="L30" s="39">
        <v>0.28989999999999999</v>
      </c>
      <c r="M30">
        <v>150.99</v>
      </c>
      <c r="N30" s="17">
        <v>3.16</v>
      </c>
      <c r="O30" s="5" t="str">
        <f t="shared" si="2"/>
        <v>未买</v>
      </c>
      <c r="R30" s="16">
        <v>28</v>
      </c>
      <c r="S30" s="7">
        <v>127078</v>
      </c>
      <c r="T30" s="7" t="s">
        <v>738</v>
      </c>
      <c r="U30" s="7">
        <v>125.14</v>
      </c>
      <c r="V30" s="39">
        <v>0.12909999999999999</v>
      </c>
      <c r="W30" s="17">
        <v>5.9997040000000004</v>
      </c>
      <c r="X30" s="5" t="str">
        <f t="shared" si="6"/>
        <v>未买</v>
      </c>
    </row>
    <row r="31" spans="1:24" x14ac:dyDescent="0.15">
      <c r="A31" s="7">
        <v>128042</v>
      </c>
      <c r="B31" s="7" t="s">
        <v>72</v>
      </c>
      <c r="C31" s="3" t="e">
        <f>VLOOKUP(A31,可转债实时数据!$B$7:$D$195,3,FALSE)</f>
        <v>#N/A</v>
      </c>
      <c r="D31" s="5" t="e">
        <f t="shared" si="4"/>
        <v>#N/A</v>
      </c>
      <c r="E31" s="5" t="e">
        <f t="shared" si="5"/>
        <v>#N/A</v>
      </c>
      <c r="H31" s="16">
        <v>29</v>
      </c>
      <c r="I31">
        <v>113561</v>
      </c>
      <c r="J31" t="s">
        <v>1002</v>
      </c>
      <c r="K31">
        <v>134.26300000000001</v>
      </c>
      <c r="L31" s="39">
        <v>0.17079999999999998</v>
      </c>
      <c r="M31">
        <v>151.34300000000002</v>
      </c>
      <c r="N31" s="17">
        <v>1.3788199999999999</v>
      </c>
      <c r="O31" s="5" t="str">
        <f t="shared" ref="O31:O52" si="7">IF(ISNA(MATCH(I31,$A$3:$A$290,0)),"未买","Yes")</f>
        <v>未买</v>
      </c>
      <c r="R31" s="16">
        <v>29</v>
      </c>
      <c r="S31" s="7">
        <v>128090</v>
      </c>
      <c r="T31" s="7" t="s">
        <v>61</v>
      </c>
      <c r="U31" s="7">
        <v>145.52000000000001</v>
      </c>
      <c r="V31" s="39">
        <v>0.13570000000000002</v>
      </c>
      <c r="W31" s="17">
        <v>3.0946189999999998</v>
      </c>
      <c r="X31" s="5" t="str">
        <f t="shared" si="6"/>
        <v>Yes</v>
      </c>
    </row>
    <row r="32" spans="1:24" x14ac:dyDescent="0.15">
      <c r="A32" s="7">
        <v>128049</v>
      </c>
      <c r="B32" s="7" t="s">
        <v>71</v>
      </c>
      <c r="C32" s="3" t="e">
        <f>VLOOKUP(A32,可转债实时数据!$B$7:$D$195,3,FALSE)</f>
        <v>#N/A</v>
      </c>
      <c r="D32" s="5" t="e">
        <f t="shared" si="4"/>
        <v>#N/A</v>
      </c>
      <c r="E32" s="5" t="e">
        <f t="shared" si="5"/>
        <v>#N/A</v>
      </c>
      <c r="H32" s="16">
        <v>30</v>
      </c>
      <c r="I32">
        <v>113526</v>
      </c>
      <c r="J32" t="s">
        <v>68</v>
      </c>
      <c r="K32">
        <v>123.712</v>
      </c>
      <c r="L32" s="39">
        <v>0.27739999999999998</v>
      </c>
      <c r="M32">
        <v>151.452</v>
      </c>
      <c r="N32" s="17">
        <v>1.9266700000000001</v>
      </c>
      <c r="O32" s="5" t="str">
        <f t="shared" si="7"/>
        <v>未买</v>
      </c>
      <c r="R32" s="16">
        <v>30</v>
      </c>
      <c r="S32" s="7">
        <v>128121</v>
      </c>
      <c r="T32" s="7" t="s">
        <v>720</v>
      </c>
      <c r="U32" s="7">
        <v>125.449</v>
      </c>
      <c r="V32" s="39">
        <v>0.14279999999999998</v>
      </c>
      <c r="W32" s="17">
        <v>6.697871000000001</v>
      </c>
      <c r="X32" s="5" t="str">
        <f t="shared" si="6"/>
        <v>未买</v>
      </c>
    </row>
    <row r="33" spans="1:24" x14ac:dyDescent="0.15">
      <c r="A33" s="7">
        <v>128071</v>
      </c>
      <c r="B33" s="7" t="s">
        <v>52</v>
      </c>
      <c r="C33" s="3" t="e">
        <f>VLOOKUP(A33,可转债实时数据!$B$7:$D$195,3,FALSE)</f>
        <v>#N/A</v>
      </c>
      <c r="D33" s="5" t="e">
        <f t="shared" si="4"/>
        <v>#N/A</v>
      </c>
      <c r="E33" s="5" t="e">
        <f t="shared" si="5"/>
        <v>#N/A</v>
      </c>
      <c r="H33" s="16">
        <v>31</v>
      </c>
      <c r="I33">
        <v>123163</v>
      </c>
      <c r="J33" t="s">
        <v>726</v>
      </c>
      <c r="K33">
        <v>123.4</v>
      </c>
      <c r="L33" s="39">
        <v>0.2838</v>
      </c>
      <c r="M33">
        <v>151.78</v>
      </c>
      <c r="N33" s="17">
        <v>3.0998999999999999</v>
      </c>
      <c r="O33" s="5" t="str">
        <f t="shared" si="7"/>
        <v>未买</v>
      </c>
      <c r="R33" s="16">
        <v>31</v>
      </c>
      <c r="S33" s="7">
        <v>123188</v>
      </c>
      <c r="T33" s="7" t="s">
        <v>761</v>
      </c>
      <c r="U33" s="7">
        <v>134.07300000000001</v>
      </c>
      <c r="V33" s="39">
        <v>0.14410000000000001</v>
      </c>
      <c r="W33" s="17">
        <v>6.9495170000000002</v>
      </c>
      <c r="X33" s="5" t="str">
        <f t="shared" si="6"/>
        <v>未买</v>
      </c>
    </row>
    <row r="34" spans="1:24" x14ac:dyDescent="0.15">
      <c r="A34" s="7">
        <v>128076</v>
      </c>
      <c r="B34" s="7" t="s">
        <v>65</v>
      </c>
      <c r="C34" s="3">
        <f>VLOOKUP(A34,可转债实时数据!$B$7:$D$195,3,FALSE)</f>
        <v>130.12100000000001</v>
      </c>
      <c r="D34" s="5">
        <f t="shared" si="4"/>
        <v>32</v>
      </c>
      <c r="E34" s="5" t="e">
        <f t="shared" si="5"/>
        <v>#N/A</v>
      </c>
      <c r="H34" s="16">
        <v>32</v>
      </c>
      <c r="I34">
        <v>128076</v>
      </c>
      <c r="J34" t="s">
        <v>714</v>
      </c>
      <c r="K34">
        <v>130.12100000000001</v>
      </c>
      <c r="L34" s="39">
        <v>0.2213</v>
      </c>
      <c r="M34">
        <v>152.251</v>
      </c>
      <c r="N34" s="17">
        <v>2.13462</v>
      </c>
      <c r="O34" s="5" t="str">
        <f t="shared" si="7"/>
        <v>Yes</v>
      </c>
      <c r="R34" s="16">
        <v>32</v>
      </c>
      <c r="S34" s="7">
        <v>123167</v>
      </c>
      <c r="T34" s="7" t="s">
        <v>724</v>
      </c>
      <c r="U34" s="7">
        <v>135.33000000000001</v>
      </c>
      <c r="V34" s="39">
        <v>0.1474</v>
      </c>
      <c r="W34" s="17">
        <v>3.9367960000000002</v>
      </c>
      <c r="X34" s="5" t="str">
        <f t="shared" si="6"/>
        <v>未买</v>
      </c>
    </row>
    <row r="35" spans="1:24" x14ac:dyDescent="0.15">
      <c r="A35" s="7">
        <v>128078</v>
      </c>
      <c r="B35" s="7" t="s">
        <v>440</v>
      </c>
      <c r="C35" s="3" t="e">
        <f>VLOOKUP(A35,可转债实时数据!$B$7:$D$195,3,FALSE)</f>
        <v>#N/A</v>
      </c>
      <c r="D35" s="5" t="e">
        <f t="shared" si="4"/>
        <v>#N/A</v>
      </c>
      <c r="E35" s="5" t="e">
        <f t="shared" si="5"/>
        <v>#N/A</v>
      </c>
      <c r="H35" s="16">
        <v>33</v>
      </c>
      <c r="I35">
        <v>123059</v>
      </c>
      <c r="J35" t="s">
        <v>739</v>
      </c>
      <c r="K35">
        <v>135.25399999999999</v>
      </c>
      <c r="L35" s="39">
        <v>0.17809999999999998</v>
      </c>
      <c r="M35">
        <v>153.06399999999999</v>
      </c>
      <c r="N35" s="17">
        <v>3.907365</v>
      </c>
      <c r="O35" s="5" t="str">
        <f t="shared" si="7"/>
        <v>未买</v>
      </c>
      <c r="R35" s="16">
        <v>33</v>
      </c>
      <c r="S35" s="7">
        <v>111012</v>
      </c>
      <c r="T35" s="7" t="s">
        <v>747</v>
      </c>
      <c r="U35" s="7">
        <v>123.736</v>
      </c>
      <c r="V35" s="39">
        <v>0.1573</v>
      </c>
      <c r="W35" s="17">
        <v>4.2877400000000003</v>
      </c>
      <c r="X35" s="5" t="str">
        <f t="shared" si="6"/>
        <v>未买</v>
      </c>
    </row>
    <row r="36" spans="1:24" x14ac:dyDescent="0.15">
      <c r="A36" s="7">
        <v>128079</v>
      </c>
      <c r="B36" s="7" t="s">
        <v>53</v>
      </c>
      <c r="C36" s="3" t="e">
        <f>VLOOKUP(A36,可转债实时数据!$B$7:$D$195,3,FALSE)</f>
        <v>#N/A</v>
      </c>
      <c r="D36" s="5" t="e">
        <f t="shared" si="4"/>
        <v>#N/A</v>
      </c>
      <c r="E36" s="5" t="e">
        <f t="shared" si="5"/>
        <v>#N/A</v>
      </c>
      <c r="H36" s="16">
        <v>34</v>
      </c>
      <c r="I36">
        <v>113665</v>
      </c>
      <c r="J36" t="s">
        <v>1010</v>
      </c>
      <c r="K36">
        <v>108.07599999999999</v>
      </c>
      <c r="L36" s="39">
        <v>0.44990000000000002</v>
      </c>
      <c r="M36">
        <v>153.066</v>
      </c>
      <c r="N36" s="17">
        <v>3.5999300000000001</v>
      </c>
      <c r="O36" s="5" t="str">
        <f t="shared" si="7"/>
        <v>未买</v>
      </c>
      <c r="R36" s="16">
        <v>34</v>
      </c>
      <c r="S36" s="7">
        <v>110074</v>
      </c>
      <c r="T36" s="7" t="s">
        <v>746</v>
      </c>
      <c r="U36" s="7">
        <v>131.71600000000001</v>
      </c>
      <c r="V36" s="39">
        <v>0.15810000000000002</v>
      </c>
      <c r="W36" s="17">
        <v>5.09354</v>
      </c>
      <c r="X36" s="5" t="str">
        <f t="shared" si="6"/>
        <v>未买</v>
      </c>
    </row>
    <row r="37" spans="1:24" x14ac:dyDescent="0.15">
      <c r="A37" s="7">
        <v>128082</v>
      </c>
      <c r="B37" s="7" t="s">
        <v>664</v>
      </c>
      <c r="C37" s="3">
        <f>VLOOKUP(A37,可转债实时数据!$B$7:$D$195,3,FALSE)</f>
        <v>155.94</v>
      </c>
      <c r="D37" s="5" t="e">
        <f t="shared" si="4"/>
        <v>#N/A</v>
      </c>
      <c r="E37" s="5" t="e">
        <f t="shared" si="5"/>
        <v>#N/A</v>
      </c>
      <c r="H37" s="16">
        <v>35</v>
      </c>
      <c r="I37">
        <v>123171</v>
      </c>
      <c r="J37" t="s">
        <v>1008</v>
      </c>
      <c r="K37">
        <v>116.953</v>
      </c>
      <c r="L37" s="39">
        <v>0.36170000000000002</v>
      </c>
      <c r="M37">
        <v>153.12299999999999</v>
      </c>
      <c r="N37" s="17">
        <v>3.7994810000000001</v>
      </c>
      <c r="O37" s="5" t="str">
        <f t="shared" si="7"/>
        <v>未买</v>
      </c>
      <c r="R37" s="16">
        <v>35</v>
      </c>
      <c r="S37" s="7">
        <v>113651</v>
      </c>
      <c r="T37" s="7" t="s">
        <v>689</v>
      </c>
      <c r="U37" s="7">
        <v>126.78100000000001</v>
      </c>
      <c r="V37" s="39">
        <v>0.15990000000000001</v>
      </c>
      <c r="W37" s="17">
        <v>6.0994799999999998</v>
      </c>
      <c r="X37" s="5" t="str">
        <f t="shared" si="6"/>
        <v>未买</v>
      </c>
    </row>
    <row r="38" spans="1:24" x14ac:dyDescent="0.15">
      <c r="A38" s="7">
        <v>128083</v>
      </c>
      <c r="B38" s="7" t="s">
        <v>70</v>
      </c>
      <c r="C38" s="3">
        <f>VLOOKUP(A38,可转债实时数据!$B$7:$D$195,3,FALSE)</f>
        <v>129.47800000000001</v>
      </c>
      <c r="D38" s="5" t="e">
        <f t="shared" si="4"/>
        <v>#N/A</v>
      </c>
      <c r="E38" s="5" t="e">
        <f t="shared" si="5"/>
        <v>#N/A</v>
      </c>
      <c r="H38" s="16">
        <v>36</v>
      </c>
      <c r="I38">
        <v>113565</v>
      </c>
      <c r="J38" t="s">
        <v>1173</v>
      </c>
      <c r="K38">
        <v>121.646</v>
      </c>
      <c r="L38" s="39">
        <v>0.31540000000000001</v>
      </c>
      <c r="M38">
        <v>153.18600000000001</v>
      </c>
      <c r="N38" s="17">
        <v>2.2475000000000001</v>
      </c>
      <c r="O38" s="5" t="str">
        <f t="shared" si="7"/>
        <v>未买</v>
      </c>
      <c r="R38" s="16">
        <v>36</v>
      </c>
      <c r="S38" s="7">
        <v>127028</v>
      </c>
      <c r="T38" s="7" t="s">
        <v>46</v>
      </c>
      <c r="U38" s="7">
        <v>134.38999999999999</v>
      </c>
      <c r="V38" s="39">
        <v>0.16020000000000001</v>
      </c>
      <c r="W38" s="17">
        <v>4.0626790000000002</v>
      </c>
      <c r="X38" s="5" t="str">
        <f t="shared" si="6"/>
        <v>Yes</v>
      </c>
    </row>
    <row r="39" spans="1:24" x14ac:dyDescent="0.15">
      <c r="A39" s="7">
        <v>128085</v>
      </c>
      <c r="B39" s="7" t="s">
        <v>213</v>
      </c>
      <c r="C39" s="3" t="e">
        <f>VLOOKUP(A39,可转债实时数据!$B$7:$D$195,3,FALSE)</f>
        <v>#N/A</v>
      </c>
      <c r="D39" s="5" t="e">
        <f t="shared" si="4"/>
        <v>#N/A</v>
      </c>
      <c r="E39" s="5" t="e">
        <f t="shared" si="5"/>
        <v>#N/A</v>
      </c>
      <c r="H39" s="16">
        <v>37</v>
      </c>
      <c r="I39">
        <v>113598</v>
      </c>
      <c r="J39" t="s">
        <v>55</v>
      </c>
      <c r="K39">
        <v>129.113</v>
      </c>
      <c r="L39" s="39">
        <v>0.24249999999999999</v>
      </c>
      <c r="M39">
        <v>153.363</v>
      </c>
      <c r="N39" s="17">
        <v>2.7522899999999999</v>
      </c>
      <c r="O39" s="5" t="str">
        <f t="shared" si="7"/>
        <v>未买</v>
      </c>
      <c r="R39" s="16">
        <v>37</v>
      </c>
      <c r="S39" s="7">
        <v>123160</v>
      </c>
      <c r="T39" s="7" t="s">
        <v>470</v>
      </c>
      <c r="U39" s="7">
        <v>122.523</v>
      </c>
      <c r="V39" s="39">
        <v>0.16079999999999997</v>
      </c>
      <c r="W39" s="17">
        <v>3.3488739999999999</v>
      </c>
      <c r="X39" s="5" t="str">
        <f t="shared" si="6"/>
        <v>Yes</v>
      </c>
    </row>
    <row r="40" spans="1:24" x14ac:dyDescent="0.15">
      <c r="A40" s="7">
        <v>128087</v>
      </c>
      <c r="B40" s="7" t="s">
        <v>60</v>
      </c>
      <c r="C40" s="3">
        <f>VLOOKUP(A40,可转债实时数据!$B$7:$D$195,3,FALSE)</f>
        <v>124.76900000000001</v>
      </c>
      <c r="D40" s="5" t="e">
        <f t="shared" si="4"/>
        <v>#N/A</v>
      </c>
      <c r="E40" s="5">
        <f t="shared" si="5"/>
        <v>8</v>
      </c>
      <c r="H40" s="16">
        <v>38</v>
      </c>
      <c r="I40">
        <v>111008</v>
      </c>
      <c r="J40" t="s">
        <v>685</v>
      </c>
      <c r="K40">
        <v>128.149</v>
      </c>
      <c r="L40" s="39">
        <v>0.2535</v>
      </c>
      <c r="M40">
        <v>153.499</v>
      </c>
      <c r="N40" s="17">
        <v>3.8391099999999998</v>
      </c>
      <c r="O40" s="5" t="str">
        <f t="shared" si="7"/>
        <v>未买</v>
      </c>
      <c r="R40" s="16">
        <v>38</v>
      </c>
      <c r="S40" s="7">
        <v>113532</v>
      </c>
      <c r="T40" s="7" t="s">
        <v>1181</v>
      </c>
      <c r="U40" s="7">
        <v>119.021</v>
      </c>
      <c r="V40" s="39">
        <v>0.16190000000000002</v>
      </c>
      <c r="W40" s="17">
        <v>4.5847199999999999</v>
      </c>
      <c r="X40" s="5" t="str">
        <f t="shared" si="6"/>
        <v>未买</v>
      </c>
    </row>
    <row r="41" spans="1:24" x14ac:dyDescent="0.15">
      <c r="A41" s="7">
        <v>128090</v>
      </c>
      <c r="B41" s="7" t="s">
        <v>61</v>
      </c>
      <c r="C41" s="3">
        <f>VLOOKUP(A41,可转债实时数据!$B$7:$D$195,3,FALSE)</f>
        <v>145.52000000000001</v>
      </c>
      <c r="D41" s="5">
        <f t="shared" si="4"/>
        <v>49</v>
      </c>
      <c r="E41" s="5">
        <f t="shared" si="5"/>
        <v>29</v>
      </c>
      <c r="H41" s="16">
        <v>39</v>
      </c>
      <c r="I41">
        <v>123152</v>
      </c>
      <c r="J41" t="s">
        <v>1146</v>
      </c>
      <c r="K41">
        <v>125.68300000000001</v>
      </c>
      <c r="L41" s="39">
        <v>0.29699999999999999</v>
      </c>
      <c r="M41">
        <v>155.38300000000001</v>
      </c>
      <c r="N41" s="17">
        <v>2.9225629999999998</v>
      </c>
      <c r="O41" s="5" t="str">
        <f t="shared" si="7"/>
        <v>未买</v>
      </c>
      <c r="R41" s="16">
        <v>39</v>
      </c>
      <c r="S41" s="7">
        <v>113546</v>
      </c>
      <c r="T41" s="7" t="s">
        <v>51</v>
      </c>
      <c r="U41" s="7">
        <v>128.57499999999999</v>
      </c>
      <c r="V41" s="39">
        <v>0.16899999999999998</v>
      </c>
      <c r="W41" s="17">
        <v>2.29569</v>
      </c>
      <c r="X41" s="5" t="str">
        <f t="shared" si="6"/>
        <v>未买</v>
      </c>
    </row>
    <row r="42" spans="1:24" x14ac:dyDescent="0.15">
      <c r="A42" s="7">
        <v>128119</v>
      </c>
      <c r="B42" s="7" t="s">
        <v>74</v>
      </c>
      <c r="C42" s="3" t="e">
        <f>VLOOKUP(A42,可转债实时数据!$B$7:$D$195,3,FALSE)</f>
        <v>#N/A</v>
      </c>
      <c r="D42" s="5" t="e">
        <f t="shared" si="4"/>
        <v>#N/A</v>
      </c>
      <c r="E42" s="5" t="e">
        <f t="shared" si="5"/>
        <v>#N/A</v>
      </c>
      <c r="H42" s="16">
        <v>40</v>
      </c>
      <c r="I42">
        <v>123143</v>
      </c>
      <c r="J42" t="s">
        <v>1150</v>
      </c>
      <c r="K42">
        <v>124.008</v>
      </c>
      <c r="L42" s="39">
        <v>0.31409999999999999</v>
      </c>
      <c r="M42">
        <v>155.41800000000001</v>
      </c>
      <c r="N42" s="17">
        <v>3.2972220000000001</v>
      </c>
      <c r="O42" s="5" t="str">
        <f t="shared" si="7"/>
        <v>未买</v>
      </c>
      <c r="R42" s="16">
        <v>40</v>
      </c>
      <c r="S42" s="7">
        <v>113561</v>
      </c>
      <c r="T42" s="7" t="s">
        <v>1002</v>
      </c>
      <c r="U42" s="7">
        <v>134.26300000000001</v>
      </c>
      <c r="V42" s="39">
        <v>0.17079999999999998</v>
      </c>
      <c r="W42" s="17">
        <v>1.3788199999999999</v>
      </c>
      <c r="X42" s="5" t="str">
        <f t="shared" si="6"/>
        <v>未买</v>
      </c>
    </row>
    <row r="43" spans="1:24" x14ac:dyDescent="0.15">
      <c r="A43" s="7">
        <v>128120</v>
      </c>
      <c r="B43" s="7" t="s">
        <v>59</v>
      </c>
      <c r="C43" s="3">
        <f>VLOOKUP(A43,可转债实时数据!$B$7:$D$195,3,FALSE)</f>
        <v>127.1</v>
      </c>
      <c r="D43" s="5" t="e">
        <f t="shared" si="4"/>
        <v>#N/A</v>
      </c>
      <c r="E43" s="5" t="e">
        <f t="shared" si="5"/>
        <v>#N/A</v>
      </c>
      <c r="H43" s="16">
        <v>41</v>
      </c>
      <c r="I43">
        <v>123196</v>
      </c>
      <c r="J43" t="s">
        <v>1187</v>
      </c>
      <c r="K43">
        <v>117.68</v>
      </c>
      <c r="L43" s="39">
        <v>0.38819999999999999</v>
      </c>
      <c r="M43">
        <v>156.5</v>
      </c>
      <c r="N43" s="17">
        <v>3.5072399999999999</v>
      </c>
      <c r="O43" s="5" t="str">
        <f t="shared" si="7"/>
        <v>未买</v>
      </c>
      <c r="R43" s="16">
        <v>41</v>
      </c>
      <c r="S43" s="7">
        <v>123112</v>
      </c>
      <c r="T43" s="7" t="s">
        <v>63</v>
      </c>
      <c r="U43" s="7">
        <v>141.863</v>
      </c>
      <c r="V43" s="39">
        <v>0.1754</v>
      </c>
      <c r="W43" s="17">
        <v>2.265339</v>
      </c>
      <c r="X43" s="5" t="str">
        <f t="shared" si="6"/>
        <v>Yes</v>
      </c>
    </row>
    <row r="44" spans="1:24" x14ac:dyDescent="0.15">
      <c r="A44" s="7">
        <v>128127</v>
      </c>
      <c r="B44" s="7" t="s">
        <v>73</v>
      </c>
      <c r="C44" s="3">
        <f>VLOOKUP(A44,可转债实时数据!$B$7:$D$195,3,FALSE)</f>
        <v>106.86499999999999</v>
      </c>
      <c r="D44" s="5" t="e">
        <f t="shared" si="4"/>
        <v>#N/A</v>
      </c>
      <c r="E44" s="5" t="e">
        <f t="shared" si="5"/>
        <v>#N/A</v>
      </c>
      <c r="H44" s="16">
        <v>42</v>
      </c>
      <c r="I44">
        <v>123173</v>
      </c>
      <c r="J44" t="s">
        <v>744</v>
      </c>
      <c r="K44">
        <v>135.97999999999999</v>
      </c>
      <c r="L44" s="39">
        <v>0.20920000000000002</v>
      </c>
      <c r="M44">
        <v>156.89999999999998</v>
      </c>
      <c r="N44" s="17">
        <v>2.4225439999999998</v>
      </c>
      <c r="O44" s="5" t="str">
        <f t="shared" si="7"/>
        <v>未买</v>
      </c>
      <c r="R44" s="16">
        <v>42</v>
      </c>
      <c r="S44" s="7">
        <v>123059</v>
      </c>
      <c r="T44" s="7" t="s">
        <v>739</v>
      </c>
      <c r="U44" s="7">
        <v>135.25399999999999</v>
      </c>
      <c r="V44" s="39">
        <v>0.17809999999999998</v>
      </c>
      <c r="W44" s="17">
        <v>3.907365</v>
      </c>
      <c r="X44" s="5" t="str">
        <f t="shared" si="6"/>
        <v>未买</v>
      </c>
    </row>
    <row r="45" spans="1:24" x14ac:dyDescent="0.15">
      <c r="H45" s="14">
        <v>43</v>
      </c>
      <c r="I45" s="7">
        <v>123206</v>
      </c>
      <c r="J45" s="7" t="s">
        <v>1044</v>
      </c>
      <c r="K45" s="7">
        <v>133.893</v>
      </c>
      <c r="L45" s="40">
        <v>0.23440000000000003</v>
      </c>
      <c r="M45" s="7">
        <v>157.333</v>
      </c>
      <c r="N45" s="29">
        <v>2.5</v>
      </c>
      <c r="O45" s="5" t="str">
        <f t="shared" si="7"/>
        <v>未买</v>
      </c>
      <c r="R45" s="14">
        <v>43</v>
      </c>
      <c r="S45" s="7">
        <v>123229</v>
      </c>
      <c r="T45" s="7" t="s">
        <v>1100</v>
      </c>
      <c r="U45" s="7">
        <v>124.095</v>
      </c>
      <c r="V45" s="40">
        <v>0.17829999999999999</v>
      </c>
      <c r="W45" s="29">
        <v>5</v>
      </c>
      <c r="X45" s="5" t="str">
        <f t="shared" si="6"/>
        <v>未买</v>
      </c>
    </row>
    <row r="46" spans="1:24" x14ac:dyDescent="0.15">
      <c r="H46" s="14">
        <v>44</v>
      </c>
      <c r="I46" s="7">
        <v>123159</v>
      </c>
      <c r="J46" s="7" t="s">
        <v>1007</v>
      </c>
      <c r="K46" s="7">
        <v>115.045</v>
      </c>
      <c r="L46" s="40">
        <v>0.42349999999999999</v>
      </c>
      <c r="M46" s="7">
        <v>157.39500000000001</v>
      </c>
      <c r="N46" s="29">
        <v>2.9434429999999998</v>
      </c>
      <c r="O46" s="5" t="str">
        <f t="shared" si="7"/>
        <v>Yes</v>
      </c>
      <c r="R46" s="14">
        <v>44</v>
      </c>
      <c r="S46" s="7">
        <v>111015</v>
      </c>
      <c r="T46" s="7" t="s">
        <v>1028</v>
      </c>
      <c r="U46" s="7">
        <v>128.203</v>
      </c>
      <c r="V46" s="40">
        <v>0.17859999999999998</v>
      </c>
      <c r="W46" s="29">
        <v>6.9</v>
      </c>
      <c r="X46" s="5" t="str">
        <f t="shared" si="6"/>
        <v>未买</v>
      </c>
    </row>
    <row r="47" spans="1:24" x14ac:dyDescent="0.15">
      <c r="H47" s="14">
        <v>45</v>
      </c>
      <c r="I47" s="7">
        <v>123080</v>
      </c>
      <c r="J47" s="7" t="s">
        <v>762</v>
      </c>
      <c r="K47" s="7">
        <v>135.43299999999999</v>
      </c>
      <c r="L47" s="40">
        <v>0.21969999999999998</v>
      </c>
      <c r="M47" s="7">
        <v>157.40299999999999</v>
      </c>
      <c r="N47" s="29">
        <v>1.4892399999999999</v>
      </c>
      <c r="O47" s="5" t="str">
        <f t="shared" si="7"/>
        <v>Yes</v>
      </c>
      <c r="R47" s="14">
        <v>45</v>
      </c>
      <c r="S47" s="7">
        <v>123063</v>
      </c>
      <c r="T47" s="7" t="s">
        <v>679</v>
      </c>
      <c r="U47" s="7">
        <v>121.78</v>
      </c>
      <c r="V47" s="40">
        <v>0.17960000000000001</v>
      </c>
      <c r="W47" s="29">
        <v>6.345504</v>
      </c>
      <c r="X47" s="5" t="str">
        <f t="shared" si="6"/>
        <v>未买</v>
      </c>
    </row>
    <row r="48" spans="1:24" x14ac:dyDescent="0.15">
      <c r="H48" s="14">
        <v>46</v>
      </c>
      <c r="I48" s="7">
        <v>123185</v>
      </c>
      <c r="J48" s="7" t="s">
        <v>1190</v>
      </c>
      <c r="K48" s="7">
        <v>113.8</v>
      </c>
      <c r="L48" s="40">
        <v>0.44179999999999997</v>
      </c>
      <c r="M48" s="7">
        <v>157.97999999999999</v>
      </c>
      <c r="N48" s="29">
        <v>3.4788860000000001</v>
      </c>
      <c r="O48" s="5" t="str">
        <f t="shared" si="7"/>
        <v>未买</v>
      </c>
      <c r="R48" s="14">
        <v>46</v>
      </c>
      <c r="S48" s="7">
        <v>111005</v>
      </c>
      <c r="T48" s="7" t="s">
        <v>694</v>
      </c>
      <c r="U48" s="7">
        <v>122.06699999999999</v>
      </c>
      <c r="V48" s="40">
        <v>0.19140000000000001</v>
      </c>
      <c r="W48" s="29">
        <v>5.6994999999999996</v>
      </c>
      <c r="X48" s="5" t="str">
        <f t="shared" si="6"/>
        <v>未买</v>
      </c>
    </row>
    <row r="49" spans="8:24" x14ac:dyDescent="0.15">
      <c r="H49" s="14">
        <v>47</v>
      </c>
      <c r="I49" s="7">
        <v>123177</v>
      </c>
      <c r="J49" s="7" t="s">
        <v>1132</v>
      </c>
      <c r="K49" s="7">
        <v>149.499</v>
      </c>
      <c r="L49" s="40">
        <v>8.4900000000000003E-2</v>
      </c>
      <c r="M49" s="7">
        <v>157.989</v>
      </c>
      <c r="N49" s="29">
        <v>2.4368310000000002</v>
      </c>
      <c r="O49" s="5" t="str">
        <f t="shared" si="7"/>
        <v>未买</v>
      </c>
      <c r="R49" s="14">
        <v>47</v>
      </c>
      <c r="S49" s="7">
        <v>113667</v>
      </c>
      <c r="T49" s="7" t="s">
        <v>1131</v>
      </c>
      <c r="U49" s="7">
        <v>129.65199999999999</v>
      </c>
      <c r="V49" s="40">
        <v>0.1966</v>
      </c>
      <c r="W49" s="29">
        <v>5.69984</v>
      </c>
      <c r="X49" s="5" t="str">
        <f t="shared" si="6"/>
        <v>未买</v>
      </c>
    </row>
    <row r="50" spans="8:24" x14ac:dyDescent="0.15">
      <c r="H50" s="14">
        <v>48</v>
      </c>
      <c r="I50" s="7">
        <v>113566</v>
      </c>
      <c r="J50" s="7" t="s">
        <v>1172</v>
      </c>
      <c r="K50" s="7">
        <v>127.282</v>
      </c>
      <c r="L50" s="40">
        <v>0.31190000000000001</v>
      </c>
      <c r="M50" s="7">
        <v>158.47200000000001</v>
      </c>
      <c r="N50" s="29">
        <v>1.6114599999999999</v>
      </c>
      <c r="O50" s="5" t="str">
        <f t="shared" si="7"/>
        <v>未买</v>
      </c>
      <c r="R50" s="14">
        <v>48</v>
      </c>
      <c r="S50" s="7">
        <v>113664</v>
      </c>
      <c r="T50" s="7" t="s">
        <v>737</v>
      </c>
      <c r="U50" s="7">
        <v>124.092</v>
      </c>
      <c r="V50" s="40">
        <v>0.20100000000000001</v>
      </c>
      <c r="W50" s="29">
        <v>4.4995399999999997</v>
      </c>
      <c r="X50" s="5" t="str">
        <f t="shared" si="6"/>
        <v>未买</v>
      </c>
    </row>
    <row r="51" spans="8:24" x14ac:dyDescent="0.15">
      <c r="H51" s="14">
        <v>49</v>
      </c>
      <c r="I51" s="7">
        <v>128090</v>
      </c>
      <c r="J51" s="7" t="s">
        <v>61</v>
      </c>
      <c r="K51" s="7">
        <v>145.52000000000001</v>
      </c>
      <c r="L51" s="40">
        <v>0.13570000000000002</v>
      </c>
      <c r="M51" s="7">
        <v>159.09</v>
      </c>
      <c r="N51" s="29">
        <v>3.0946189999999998</v>
      </c>
      <c r="O51" s="5" t="str">
        <f t="shared" si="7"/>
        <v>Yes</v>
      </c>
      <c r="R51" s="14">
        <v>49</v>
      </c>
      <c r="S51" s="7">
        <v>113524</v>
      </c>
      <c r="T51" s="7" t="s">
        <v>1000</v>
      </c>
      <c r="U51" s="7">
        <v>125.542</v>
      </c>
      <c r="V51" s="40">
        <v>0.20379999999999998</v>
      </c>
      <c r="W51" s="29">
        <v>3.29697</v>
      </c>
      <c r="X51" s="5" t="str">
        <f t="shared" si="6"/>
        <v>未买</v>
      </c>
    </row>
    <row r="52" spans="8:24" x14ac:dyDescent="0.15">
      <c r="H52" s="14">
        <v>50</v>
      </c>
      <c r="I52" s="7">
        <v>118036</v>
      </c>
      <c r="J52" s="7" t="s">
        <v>1031</v>
      </c>
      <c r="K52" s="7">
        <v>122.81</v>
      </c>
      <c r="L52" s="40">
        <v>0.36549999999999999</v>
      </c>
      <c r="M52" s="7">
        <v>159.36000000000001</v>
      </c>
      <c r="N52" s="29">
        <v>3.8</v>
      </c>
      <c r="O52" s="5" t="str">
        <f t="shared" si="7"/>
        <v>未买</v>
      </c>
      <c r="R52" s="14">
        <v>50</v>
      </c>
      <c r="S52" s="7">
        <v>123052</v>
      </c>
      <c r="T52" s="7" t="s">
        <v>210</v>
      </c>
      <c r="U52" s="7">
        <v>144.56</v>
      </c>
      <c r="V52" s="40">
        <v>0.20440000000000003</v>
      </c>
      <c r="W52" s="29">
        <v>1.5017990000000001</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0"/>
  <sheetViews>
    <sheetView topLeftCell="G1" workbookViewId="0">
      <pane ySplit="1" topLeftCell="A101" activePane="bottomLeft" state="frozen"/>
      <selection pane="bottomLeft" activeCell="I120" sqref="I12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82</v>
      </c>
      <c r="B1" s="19" t="s">
        <v>33</v>
      </c>
      <c r="C1" s="19" t="s">
        <v>32</v>
      </c>
      <c r="D1" s="19" t="s">
        <v>366</v>
      </c>
      <c r="E1" s="22"/>
      <c r="F1" s="24" t="s">
        <v>208</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733</v>
      </c>
      <c r="Y1" s="80" t="s">
        <v>770</v>
      </c>
      <c r="AA1" s="36" t="s">
        <v>419</v>
      </c>
    </row>
    <row r="2" spans="1:28" x14ac:dyDescent="0.15">
      <c r="A2">
        <v>1</v>
      </c>
      <c r="B2">
        <v>159981</v>
      </c>
      <c r="C2" t="s">
        <v>27</v>
      </c>
      <c r="D2">
        <f t="shared" ref="D2:D10" si="0">MATCH(IF(B2&lt;499999,"SZ"&amp;B2,"SH"&amp;B2),$H$2:$H$1668,0)</f>
        <v>10</v>
      </c>
      <c r="G2" s="11">
        <v>1</v>
      </c>
      <c r="H2" t="s">
        <v>1019</v>
      </c>
      <c r="I2" t="s">
        <v>1020</v>
      </c>
      <c r="J2" t="s">
        <v>308</v>
      </c>
      <c r="K2" s="43">
        <v>-4.4000000000000003E-3</v>
      </c>
      <c r="L2" s="39">
        <v>6.7000000000000002E-3</v>
      </c>
      <c r="M2" s="39">
        <v>6.9999999999999999E-4</v>
      </c>
      <c r="N2" s="43">
        <v>4.53E-2</v>
      </c>
      <c r="O2" s="39">
        <v>-7.7000000000000002E-3</v>
      </c>
      <c r="P2" s="39">
        <v>-1.77E-2</v>
      </c>
      <c r="Q2" s="39">
        <v>-1.77E-2</v>
      </c>
      <c r="R2" s="39">
        <v>-1.77E-2</v>
      </c>
      <c r="S2" s="39">
        <v>-1.77E-2</v>
      </c>
      <c r="T2">
        <v>100</v>
      </c>
      <c r="U2">
        <v>95.3</v>
      </c>
      <c r="V2">
        <v>97.32</v>
      </c>
      <c r="W2" s="17">
        <v>816.17322739999997</v>
      </c>
      <c r="X2" s="83" t="s">
        <v>734</v>
      </c>
      <c r="Y2" s="81" t="s">
        <v>771</v>
      </c>
      <c r="AA2" s="9"/>
      <c r="AB2" s="9"/>
    </row>
    <row r="3" spans="1:28" x14ac:dyDescent="0.15">
      <c r="A3">
        <v>2</v>
      </c>
      <c r="B3">
        <v>160416</v>
      </c>
      <c r="C3" t="s">
        <v>26</v>
      </c>
      <c r="D3" t="e">
        <f t="shared" si="0"/>
        <v>#N/A</v>
      </c>
      <c r="G3" s="11">
        <v>2</v>
      </c>
      <c r="H3" t="s">
        <v>86</v>
      </c>
      <c r="I3" t="s">
        <v>325</v>
      </c>
      <c r="J3" t="s">
        <v>363</v>
      </c>
      <c r="K3" s="43">
        <v>-4.3E-3</v>
      </c>
      <c r="L3" s="39">
        <v>8.0000000000000004E-4</v>
      </c>
      <c r="M3" s="39">
        <v>3.2000000000000002E-3</v>
      </c>
      <c r="N3" s="43">
        <v>3.5000000000000001E-3</v>
      </c>
      <c r="O3" s="39">
        <v>1.2999999999999999E-3</v>
      </c>
      <c r="P3" s="39">
        <v>8.5000000000000006E-3</v>
      </c>
      <c r="Q3" s="39">
        <v>3.0700000000000002E-2</v>
      </c>
      <c r="R3" s="39">
        <v>7.0400000000000004E-2</v>
      </c>
      <c r="S3" s="39">
        <v>0.11849999999999999</v>
      </c>
      <c r="T3">
        <v>99.33</v>
      </c>
      <c r="U3">
        <v>79.87</v>
      </c>
      <c r="V3">
        <v>96.64</v>
      </c>
      <c r="W3" s="17">
        <v>4240.2549300000001</v>
      </c>
      <c r="AA3" s="9"/>
      <c r="AB3" s="9"/>
    </row>
    <row r="4" spans="1:28" x14ac:dyDescent="0.15">
      <c r="A4">
        <v>3</v>
      </c>
      <c r="B4">
        <v>164906</v>
      </c>
      <c r="C4" t="s">
        <v>25</v>
      </c>
      <c r="D4">
        <f t="shared" si="0"/>
        <v>9</v>
      </c>
      <c r="G4" s="11">
        <v>3</v>
      </c>
      <c r="H4" s="10" t="s">
        <v>189</v>
      </c>
      <c r="I4" t="s">
        <v>264</v>
      </c>
      <c r="J4" t="s">
        <v>224</v>
      </c>
      <c r="K4" s="43">
        <v>-1.6000000000000001E-3</v>
      </c>
      <c r="L4" s="39">
        <v>2.76E-2</v>
      </c>
      <c r="M4" s="39">
        <v>7.6999999999999999E-2</v>
      </c>
      <c r="N4" s="43">
        <v>4.1599999999999998E-2</v>
      </c>
      <c r="O4" s="39">
        <v>2.4500000000000001E-2</v>
      </c>
      <c r="P4" s="39">
        <v>-0.26450000000000001</v>
      </c>
      <c r="Q4" s="39">
        <v>0.50029999999999997</v>
      </c>
      <c r="R4" s="39">
        <v>0.1071</v>
      </c>
      <c r="S4" s="39">
        <v>0.15179999999999999</v>
      </c>
      <c r="T4">
        <v>98.66</v>
      </c>
      <c r="U4">
        <v>94.63</v>
      </c>
      <c r="V4">
        <v>81.88</v>
      </c>
      <c r="W4" s="17">
        <v>52986.233992900001</v>
      </c>
      <c r="X4" s="83" t="s">
        <v>734</v>
      </c>
      <c r="AA4" s="9"/>
      <c r="AB4" s="9"/>
    </row>
    <row r="5" spans="1:28" x14ac:dyDescent="0.15">
      <c r="A5">
        <v>4</v>
      </c>
      <c r="B5">
        <v>159985</v>
      </c>
      <c r="C5" t="s">
        <v>24</v>
      </c>
      <c r="D5">
        <f t="shared" si="0"/>
        <v>122</v>
      </c>
      <c r="G5" s="11">
        <v>4</v>
      </c>
      <c r="H5" s="10" t="s">
        <v>89</v>
      </c>
      <c r="I5" t="s">
        <v>1052</v>
      </c>
      <c r="J5" t="s">
        <v>769</v>
      </c>
      <c r="K5" s="43">
        <v>-3.0999999999999999E-3</v>
      </c>
      <c r="L5" s="39">
        <v>-2.0000000000000001E-4</v>
      </c>
      <c r="M5" s="39">
        <v>8.9999999999999998E-4</v>
      </c>
      <c r="N5" s="43">
        <v>1.8E-3</v>
      </c>
      <c r="O5" s="39">
        <v>-5.9999999999999995E-4</v>
      </c>
      <c r="P5" s="39">
        <v>5.1999999999999998E-3</v>
      </c>
      <c r="Q5" s="39">
        <v>2.8500000000000001E-2</v>
      </c>
      <c r="R5" s="39">
        <v>7.5800000000000006E-2</v>
      </c>
      <c r="S5" s="39">
        <v>0.1227</v>
      </c>
      <c r="T5">
        <v>97.99</v>
      </c>
      <c r="U5">
        <v>78.52</v>
      </c>
      <c r="V5">
        <v>94.63</v>
      </c>
      <c r="W5" s="17">
        <v>33744.6898</v>
      </c>
      <c r="AA5" s="9"/>
      <c r="AB5" s="9"/>
    </row>
    <row r="6" spans="1:28" x14ac:dyDescent="0.15">
      <c r="A6">
        <v>5</v>
      </c>
      <c r="B6">
        <v>501046</v>
      </c>
      <c r="C6" t="s">
        <v>34</v>
      </c>
      <c r="D6" t="e">
        <f t="shared" si="0"/>
        <v>#N/A</v>
      </c>
      <c r="G6" s="11">
        <v>5</v>
      </c>
      <c r="H6" t="s">
        <v>322</v>
      </c>
      <c r="I6" t="s">
        <v>323</v>
      </c>
      <c r="J6" t="s">
        <v>363</v>
      </c>
      <c r="K6" s="43">
        <v>-1E-3</v>
      </c>
      <c r="L6" s="39">
        <v>3.5000000000000003E-2</v>
      </c>
      <c r="M6" s="39">
        <v>5.0099999999999999E-2</v>
      </c>
      <c r="N6" s="43">
        <v>7.4499999999999997E-2</v>
      </c>
      <c r="O6" s="39">
        <v>7.5399999999999995E-2</v>
      </c>
      <c r="P6" s="39">
        <v>-0.1137</v>
      </c>
      <c r="Q6" s="39">
        <v>0.1628</v>
      </c>
      <c r="R6" s="39">
        <v>-6.0999999999999999E-2</v>
      </c>
      <c r="S6" s="39">
        <v>3.7999999999999999E-2</v>
      </c>
      <c r="T6">
        <v>97.32</v>
      </c>
      <c r="U6">
        <v>98.66</v>
      </c>
      <c r="V6">
        <v>73.83</v>
      </c>
      <c r="W6" s="17">
        <v>2167.4674</v>
      </c>
      <c r="AA6" t="s">
        <v>1200</v>
      </c>
    </row>
    <row r="7" spans="1:28" x14ac:dyDescent="0.15">
      <c r="A7">
        <v>6</v>
      </c>
      <c r="B7">
        <v>160216</v>
      </c>
      <c r="C7" t="s">
        <v>22</v>
      </c>
      <c r="D7" t="e">
        <f t="shared" si="0"/>
        <v>#N/A</v>
      </c>
      <c r="G7" s="11">
        <v>6</v>
      </c>
      <c r="H7" s="10" t="s">
        <v>92</v>
      </c>
      <c r="I7" t="s">
        <v>1053</v>
      </c>
      <c r="J7" t="s">
        <v>769</v>
      </c>
      <c r="K7" s="43">
        <v>-3.3999999999999998E-3</v>
      </c>
      <c r="L7" s="39">
        <v>5.9999999999999995E-4</v>
      </c>
      <c r="M7" s="39">
        <v>1.1999999999999999E-3</v>
      </c>
      <c r="N7" s="43">
        <v>1.2999999999999999E-3</v>
      </c>
      <c r="O7" s="39">
        <v>4.0000000000000002E-4</v>
      </c>
      <c r="P7" s="39">
        <v>5.4999999999999997E-3</v>
      </c>
      <c r="Q7" s="39">
        <v>2.5399999999999999E-2</v>
      </c>
      <c r="R7" s="39">
        <v>6.3500000000000001E-2</v>
      </c>
      <c r="S7" s="39">
        <v>0.1069</v>
      </c>
      <c r="T7">
        <v>96.64</v>
      </c>
      <c r="U7">
        <v>75.84</v>
      </c>
      <c r="V7">
        <v>95.97</v>
      </c>
      <c r="W7" s="17">
        <v>32744.102999999999</v>
      </c>
    </row>
    <row r="8" spans="1:28" x14ac:dyDescent="0.15">
      <c r="A8">
        <v>7</v>
      </c>
      <c r="B8">
        <v>513680</v>
      </c>
      <c r="C8" t="s">
        <v>77</v>
      </c>
      <c r="D8" t="e">
        <f t="shared" si="0"/>
        <v>#N/A</v>
      </c>
      <c r="G8" s="11">
        <v>7</v>
      </c>
      <c r="H8" s="10" t="s">
        <v>157</v>
      </c>
      <c r="I8" t="s">
        <v>237</v>
      </c>
      <c r="J8" t="s">
        <v>224</v>
      </c>
      <c r="K8" s="43">
        <v>-3.0000000000000001E-3</v>
      </c>
      <c r="L8" s="39">
        <v>1.7600000000000001E-2</v>
      </c>
      <c r="M8" s="39">
        <v>2.4199999999999999E-2</v>
      </c>
      <c r="N8" s="43">
        <v>3.3999999999999998E-3</v>
      </c>
      <c r="O8" s="39">
        <v>-5.8999999999999997E-2</v>
      </c>
      <c r="P8" s="39">
        <v>-0.2457</v>
      </c>
      <c r="Q8" s="39">
        <v>-3.8399999999999997E-2</v>
      </c>
      <c r="R8" s="39">
        <v>-0.2707</v>
      </c>
      <c r="S8" s="39">
        <v>-0.20860000000000001</v>
      </c>
      <c r="T8">
        <v>95.97</v>
      </c>
      <c r="U8">
        <v>79.19</v>
      </c>
      <c r="V8">
        <v>91.95</v>
      </c>
      <c r="W8" s="17">
        <v>8938.7964799999991</v>
      </c>
      <c r="X8" s="83" t="s">
        <v>734</v>
      </c>
    </row>
    <row r="9" spans="1:28" x14ac:dyDescent="0.15">
      <c r="A9">
        <v>8</v>
      </c>
      <c r="B9">
        <v>160717</v>
      </c>
      <c r="C9" t="s">
        <v>19</v>
      </c>
      <c r="D9" t="e">
        <f t="shared" si="0"/>
        <v>#N/A</v>
      </c>
      <c r="G9" s="11">
        <v>8</v>
      </c>
      <c r="H9" s="10" t="s">
        <v>87</v>
      </c>
      <c r="I9" t="s">
        <v>324</v>
      </c>
      <c r="J9" t="s">
        <v>363</v>
      </c>
      <c r="K9" s="43">
        <v>-2.8E-3</v>
      </c>
      <c r="L9" s="39">
        <v>4.0000000000000002E-4</v>
      </c>
      <c r="M9" s="39">
        <v>8.9999999999999998E-4</v>
      </c>
      <c r="N9" s="43">
        <v>1.4E-3</v>
      </c>
      <c r="O9" s="39">
        <v>2.8E-3</v>
      </c>
      <c r="P9" s="39">
        <v>8.3999999999999995E-3</v>
      </c>
      <c r="Q9" s="39">
        <v>2.6499999999999999E-2</v>
      </c>
      <c r="R9" s="39">
        <v>5.5800000000000002E-2</v>
      </c>
      <c r="S9" s="39">
        <v>9.2399999999999996E-2</v>
      </c>
      <c r="T9">
        <v>95.3</v>
      </c>
      <c r="U9">
        <v>76.510000000000005</v>
      </c>
      <c r="V9">
        <v>91.28</v>
      </c>
      <c r="W9" s="17">
        <v>3775.03944</v>
      </c>
    </row>
    <row r="10" spans="1:28" x14ac:dyDescent="0.15">
      <c r="A10">
        <v>9</v>
      </c>
      <c r="B10">
        <v>162411</v>
      </c>
      <c r="C10" t="s">
        <v>21</v>
      </c>
      <c r="D10">
        <f t="shared" si="0"/>
        <v>135</v>
      </c>
      <c r="G10" s="11">
        <v>9</v>
      </c>
      <c r="H10" s="10" t="s">
        <v>183</v>
      </c>
      <c r="I10" t="s">
        <v>310</v>
      </c>
      <c r="J10" t="s">
        <v>308</v>
      </c>
      <c r="K10" s="43">
        <v>-5.1000000000000004E-3</v>
      </c>
      <c r="L10" s="39">
        <v>-3.7999999999999999E-2</v>
      </c>
      <c r="M10" s="39">
        <v>-4.7399999999999998E-2</v>
      </c>
      <c r="N10" s="43">
        <v>-1.1900000000000001E-2</v>
      </c>
      <c r="O10" s="39">
        <v>-7.3800000000000004E-2</v>
      </c>
      <c r="P10" s="39">
        <v>-3.7699999999999997E-2</v>
      </c>
      <c r="Q10" s="39">
        <v>-1.5E-3</v>
      </c>
      <c r="R10" s="39">
        <v>-0.29670000000000002</v>
      </c>
      <c r="S10" s="39">
        <v>-0.52010000000000001</v>
      </c>
      <c r="T10">
        <v>94.63</v>
      </c>
      <c r="U10">
        <v>65.099999999999994</v>
      </c>
      <c r="V10">
        <v>97.99</v>
      </c>
      <c r="W10" s="17">
        <v>1374.3063635999999</v>
      </c>
    </row>
    <row r="11" spans="1:28" x14ac:dyDescent="0.15">
      <c r="G11" s="11">
        <v>10</v>
      </c>
      <c r="H11" t="s">
        <v>84</v>
      </c>
      <c r="I11" t="s">
        <v>1072</v>
      </c>
      <c r="J11" t="s">
        <v>224</v>
      </c>
      <c r="K11" s="43">
        <v>-3.0999999999999999E-3</v>
      </c>
      <c r="L11" s="39">
        <v>-6.9999999999999999E-4</v>
      </c>
      <c r="M11" s="39">
        <v>2.0799999999999999E-2</v>
      </c>
      <c r="N11" s="43">
        <v>-5.8999999999999999E-3</v>
      </c>
      <c r="O11" s="39">
        <v>-3.4700000000000002E-2</v>
      </c>
      <c r="P11" s="39">
        <v>0.1522</v>
      </c>
      <c r="Q11" s="39">
        <v>0.13109999999999999</v>
      </c>
      <c r="R11" s="39">
        <v>0.15409999999999999</v>
      </c>
      <c r="S11" s="39">
        <v>0.82379999999999998</v>
      </c>
      <c r="T11">
        <v>93.96</v>
      </c>
      <c r="U11">
        <v>68.459999999999994</v>
      </c>
      <c r="V11">
        <v>93.96</v>
      </c>
      <c r="W11" s="17">
        <v>3343.1545100000003</v>
      </c>
      <c r="X11" s="83" t="s">
        <v>734</v>
      </c>
    </row>
    <row r="12" spans="1:28" x14ac:dyDescent="0.15">
      <c r="G12" s="11">
        <v>11</v>
      </c>
      <c r="H12" t="s">
        <v>165</v>
      </c>
      <c r="I12" t="s">
        <v>233</v>
      </c>
      <c r="J12" t="s">
        <v>224</v>
      </c>
      <c r="K12" s="43">
        <v>-8.9999999999999998E-4</v>
      </c>
      <c r="L12" s="39">
        <v>1.4500000000000001E-2</v>
      </c>
      <c r="M12" s="39">
        <v>-5.7999999999999996E-3</v>
      </c>
      <c r="N12" s="43">
        <v>2.75E-2</v>
      </c>
      <c r="O12" s="39">
        <v>1.0800000000000001E-2</v>
      </c>
      <c r="P12" s="39">
        <v>-1.7100000000000001E-2</v>
      </c>
      <c r="Q12" s="39">
        <v>-0.15040000000000001</v>
      </c>
      <c r="R12" s="39">
        <v>-0.2137</v>
      </c>
      <c r="S12" s="39">
        <v>-0.32740000000000002</v>
      </c>
      <c r="T12">
        <v>93.29</v>
      </c>
      <c r="U12">
        <v>89.93</v>
      </c>
      <c r="V12">
        <v>71.14</v>
      </c>
      <c r="W12" s="17">
        <v>9363.9037399999997</v>
      </c>
      <c r="X12" s="83" t="s">
        <v>734</v>
      </c>
    </row>
    <row r="13" spans="1:28" x14ac:dyDescent="0.15">
      <c r="G13" s="11">
        <v>12</v>
      </c>
      <c r="H13" s="10" t="s">
        <v>142</v>
      </c>
      <c r="I13" t="s">
        <v>301</v>
      </c>
      <c r="J13" t="s">
        <v>224</v>
      </c>
      <c r="K13" s="43">
        <v>-3.3999999999999998E-3</v>
      </c>
      <c r="L13" s="39">
        <v>3.0000000000000001E-3</v>
      </c>
      <c r="M13" s="39">
        <v>8.0999999999999996E-3</v>
      </c>
      <c r="N13" s="43">
        <v>-1.9599999999999999E-2</v>
      </c>
      <c r="O13" s="39">
        <v>-3.2199999999999999E-2</v>
      </c>
      <c r="P13" s="39">
        <v>-0.15759999999999999</v>
      </c>
      <c r="Q13" s="39">
        <v>-0.126</v>
      </c>
      <c r="R13" s="39">
        <v>-0.39169999999999999</v>
      </c>
      <c r="S13" s="39">
        <v>-0.36799999999999999</v>
      </c>
      <c r="T13">
        <v>92.62</v>
      </c>
      <c r="U13">
        <v>57.05</v>
      </c>
      <c r="V13">
        <v>95.3</v>
      </c>
      <c r="W13" s="17">
        <v>330189.34769999998</v>
      </c>
      <c r="X13" s="83" t="s">
        <v>734</v>
      </c>
    </row>
    <row r="14" spans="1:28" x14ac:dyDescent="0.15">
      <c r="G14" s="11">
        <v>13</v>
      </c>
      <c r="H14" s="10" t="s">
        <v>110</v>
      </c>
      <c r="I14" t="s">
        <v>234</v>
      </c>
      <c r="J14" t="s">
        <v>224</v>
      </c>
      <c r="K14" s="43">
        <v>-2.2000000000000001E-3</v>
      </c>
      <c r="L14" s="39">
        <v>-2.1600000000000001E-2</v>
      </c>
      <c r="M14" s="39">
        <v>-1.6E-2</v>
      </c>
      <c r="N14" s="43">
        <v>-1.32E-2</v>
      </c>
      <c r="O14" s="39">
        <v>-6.9000000000000006E-2</v>
      </c>
      <c r="P14" s="39">
        <v>-1.78E-2</v>
      </c>
      <c r="Q14" s="39">
        <v>-3.9100000000000003E-2</v>
      </c>
      <c r="R14" s="39">
        <v>-7.4000000000000003E-3</v>
      </c>
      <c r="S14" s="39">
        <v>0.55189999999999995</v>
      </c>
      <c r="T14">
        <v>91.95</v>
      </c>
      <c r="U14">
        <v>63.09</v>
      </c>
      <c r="V14">
        <v>87.25</v>
      </c>
      <c r="W14" s="17">
        <v>4149.1166999999996</v>
      </c>
    </row>
    <row r="15" spans="1:28" x14ac:dyDescent="0.15">
      <c r="G15" s="11">
        <v>14</v>
      </c>
      <c r="H15" s="10" t="s">
        <v>141</v>
      </c>
      <c r="I15" t="s">
        <v>283</v>
      </c>
      <c r="J15" t="s">
        <v>224</v>
      </c>
      <c r="K15" s="43">
        <v>-2.3999999999999998E-3</v>
      </c>
      <c r="L15" s="39">
        <v>0</v>
      </c>
      <c r="M15" s="39">
        <v>1.6500000000000001E-2</v>
      </c>
      <c r="N15" s="43">
        <v>-1.54E-2</v>
      </c>
      <c r="O15" s="39">
        <v>-7.1999999999999995E-2</v>
      </c>
      <c r="P15" s="39">
        <v>-0.185</v>
      </c>
      <c r="Q15" s="39">
        <v>-0.24540000000000001</v>
      </c>
      <c r="R15" s="39">
        <v>-0.48949999999999999</v>
      </c>
      <c r="S15" s="39">
        <v>-0.24099999999999999</v>
      </c>
      <c r="T15">
        <v>91.28</v>
      </c>
      <c r="U15">
        <v>60.4</v>
      </c>
      <c r="V15">
        <v>88.59</v>
      </c>
      <c r="W15" s="17">
        <v>27003.183690499998</v>
      </c>
    </row>
    <row r="16" spans="1:28" x14ac:dyDescent="0.15">
      <c r="G16" s="11">
        <v>15</v>
      </c>
      <c r="H16" s="10" t="s">
        <v>94</v>
      </c>
      <c r="I16" t="s">
        <v>248</v>
      </c>
      <c r="J16" t="s">
        <v>224</v>
      </c>
      <c r="K16" s="43">
        <v>-8.0000000000000004E-4</v>
      </c>
      <c r="L16" s="39">
        <v>-2.5399999999999999E-2</v>
      </c>
      <c r="M16" s="39">
        <v>-8.0999999999999996E-3</v>
      </c>
      <c r="N16" s="43">
        <v>8.3999999999999995E-3</v>
      </c>
      <c r="O16" s="39">
        <v>-3.39E-2</v>
      </c>
      <c r="P16" s="39">
        <v>6.3799999999999996E-2</v>
      </c>
      <c r="Q16" s="39">
        <v>4.3499999999999997E-2</v>
      </c>
      <c r="R16" s="39">
        <v>0.42309999999999998</v>
      </c>
      <c r="S16" s="39">
        <v>0.89419999999999999</v>
      </c>
      <c r="T16">
        <v>90.6</v>
      </c>
      <c r="U16">
        <v>83.22</v>
      </c>
      <c r="V16">
        <v>64.430000000000007</v>
      </c>
      <c r="W16" s="17">
        <v>1415.1677400000001</v>
      </c>
    </row>
    <row r="17" spans="7:25" x14ac:dyDescent="0.15">
      <c r="G17" s="11">
        <v>16</v>
      </c>
      <c r="H17" s="10" t="s">
        <v>178</v>
      </c>
      <c r="I17" t="s">
        <v>245</v>
      </c>
      <c r="J17" t="s">
        <v>224</v>
      </c>
      <c r="K17" s="43">
        <v>-5.0000000000000001E-4</v>
      </c>
      <c r="L17" s="39">
        <v>1.4500000000000001E-2</v>
      </c>
      <c r="M17" s="39">
        <v>2.3699999999999999E-2</v>
      </c>
      <c r="N17" s="43">
        <v>2.1600000000000001E-2</v>
      </c>
      <c r="O17" s="39">
        <v>-4.8800000000000003E-2</v>
      </c>
      <c r="P17" s="39">
        <v>-0.23960000000000001</v>
      </c>
      <c r="Q17" s="39">
        <v>8.6400000000000005E-2</v>
      </c>
      <c r="R17" s="39">
        <v>-0.193</v>
      </c>
      <c r="S17" s="39">
        <v>-0.1966</v>
      </c>
      <c r="T17">
        <v>89.93</v>
      </c>
      <c r="U17">
        <v>87.25</v>
      </c>
      <c r="V17">
        <v>59.73</v>
      </c>
      <c r="W17" s="17">
        <v>9757.8886000000002</v>
      </c>
    </row>
    <row r="18" spans="7:25" x14ac:dyDescent="0.15">
      <c r="G18" s="11">
        <v>17</v>
      </c>
      <c r="H18" t="s">
        <v>458</v>
      </c>
      <c r="I18" t="s">
        <v>459</v>
      </c>
      <c r="J18" t="s">
        <v>450</v>
      </c>
      <c r="K18" s="43">
        <v>-1.1999999999999999E-3</v>
      </c>
      <c r="L18" s="39">
        <v>-1.9699999999999999E-2</v>
      </c>
      <c r="M18" s="39">
        <v>-2.0299999999999999E-2</v>
      </c>
      <c r="N18" s="43">
        <v>-3.5000000000000001E-3</v>
      </c>
      <c r="O18" s="39">
        <v>1.41E-2</v>
      </c>
      <c r="P18" s="39">
        <v>-3.4299999999999997E-2</v>
      </c>
      <c r="Q18" s="39">
        <v>-7.1000000000000004E-3</v>
      </c>
      <c r="R18" s="39">
        <v>-1.8800000000000001E-2</v>
      </c>
      <c r="S18" s="39">
        <v>-1.8800000000000001E-2</v>
      </c>
      <c r="T18">
        <v>89.26</v>
      </c>
      <c r="U18">
        <v>69.13</v>
      </c>
      <c r="V18">
        <v>77.180000000000007</v>
      </c>
      <c r="W18" s="17">
        <v>13703.404180000001</v>
      </c>
      <c r="X18" s="83" t="s">
        <v>734</v>
      </c>
    </row>
    <row r="19" spans="7:25" x14ac:dyDescent="0.15">
      <c r="G19" s="11">
        <v>18</v>
      </c>
      <c r="H19" t="s">
        <v>455</v>
      </c>
      <c r="I19" t="s">
        <v>456</v>
      </c>
      <c r="J19" t="s">
        <v>450</v>
      </c>
      <c r="K19" s="43">
        <v>-5.0000000000000001E-4</v>
      </c>
      <c r="L19" s="39">
        <v>-2.8400000000000002E-2</v>
      </c>
      <c r="M19" s="39">
        <v>-3.5400000000000001E-2</v>
      </c>
      <c r="N19" s="43">
        <v>1.61E-2</v>
      </c>
      <c r="O19" s="39">
        <v>3.1800000000000002E-2</v>
      </c>
      <c r="P19" s="39">
        <v>-7.8100000000000003E-2</v>
      </c>
      <c r="Q19" s="39">
        <v>-6.0400000000000002E-2</v>
      </c>
      <c r="R19" s="39">
        <v>7.9500000000000001E-2</v>
      </c>
      <c r="S19" s="39">
        <v>7.9500000000000001E-2</v>
      </c>
      <c r="T19">
        <v>88.59</v>
      </c>
      <c r="U19">
        <v>86.58</v>
      </c>
      <c r="V19">
        <v>58.39</v>
      </c>
      <c r="W19" s="17">
        <v>5240.5286799999994</v>
      </c>
    </row>
    <row r="20" spans="7:25" x14ac:dyDescent="0.15">
      <c r="G20" s="11">
        <v>19</v>
      </c>
      <c r="H20" s="10" t="s">
        <v>139</v>
      </c>
      <c r="I20" t="s">
        <v>16</v>
      </c>
      <c r="J20" t="s">
        <v>363</v>
      </c>
      <c r="K20" s="43">
        <v>-1.4E-3</v>
      </c>
      <c r="L20" s="39">
        <v>-1.6999999999999999E-3</v>
      </c>
      <c r="M20" s="39">
        <v>-1.9E-3</v>
      </c>
      <c r="N20" s="43">
        <v>-1.29E-2</v>
      </c>
      <c r="O20" s="39">
        <v>-3.2099999999999997E-2</v>
      </c>
      <c r="P20" s="39">
        <v>-3.8300000000000001E-2</v>
      </c>
      <c r="Q20" s="39">
        <v>-3.1099999999999999E-2</v>
      </c>
      <c r="R20" s="39">
        <v>-7.6600000000000001E-2</v>
      </c>
      <c r="S20" s="39">
        <v>5.21E-2</v>
      </c>
      <c r="T20">
        <v>87.92</v>
      </c>
      <c r="U20">
        <v>64.430000000000007</v>
      </c>
      <c r="V20">
        <v>79.87</v>
      </c>
      <c r="W20" s="17">
        <v>88257.753100000002</v>
      </c>
    </row>
    <row r="21" spans="7:25" x14ac:dyDescent="0.15">
      <c r="G21" s="11">
        <v>20</v>
      </c>
      <c r="H21" s="10" t="s">
        <v>387</v>
      </c>
      <c r="I21" t="s">
        <v>764</v>
      </c>
      <c r="J21" t="s">
        <v>769</v>
      </c>
      <c r="K21" s="43">
        <v>-8.0000000000000004E-4</v>
      </c>
      <c r="L21" s="39">
        <v>-4.0000000000000002E-4</v>
      </c>
      <c r="M21" s="39">
        <v>-2.0000000000000001E-4</v>
      </c>
      <c r="N21" s="43">
        <v>1.5E-3</v>
      </c>
      <c r="O21" s="39">
        <v>6.1999999999999998E-3</v>
      </c>
      <c r="P21" s="39">
        <v>0.01</v>
      </c>
      <c r="Q21" s="39">
        <v>3.7400000000000003E-2</v>
      </c>
      <c r="R21" s="39">
        <v>6.6299999999999998E-2</v>
      </c>
      <c r="S21" s="39">
        <v>0.1208</v>
      </c>
      <c r="T21">
        <v>87.25</v>
      </c>
      <c r="U21">
        <v>77.180000000000007</v>
      </c>
      <c r="V21">
        <v>65.099999999999994</v>
      </c>
      <c r="W21" s="17">
        <v>1198.2542599999999</v>
      </c>
      <c r="Y21" s="81" t="s">
        <v>771</v>
      </c>
    </row>
    <row r="22" spans="7:25" x14ac:dyDescent="0.15">
      <c r="G22" s="11">
        <v>21</v>
      </c>
      <c r="H22" s="10" t="s">
        <v>109</v>
      </c>
      <c r="I22" t="s">
        <v>1051</v>
      </c>
      <c r="J22" t="s">
        <v>224</v>
      </c>
      <c r="K22" s="43">
        <v>-2.9999999999999997E-4</v>
      </c>
      <c r="L22" s="39">
        <v>-5.3E-3</v>
      </c>
      <c r="M22" s="39">
        <v>8.3000000000000001E-3</v>
      </c>
      <c r="N22" s="43">
        <v>2.6499999999999999E-2</v>
      </c>
      <c r="O22" s="39">
        <v>9.1399999999999995E-2</v>
      </c>
      <c r="P22" s="39">
        <v>-2.53E-2</v>
      </c>
      <c r="Q22" s="39">
        <v>-0.1273</v>
      </c>
      <c r="R22" s="39">
        <v>-0.25219999999999998</v>
      </c>
      <c r="S22" s="39">
        <v>-0.40279999999999999</v>
      </c>
      <c r="T22">
        <v>86.58</v>
      </c>
      <c r="U22">
        <v>89.26</v>
      </c>
      <c r="V22">
        <v>51.68</v>
      </c>
      <c r="W22" s="17">
        <v>3283.6553199999998</v>
      </c>
      <c r="X22" s="83" t="s">
        <v>734</v>
      </c>
    </row>
    <row r="23" spans="7:25" x14ac:dyDescent="0.15">
      <c r="G23" s="11">
        <v>22</v>
      </c>
      <c r="H23" t="s">
        <v>171</v>
      </c>
      <c r="I23" t="s">
        <v>242</v>
      </c>
      <c r="J23" t="s">
        <v>224</v>
      </c>
      <c r="K23" s="43">
        <v>-1E-4</v>
      </c>
      <c r="L23" s="39">
        <v>1.15E-2</v>
      </c>
      <c r="M23" s="39">
        <v>2.7E-2</v>
      </c>
      <c r="N23" s="43">
        <v>3.73E-2</v>
      </c>
      <c r="O23" s="39">
        <v>1.9E-2</v>
      </c>
      <c r="P23" s="39">
        <v>-0.183</v>
      </c>
      <c r="Q23" s="39">
        <v>0.35849999999999999</v>
      </c>
      <c r="R23" s="39">
        <v>2.6200000000000001E-2</v>
      </c>
      <c r="S23" s="39">
        <v>-0.12609999999999999</v>
      </c>
      <c r="T23">
        <v>85.91</v>
      </c>
      <c r="U23">
        <v>91.95</v>
      </c>
      <c r="V23">
        <v>46.31</v>
      </c>
      <c r="W23" s="17">
        <v>19938.8577</v>
      </c>
    </row>
    <row r="24" spans="7:25" x14ac:dyDescent="0.15">
      <c r="G24" s="11">
        <v>23</v>
      </c>
      <c r="H24" s="10" t="s">
        <v>154</v>
      </c>
      <c r="I24" t="s">
        <v>260</v>
      </c>
      <c r="J24" t="s">
        <v>224</v>
      </c>
      <c r="K24" s="43">
        <v>-2.8E-3</v>
      </c>
      <c r="L24" s="39">
        <v>-1.49E-2</v>
      </c>
      <c r="M24" s="39">
        <v>-6.4000000000000003E-3</v>
      </c>
      <c r="N24" s="43">
        <v>-3.6999999999999998E-2</v>
      </c>
      <c r="O24" s="39">
        <v>-2.41E-2</v>
      </c>
      <c r="P24" s="39">
        <v>-0.1305</v>
      </c>
      <c r="Q24" s="39">
        <v>1.14E-2</v>
      </c>
      <c r="R24" s="39">
        <v>-0.2898</v>
      </c>
      <c r="S24" s="39">
        <v>-0.26069999999999999</v>
      </c>
      <c r="T24">
        <v>85.23</v>
      </c>
      <c r="U24">
        <v>46.31</v>
      </c>
      <c r="V24">
        <v>90.6</v>
      </c>
      <c r="W24" s="17">
        <v>4836.4094656999996</v>
      </c>
    </row>
    <row r="25" spans="7:25" x14ac:dyDescent="0.15">
      <c r="G25" s="11">
        <v>24</v>
      </c>
      <c r="H25" t="s">
        <v>135</v>
      </c>
      <c r="I25" t="s">
        <v>1054</v>
      </c>
      <c r="J25" t="s">
        <v>224</v>
      </c>
      <c r="K25" s="43">
        <v>-2.9999999999999997E-4</v>
      </c>
      <c r="L25" s="39">
        <v>9.5999999999999992E-3</v>
      </c>
      <c r="M25" s="39">
        <v>2.8199999999999999E-2</v>
      </c>
      <c r="N25" s="43">
        <v>8.8000000000000005E-3</v>
      </c>
      <c r="O25" s="39">
        <v>-6.0000000000000001E-3</v>
      </c>
      <c r="P25" s="39">
        <v>-0.17030000000000001</v>
      </c>
      <c r="Q25" s="39">
        <v>0.1326</v>
      </c>
      <c r="R25" s="39">
        <v>-0.2205</v>
      </c>
      <c r="S25" s="39">
        <v>-0.21529999999999999</v>
      </c>
      <c r="T25">
        <v>84.56</v>
      </c>
      <c r="U25">
        <v>83.89</v>
      </c>
      <c r="V25">
        <v>53.02</v>
      </c>
      <c r="W25" s="17">
        <v>37061.383857000001</v>
      </c>
      <c r="X25" s="83" t="s">
        <v>734</v>
      </c>
    </row>
    <row r="26" spans="7:25" x14ac:dyDescent="0.15">
      <c r="G26" s="11">
        <v>25</v>
      </c>
      <c r="H26" t="s">
        <v>125</v>
      </c>
      <c r="I26" t="s">
        <v>279</v>
      </c>
      <c r="J26" t="s">
        <v>224</v>
      </c>
      <c r="K26" s="43">
        <v>-4.0000000000000002E-4</v>
      </c>
      <c r="L26" s="39">
        <v>-1.06E-2</v>
      </c>
      <c r="M26" s="39">
        <v>-0.02</v>
      </c>
      <c r="N26" s="43">
        <v>6.4000000000000003E-3</v>
      </c>
      <c r="O26" s="39">
        <v>-3.3099999999999997E-2</v>
      </c>
      <c r="P26" s="39">
        <v>4.5999999999999999E-3</v>
      </c>
      <c r="Q26" s="39">
        <v>-6.6400000000000001E-2</v>
      </c>
      <c r="R26" s="39">
        <v>-0.18640000000000001</v>
      </c>
      <c r="S26" s="39">
        <v>5.7299999999999997E-2</v>
      </c>
      <c r="T26">
        <v>83.89</v>
      </c>
      <c r="U26">
        <v>81.88</v>
      </c>
      <c r="V26">
        <v>53.69</v>
      </c>
      <c r="W26" s="17">
        <v>5695.4665999999997</v>
      </c>
    </row>
    <row r="27" spans="7:25" x14ac:dyDescent="0.15">
      <c r="G27" s="11">
        <v>26</v>
      </c>
      <c r="H27" s="10" t="s">
        <v>88</v>
      </c>
      <c r="I27" t="s">
        <v>332</v>
      </c>
      <c r="J27" t="s">
        <v>363</v>
      </c>
      <c r="K27" s="43">
        <v>-5.9999999999999995E-4</v>
      </c>
      <c r="L27" s="39">
        <v>5.0000000000000001E-4</v>
      </c>
      <c r="M27" s="39">
        <v>2.2000000000000001E-3</v>
      </c>
      <c r="N27" s="43">
        <v>2.9999999999999997E-4</v>
      </c>
      <c r="O27" s="39">
        <v>4.7000000000000002E-3</v>
      </c>
      <c r="P27" s="39">
        <v>7.4999999999999997E-3</v>
      </c>
      <c r="Q27" s="39">
        <v>3.5000000000000003E-2</v>
      </c>
      <c r="R27" s="39">
        <v>5.9299999999999999E-2</v>
      </c>
      <c r="S27" s="39">
        <v>0.10680000000000001</v>
      </c>
      <c r="T27">
        <v>83.22</v>
      </c>
      <c r="U27">
        <v>71.81</v>
      </c>
      <c r="V27">
        <v>62.42</v>
      </c>
      <c r="W27" s="17">
        <v>39763.888200000001</v>
      </c>
    </row>
    <row r="28" spans="7:25" x14ac:dyDescent="0.15">
      <c r="G28" s="11">
        <v>27</v>
      </c>
      <c r="H28" s="10" t="s">
        <v>136</v>
      </c>
      <c r="I28" t="s">
        <v>236</v>
      </c>
      <c r="J28" t="s">
        <v>224</v>
      </c>
      <c r="K28" s="43">
        <v>-1E-4</v>
      </c>
      <c r="L28" s="39">
        <v>-5.0000000000000001E-4</v>
      </c>
      <c r="M28" s="39">
        <v>-1.2699999999999999E-2</v>
      </c>
      <c r="N28" s="43">
        <v>1.1900000000000001E-2</v>
      </c>
      <c r="O28" s="39">
        <v>-6.9999999999999999E-4</v>
      </c>
      <c r="P28" s="39">
        <v>-1.0699999999999999E-2</v>
      </c>
      <c r="Q28" s="39">
        <v>-0.1459</v>
      </c>
      <c r="R28" s="39">
        <v>-0.26350000000000001</v>
      </c>
      <c r="S28" s="39">
        <v>-0.26290000000000002</v>
      </c>
      <c r="T28">
        <v>82.55</v>
      </c>
      <c r="U28">
        <v>85.91</v>
      </c>
      <c r="V28">
        <v>47.65</v>
      </c>
      <c r="W28" s="17">
        <v>6208.2641838999998</v>
      </c>
      <c r="X28" s="83" t="s">
        <v>734</v>
      </c>
    </row>
    <row r="29" spans="7:25" x14ac:dyDescent="0.15">
      <c r="G29" s="11">
        <v>28</v>
      </c>
      <c r="H29" s="10" t="s">
        <v>98</v>
      </c>
      <c r="I29" t="s">
        <v>280</v>
      </c>
      <c r="J29" t="s">
        <v>224</v>
      </c>
      <c r="K29" s="43">
        <v>-5.0000000000000001E-4</v>
      </c>
      <c r="L29" s="39">
        <v>6.9999999999999999E-4</v>
      </c>
      <c r="M29" s="39">
        <v>2.3E-3</v>
      </c>
      <c r="N29" s="43">
        <v>0</v>
      </c>
      <c r="O29" s="39">
        <v>3.0000000000000001E-3</v>
      </c>
      <c r="P29" s="39">
        <v>4.4999999999999997E-3</v>
      </c>
      <c r="Q29" s="39">
        <v>2.93E-2</v>
      </c>
      <c r="R29" s="39">
        <v>5.45E-2</v>
      </c>
      <c r="S29" s="39">
        <v>9.1499999999999998E-2</v>
      </c>
      <c r="T29">
        <v>81.88</v>
      </c>
      <c r="U29">
        <v>70.47</v>
      </c>
      <c r="V29">
        <v>61.07</v>
      </c>
      <c r="W29" s="17">
        <v>43251.644800000002</v>
      </c>
    </row>
    <row r="30" spans="7:25" x14ac:dyDescent="0.15">
      <c r="G30" s="11">
        <v>29</v>
      </c>
      <c r="H30" s="10" t="s">
        <v>133</v>
      </c>
      <c r="I30" t="s">
        <v>232</v>
      </c>
      <c r="J30" t="s">
        <v>224</v>
      </c>
      <c r="K30" s="43">
        <v>-1.11E-2</v>
      </c>
      <c r="L30" s="39">
        <v>-2.1600000000000001E-2</v>
      </c>
      <c r="M30" s="39">
        <v>-1.7000000000000001E-2</v>
      </c>
      <c r="N30" s="43">
        <v>-4.8800000000000003E-2</v>
      </c>
      <c r="O30" s="39">
        <v>-2.6700000000000002E-2</v>
      </c>
      <c r="P30" s="39">
        <v>-8.9300000000000004E-2</v>
      </c>
      <c r="Q30" s="39">
        <v>7.3000000000000001E-3</v>
      </c>
      <c r="R30" s="39">
        <v>-0.3392</v>
      </c>
      <c r="S30" s="39">
        <v>-0.31009999999999999</v>
      </c>
      <c r="T30">
        <v>81.209999999999994</v>
      </c>
      <c r="U30">
        <v>31.54</v>
      </c>
      <c r="V30">
        <v>100</v>
      </c>
      <c r="W30" s="17">
        <v>1360.0214000000001</v>
      </c>
    </row>
    <row r="31" spans="7:25" x14ac:dyDescent="0.15">
      <c r="G31" s="11">
        <v>30</v>
      </c>
      <c r="H31" s="10" t="s">
        <v>351</v>
      </c>
      <c r="I31" t="s">
        <v>352</v>
      </c>
      <c r="J31" t="s">
        <v>363</v>
      </c>
      <c r="K31" s="43">
        <v>-1.6000000000000001E-3</v>
      </c>
      <c r="L31" s="39">
        <v>-3.2599999999999997E-2</v>
      </c>
      <c r="M31" s="39">
        <v>-2.7400000000000001E-2</v>
      </c>
      <c r="N31" s="43">
        <v>-3.1899999999999998E-2</v>
      </c>
      <c r="O31" s="39">
        <v>-5.79E-2</v>
      </c>
      <c r="P31" s="39">
        <v>-8.4000000000000005E-2</v>
      </c>
      <c r="Q31" s="39">
        <v>2.1600000000000001E-2</v>
      </c>
      <c r="R31" s="39">
        <v>-0.26190000000000002</v>
      </c>
      <c r="S31" s="39">
        <v>-0.26190000000000002</v>
      </c>
      <c r="T31">
        <v>80.540000000000006</v>
      </c>
      <c r="U31">
        <v>49.66</v>
      </c>
      <c r="V31">
        <v>81.209999999999994</v>
      </c>
      <c r="W31" s="17">
        <v>4557.8188</v>
      </c>
    </row>
    <row r="32" spans="7:25" x14ac:dyDescent="0.15">
      <c r="G32" s="11">
        <v>31</v>
      </c>
      <c r="H32" t="s">
        <v>358</v>
      </c>
      <c r="I32" t="s">
        <v>359</v>
      </c>
      <c r="J32" t="s">
        <v>363</v>
      </c>
      <c r="K32" s="43">
        <v>-3.0000000000000001E-3</v>
      </c>
      <c r="L32" s="39">
        <v>-1.9699999999999999E-2</v>
      </c>
      <c r="M32" s="39">
        <v>-3.9100000000000003E-2</v>
      </c>
      <c r="N32" s="43">
        <v>-4.3999999999999997E-2</v>
      </c>
      <c r="O32" s="39">
        <v>-6.6699999999999995E-2</v>
      </c>
      <c r="P32" s="39">
        <v>-6.9099999999999995E-2</v>
      </c>
      <c r="Q32" s="39">
        <v>3.1899999999999998E-2</v>
      </c>
      <c r="R32" s="39">
        <v>6.5199999999999994E-2</v>
      </c>
      <c r="S32" s="39">
        <v>6.5199999999999994E-2</v>
      </c>
      <c r="T32">
        <v>79.87</v>
      </c>
      <c r="U32">
        <v>37.58</v>
      </c>
      <c r="V32">
        <v>93.29</v>
      </c>
      <c r="W32" s="17">
        <v>1465.6668999999999</v>
      </c>
    </row>
    <row r="33" spans="7:25" x14ac:dyDescent="0.15">
      <c r="G33" s="11">
        <v>32</v>
      </c>
      <c r="H33" t="s">
        <v>93</v>
      </c>
      <c r="I33" t="s">
        <v>284</v>
      </c>
      <c r="J33" t="s">
        <v>224</v>
      </c>
      <c r="K33" s="43">
        <v>-4.0000000000000002E-4</v>
      </c>
      <c r="L33" s="39">
        <v>0</v>
      </c>
      <c r="M33" s="39">
        <v>1.6000000000000001E-3</v>
      </c>
      <c r="N33" s="43">
        <v>0</v>
      </c>
      <c r="O33" s="39">
        <v>5.7000000000000002E-3</v>
      </c>
      <c r="P33" s="39">
        <v>8.9999999999999993E-3</v>
      </c>
      <c r="Q33" s="39">
        <v>3.9600000000000003E-2</v>
      </c>
      <c r="R33" s="39">
        <v>7.1999999999999995E-2</v>
      </c>
      <c r="S33" s="39">
        <v>0.1227</v>
      </c>
      <c r="T33">
        <v>79.19</v>
      </c>
      <c r="U33">
        <v>71.14</v>
      </c>
      <c r="V33">
        <v>57.72</v>
      </c>
      <c r="W33" s="17">
        <v>30035.057199999999</v>
      </c>
    </row>
    <row r="34" spans="7:25" x14ac:dyDescent="0.15">
      <c r="G34" s="11">
        <v>33</v>
      </c>
      <c r="H34" s="10" t="s">
        <v>167</v>
      </c>
      <c r="I34" t="s">
        <v>285</v>
      </c>
      <c r="J34" t="s">
        <v>224</v>
      </c>
      <c r="K34" s="43">
        <v>-1.5E-3</v>
      </c>
      <c r="L34" s="39">
        <v>-3.3000000000000002E-2</v>
      </c>
      <c r="M34" s="39">
        <v>-4.6800000000000001E-2</v>
      </c>
      <c r="N34" s="43">
        <v>-3.3000000000000002E-2</v>
      </c>
      <c r="O34" s="39">
        <v>-0.14940000000000001</v>
      </c>
      <c r="P34" s="39">
        <v>-0.21110000000000001</v>
      </c>
      <c r="Q34" s="39">
        <v>-0.31690000000000002</v>
      </c>
      <c r="R34" s="39">
        <v>-0.2671</v>
      </c>
      <c r="S34" s="39">
        <v>-0.27689999999999998</v>
      </c>
      <c r="T34">
        <v>78.52</v>
      </c>
      <c r="U34">
        <v>47.65</v>
      </c>
      <c r="V34">
        <v>80.540000000000006</v>
      </c>
      <c r="W34" s="17">
        <v>4791.0018700000001</v>
      </c>
      <c r="X34" s="83" t="s">
        <v>734</v>
      </c>
    </row>
    <row r="35" spans="7:25" x14ac:dyDescent="0.15">
      <c r="G35" s="11">
        <v>34</v>
      </c>
      <c r="H35" s="10" t="s">
        <v>120</v>
      </c>
      <c r="I35" t="s">
        <v>232</v>
      </c>
      <c r="J35" t="s">
        <v>224</v>
      </c>
      <c r="K35" s="43">
        <v>-2.5999999999999999E-3</v>
      </c>
      <c r="L35" s="39">
        <v>-2.06E-2</v>
      </c>
      <c r="M35" s="39">
        <v>-1.34E-2</v>
      </c>
      <c r="N35" s="43">
        <v>-4.3700000000000003E-2</v>
      </c>
      <c r="O35" s="39">
        <v>-1.34E-2</v>
      </c>
      <c r="P35" s="39">
        <v>-9.3299999999999994E-2</v>
      </c>
      <c r="Q35" s="39">
        <v>2.3400000000000001E-2</v>
      </c>
      <c r="R35" s="39">
        <v>-0.32379999999999998</v>
      </c>
      <c r="S35" s="39">
        <v>-0.26429999999999998</v>
      </c>
      <c r="T35">
        <v>77.849999999999994</v>
      </c>
      <c r="U35">
        <v>38.26</v>
      </c>
      <c r="V35">
        <v>89.93</v>
      </c>
      <c r="W35" s="17">
        <v>5725.4520000000002</v>
      </c>
    </row>
    <row r="36" spans="7:25" x14ac:dyDescent="0.15">
      <c r="G36" s="11">
        <v>35</v>
      </c>
      <c r="H36" t="s">
        <v>146</v>
      </c>
      <c r="I36" t="s">
        <v>296</v>
      </c>
      <c r="J36" t="s">
        <v>224</v>
      </c>
      <c r="K36" s="43">
        <v>-1.6999999999999999E-3</v>
      </c>
      <c r="L36" s="39">
        <v>-2.58E-2</v>
      </c>
      <c r="M36" s="39">
        <v>-3.8800000000000001E-2</v>
      </c>
      <c r="N36" s="43">
        <v>-3.8899999999999997E-2</v>
      </c>
      <c r="O36" s="39">
        <v>-0.13439999999999999</v>
      </c>
      <c r="P36" s="39">
        <v>-0.18590000000000001</v>
      </c>
      <c r="Q36" s="39">
        <v>-0.1409</v>
      </c>
      <c r="R36" s="39">
        <v>-0.11119999999999999</v>
      </c>
      <c r="S36" s="39">
        <v>-1.5299999999999999E-2</v>
      </c>
      <c r="T36">
        <v>77.180000000000007</v>
      </c>
      <c r="U36">
        <v>44.3</v>
      </c>
      <c r="V36">
        <v>82.55</v>
      </c>
      <c r="W36" s="17">
        <v>8639.6941999999999</v>
      </c>
      <c r="X36" s="83" t="s">
        <v>734</v>
      </c>
    </row>
    <row r="37" spans="7:25" x14ac:dyDescent="0.15">
      <c r="G37" s="11">
        <v>36</v>
      </c>
      <c r="H37" s="10" t="s">
        <v>186</v>
      </c>
      <c r="I37" t="s">
        <v>235</v>
      </c>
      <c r="J37" t="s">
        <v>224</v>
      </c>
      <c r="K37" s="43">
        <v>0</v>
      </c>
      <c r="L37" s="39">
        <v>2.5999999999999999E-3</v>
      </c>
      <c r="M37" s="39">
        <v>2.3900000000000001E-2</v>
      </c>
      <c r="N37" s="43">
        <v>7.0000000000000001E-3</v>
      </c>
      <c r="O37" s="39">
        <v>-8.6E-3</v>
      </c>
      <c r="P37" s="39">
        <v>-7.0699999999999999E-2</v>
      </c>
      <c r="Q37" s="39">
        <v>0.1321</v>
      </c>
      <c r="R37" s="39">
        <v>9.7999999999999997E-3</v>
      </c>
      <c r="S37" s="39">
        <v>0.127</v>
      </c>
      <c r="T37">
        <v>76.510000000000005</v>
      </c>
      <c r="U37">
        <v>82.55</v>
      </c>
      <c r="V37">
        <v>44.3</v>
      </c>
      <c r="W37" s="17">
        <v>2250.0788699999998</v>
      </c>
    </row>
    <row r="38" spans="7:25" x14ac:dyDescent="0.15">
      <c r="G38" s="11">
        <v>37</v>
      </c>
      <c r="H38" t="s">
        <v>150</v>
      </c>
      <c r="I38" t="s">
        <v>269</v>
      </c>
      <c r="J38" t="s">
        <v>224</v>
      </c>
      <c r="K38" s="43">
        <v>-1.8E-3</v>
      </c>
      <c r="L38" s="39">
        <v>-2.1999999999999999E-2</v>
      </c>
      <c r="M38" s="39">
        <v>-3.3300000000000003E-2</v>
      </c>
      <c r="N38" s="43">
        <v>-4.1000000000000002E-2</v>
      </c>
      <c r="O38" s="39">
        <v>-7.8299999999999995E-2</v>
      </c>
      <c r="P38" s="39">
        <v>-7.6300000000000007E-2</v>
      </c>
      <c r="Q38" s="39">
        <v>-7.4700000000000003E-2</v>
      </c>
      <c r="R38" s="39">
        <v>-0.19950000000000001</v>
      </c>
      <c r="S38" s="39">
        <v>-0.18870000000000001</v>
      </c>
      <c r="T38">
        <v>75.84</v>
      </c>
      <c r="U38">
        <v>42.95</v>
      </c>
      <c r="V38">
        <v>83.89</v>
      </c>
      <c r="W38" s="17">
        <v>4757.6076000000003</v>
      </c>
    </row>
    <row r="39" spans="7:25" x14ac:dyDescent="0.15">
      <c r="G39" s="11">
        <v>38</v>
      </c>
      <c r="H39" s="10" t="s">
        <v>451</v>
      </c>
      <c r="I39" t="s">
        <v>452</v>
      </c>
      <c r="J39" t="s">
        <v>450</v>
      </c>
      <c r="K39" s="43">
        <v>-1E-3</v>
      </c>
      <c r="L39" s="39">
        <v>-2.3E-2</v>
      </c>
      <c r="M39" s="39">
        <v>-2.3300000000000001E-2</v>
      </c>
      <c r="N39" s="43">
        <v>-2.3E-2</v>
      </c>
      <c r="O39" s="39">
        <v>-7.0400000000000004E-2</v>
      </c>
      <c r="P39" s="39">
        <v>-9.3899999999999997E-2</v>
      </c>
      <c r="Q39" s="39">
        <v>-1.8100000000000002E-2</v>
      </c>
      <c r="R39" s="39">
        <v>-0.1053</v>
      </c>
      <c r="S39" s="39">
        <v>9.4799999999999995E-2</v>
      </c>
      <c r="T39">
        <v>75.17</v>
      </c>
      <c r="U39">
        <v>53.69</v>
      </c>
      <c r="V39">
        <v>72.48</v>
      </c>
      <c r="W39" s="17">
        <v>341.94925999999998</v>
      </c>
    </row>
    <row r="40" spans="7:25" x14ac:dyDescent="0.15">
      <c r="G40" s="11">
        <v>39</v>
      </c>
      <c r="H40" t="s">
        <v>126</v>
      </c>
      <c r="I40" t="s">
        <v>335</v>
      </c>
      <c r="J40" t="s">
        <v>769</v>
      </c>
      <c r="K40" s="43">
        <v>-2.0000000000000001E-4</v>
      </c>
      <c r="L40" s="39">
        <v>-1E-4</v>
      </c>
      <c r="M40" s="39">
        <v>0</v>
      </c>
      <c r="N40" s="43">
        <v>1.2999999999999999E-3</v>
      </c>
      <c r="O40" s="39">
        <v>5.3E-3</v>
      </c>
      <c r="P40" s="39">
        <v>1.0999999999999999E-2</v>
      </c>
      <c r="Q40" s="39">
        <v>2.8299999999999999E-2</v>
      </c>
      <c r="R40" s="39">
        <v>5.1799999999999999E-2</v>
      </c>
      <c r="S40" s="39">
        <v>9.06E-2</v>
      </c>
      <c r="T40">
        <v>74.5</v>
      </c>
      <c r="U40">
        <v>75.17</v>
      </c>
      <c r="V40">
        <v>50.34</v>
      </c>
      <c r="W40" s="17">
        <v>32795.8989</v>
      </c>
      <c r="X40" s="83" t="s">
        <v>734</v>
      </c>
    </row>
    <row r="41" spans="7:25" x14ac:dyDescent="0.15">
      <c r="G41" s="11">
        <v>40</v>
      </c>
      <c r="H41" s="10" t="s">
        <v>114</v>
      </c>
      <c r="I41" t="s">
        <v>286</v>
      </c>
      <c r="J41" t="s">
        <v>224</v>
      </c>
      <c r="K41" s="43">
        <v>-5.0000000000000001E-4</v>
      </c>
      <c r="L41" s="39">
        <v>-1.9599999999999999E-2</v>
      </c>
      <c r="M41" s="39">
        <v>-1.72E-2</v>
      </c>
      <c r="N41" s="43">
        <v>-1.2999999999999999E-2</v>
      </c>
      <c r="O41" s="39">
        <v>-1.24E-2</v>
      </c>
      <c r="P41" s="39">
        <v>-8.0399999999999999E-2</v>
      </c>
      <c r="Q41" s="39">
        <v>-8.2100000000000006E-2</v>
      </c>
      <c r="R41" s="39">
        <v>-0.2205</v>
      </c>
      <c r="S41" s="39">
        <v>-5.3699999999999998E-2</v>
      </c>
      <c r="T41">
        <v>73.83</v>
      </c>
      <c r="U41">
        <v>63.76</v>
      </c>
      <c r="V41">
        <v>61.74</v>
      </c>
      <c r="W41" s="17">
        <v>95289.0389</v>
      </c>
      <c r="X41" s="83" t="s">
        <v>734</v>
      </c>
    </row>
    <row r="42" spans="7:25" x14ac:dyDescent="0.15">
      <c r="G42" s="11">
        <v>41</v>
      </c>
      <c r="H42" s="10" t="s">
        <v>766</v>
      </c>
      <c r="I42" t="s">
        <v>767</v>
      </c>
      <c r="J42" t="s">
        <v>769</v>
      </c>
      <c r="K42" s="43">
        <v>-2.9999999999999997E-4</v>
      </c>
      <c r="L42" s="39">
        <v>-1E-4</v>
      </c>
      <c r="M42" s="39">
        <v>6.9999999999999999E-4</v>
      </c>
      <c r="N42" s="43">
        <v>2.9999999999999997E-4</v>
      </c>
      <c r="O42" s="39">
        <v>3.2000000000000002E-3</v>
      </c>
      <c r="P42" s="39">
        <v>6.7000000000000002E-3</v>
      </c>
      <c r="Q42" s="39">
        <v>3.2000000000000001E-2</v>
      </c>
      <c r="R42" s="39">
        <v>3.3500000000000002E-2</v>
      </c>
      <c r="S42" s="39">
        <v>3.3500000000000002E-2</v>
      </c>
      <c r="T42">
        <v>73.150000000000006</v>
      </c>
      <c r="U42">
        <v>72.48</v>
      </c>
      <c r="V42">
        <v>52.35</v>
      </c>
      <c r="W42" s="17">
        <v>18456.374400000001</v>
      </c>
      <c r="X42" s="83" t="s">
        <v>734</v>
      </c>
      <c r="Y42" s="81" t="s">
        <v>771</v>
      </c>
    </row>
    <row r="43" spans="7:25" x14ac:dyDescent="0.15">
      <c r="G43" s="11">
        <v>42</v>
      </c>
      <c r="H43" s="10" t="s">
        <v>765</v>
      </c>
      <c r="I43" t="s">
        <v>768</v>
      </c>
      <c r="J43" t="s">
        <v>769</v>
      </c>
      <c r="K43" s="43">
        <v>-2.0000000000000001E-4</v>
      </c>
      <c r="L43" s="39">
        <v>5.0000000000000001E-4</v>
      </c>
      <c r="M43" s="39">
        <v>1.4E-3</v>
      </c>
      <c r="N43" s="43">
        <v>4.0000000000000002E-4</v>
      </c>
      <c r="O43" s="39">
        <v>5.4000000000000003E-3</v>
      </c>
      <c r="P43" s="39">
        <v>1.09E-2</v>
      </c>
      <c r="Q43" s="39">
        <v>4.24E-2</v>
      </c>
      <c r="R43" s="39">
        <v>3.61E-2</v>
      </c>
      <c r="S43" s="39">
        <v>3.61E-2</v>
      </c>
      <c r="T43">
        <v>72.48</v>
      </c>
      <c r="U43">
        <v>73.150000000000006</v>
      </c>
      <c r="V43">
        <v>51.01</v>
      </c>
      <c r="W43" s="17">
        <v>654415.44649999996</v>
      </c>
      <c r="X43" s="83" t="s">
        <v>734</v>
      </c>
      <c r="Y43" s="81" t="s">
        <v>771</v>
      </c>
    </row>
    <row r="44" spans="7:25" x14ac:dyDescent="0.15">
      <c r="G44" s="11">
        <v>43</v>
      </c>
      <c r="H44" t="s">
        <v>112</v>
      </c>
      <c r="I44" t="s">
        <v>292</v>
      </c>
      <c r="J44" t="s">
        <v>224</v>
      </c>
      <c r="K44" s="43">
        <v>-1E-3</v>
      </c>
      <c r="L44" s="39">
        <v>-3.5299999999999998E-2</v>
      </c>
      <c r="M44" s="39">
        <v>-3.9199999999999999E-2</v>
      </c>
      <c r="N44" s="43">
        <v>-3.2300000000000002E-2</v>
      </c>
      <c r="O44" s="39">
        <v>-9.0300000000000005E-2</v>
      </c>
      <c r="P44" s="39">
        <v>-9.0700000000000003E-2</v>
      </c>
      <c r="Q44" s="39">
        <v>-0.16869999999999999</v>
      </c>
      <c r="R44" s="39">
        <v>-0.34399999999999997</v>
      </c>
      <c r="S44" s="39">
        <v>-8.7999999999999995E-2</v>
      </c>
      <c r="T44">
        <v>71.81</v>
      </c>
      <c r="U44">
        <v>48.32</v>
      </c>
      <c r="V44">
        <v>74.5</v>
      </c>
      <c r="W44" s="17">
        <v>31361.290099999998</v>
      </c>
      <c r="X44" s="83" t="s">
        <v>734</v>
      </c>
    </row>
    <row r="45" spans="7:25" x14ac:dyDescent="0.15">
      <c r="G45" s="11">
        <v>44</v>
      </c>
      <c r="H45" s="10" t="s">
        <v>116</v>
      </c>
      <c r="I45" t="s">
        <v>293</v>
      </c>
      <c r="J45" t="s">
        <v>224</v>
      </c>
      <c r="K45" s="43">
        <v>-5.4999999999999997E-3</v>
      </c>
      <c r="L45" s="39">
        <v>-0.03</v>
      </c>
      <c r="M45" s="39">
        <v>-1.3899999999999999E-2</v>
      </c>
      <c r="N45" s="43">
        <v>-5.5500000000000001E-2</v>
      </c>
      <c r="O45" s="39">
        <v>-2.07E-2</v>
      </c>
      <c r="P45" s="39">
        <v>-0.12839999999999999</v>
      </c>
      <c r="Q45" s="39">
        <v>-4.9799999999999997E-2</v>
      </c>
      <c r="R45" s="39">
        <v>-0.37359999999999999</v>
      </c>
      <c r="S45" s="39">
        <v>-0.2321</v>
      </c>
      <c r="T45">
        <v>71.14</v>
      </c>
      <c r="U45">
        <v>24.16</v>
      </c>
      <c r="V45">
        <v>98.66</v>
      </c>
      <c r="W45" s="17">
        <v>80895.286900000006</v>
      </c>
    </row>
    <row r="46" spans="7:25" x14ac:dyDescent="0.15">
      <c r="G46" s="11">
        <v>45</v>
      </c>
      <c r="H46" s="10" t="s">
        <v>356</v>
      </c>
      <c r="I46" t="s">
        <v>357</v>
      </c>
      <c r="J46" t="s">
        <v>363</v>
      </c>
      <c r="K46" s="43">
        <v>-2.3E-3</v>
      </c>
      <c r="L46" s="39">
        <v>-1.4E-2</v>
      </c>
      <c r="M46" s="39">
        <v>-8.8000000000000005E-3</v>
      </c>
      <c r="N46" s="43">
        <v>-4.5100000000000001E-2</v>
      </c>
      <c r="O46" s="39">
        <v>-1.4200000000000001E-2</v>
      </c>
      <c r="P46" s="39">
        <v>-8.43E-2</v>
      </c>
      <c r="Q46" s="39">
        <v>-1.5599999999999999E-2</v>
      </c>
      <c r="R46" s="39">
        <v>-0.31069999999999998</v>
      </c>
      <c r="S46" s="39">
        <v>-0.31069999999999998</v>
      </c>
      <c r="T46">
        <v>70.47</v>
      </c>
      <c r="U46">
        <v>34.229999999999997</v>
      </c>
      <c r="V46">
        <v>87.92</v>
      </c>
      <c r="W46" s="17">
        <v>1713.3348000000001</v>
      </c>
      <c r="X46" s="83" t="s">
        <v>734</v>
      </c>
    </row>
    <row r="47" spans="7:25" x14ac:dyDescent="0.15">
      <c r="G47" s="11">
        <v>46</v>
      </c>
      <c r="H47" s="10" t="s">
        <v>108</v>
      </c>
      <c r="I47" t="s">
        <v>339</v>
      </c>
      <c r="J47" t="s">
        <v>363</v>
      </c>
      <c r="K47" s="43">
        <v>-1E-4</v>
      </c>
      <c r="L47" s="39">
        <v>2.0000000000000001E-4</v>
      </c>
      <c r="M47" s="39">
        <v>5.0000000000000001E-4</v>
      </c>
      <c r="N47" s="43">
        <v>1.1999999999999999E-3</v>
      </c>
      <c r="O47" s="39">
        <v>4.5999999999999999E-3</v>
      </c>
      <c r="P47" s="39">
        <v>9.1000000000000004E-3</v>
      </c>
      <c r="Q47" s="39">
        <v>2.3E-2</v>
      </c>
      <c r="R47" s="39">
        <v>4.6399999999999997E-2</v>
      </c>
      <c r="S47" s="39">
        <v>7.7700000000000005E-2</v>
      </c>
      <c r="T47">
        <v>69.8</v>
      </c>
      <c r="U47">
        <v>74.5</v>
      </c>
      <c r="V47">
        <v>46.98</v>
      </c>
      <c r="W47" s="17">
        <v>710414.49529999995</v>
      </c>
    </row>
    <row r="48" spans="7:25" x14ac:dyDescent="0.15">
      <c r="G48" s="11">
        <v>47</v>
      </c>
      <c r="H48" t="s">
        <v>121</v>
      </c>
      <c r="I48" t="s">
        <v>227</v>
      </c>
      <c r="J48" t="s">
        <v>224</v>
      </c>
      <c r="K48" s="43">
        <v>-8.9999999999999998E-4</v>
      </c>
      <c r="L48" s="39">
        <v>-2.3699999999999999E-2</v>
      </c>
      <c r="M48" s="39">
        <v>-2.41E-2</v>
      </c>
      <c r="N48" s="43">
        <v>-2.41E-2</v>
      </c>
      <c r="O48" s="39">
        <v>-7.1599999999999997E-2</v>
      </c>
      <c r="P48" s="39">
        <v>-9.6000000000000002E-2</v>
      </c>
      <c r="Q48" s="39">
        <v>-2.2100000000000002E-2</v>
      </c>
      <c r="R48" s="39">
        <v>-0.1171</v>
      </c>
      <c r="S48" s="39">
        <v>7.0400000000000004E-2</v>
      </c>
      <c r="T48">
        <v>69.13</v>
      </c>
      <c r="U48">
        <v>52.35</v>
      </c>
      <c r="V48">
        <v>68.459999999999994</v>
      </c>
      <c r="W48" s="17">
        <v>2320.2343999999998</v>
      </c>
    </row>
    <row r="49" spans="7:25" x14ac:dyDescent="0.15">
      <c r="G49" s="11">
        <v>48</v>
      </c>
      <c r="H49" s="10" t="s">
        <v>119</v>
      </c>
      <c r="I49" t="s">
        <v>340</v>
      </c>
      <c r="J49" t="s">
        <v>363</v>
      </c>
      <c r="K49" s="43">
        <v>0</v>
      </c>
      <c r="L49" s="39">
        <v>-4.0000000000000002E-4</v>
      </c>
      <c r="M49" s="39">
        <v>-5.9999999999999995E-4</v>
      </c>
      <c r="N49" s="43">
        <v>4.0000000000000002E-4</v>
      </c>
      <c r="O49" s="39">
        <v>-5.0000000000000001E-4</v>
      </c>
      <c r="P49" s="39">
        <v>1.5E-3</v>
      </c>
      <c r="Q49" s="39">
        <v>2.5999999999999999E-2</v>
      </c>
      <c r="R49" s="39">
        <v>2.9600000000000001E-2</v>
      </c>
      <c r="S49" s="39">
        <v>7.0499999999999993E-2</v>
      </c>
      <c r="T49">
        <v>68.459999999999994</v>
      </c>
      <c r="U49">
        <v>73.83</v>
      </c>
      <c r="V49">
        <v>45.64</v>
      </c>
      <c r="W49" s="17">
        <v>36089.254500000003</v>
      </c>
      <c r="X49" s="83" t="s">
        <v>734</v>
      </c>
    </row>
    <row r="50" spans="7:25" x14ac:dyDescent="0.15">
      <c r="G50" s="11">
        <v>49</v>
      </c>
      <c r="H50" s="10" t="s">
        <v>173</v>
      </c>
      <c r="I50" t="s">
        <v>281</v>
      </c>
      <c r="J50" t="s">
        <v>224</v>
      </c>
      <c r="K50" s="43">
        <v>-1.9E-3</v>
      </c>
      <c r="L50" s="39">
        <v>-2.01E-2</v>
      </c>
      <c r="M50" s="39">
        <v>-3.95E-2</v>
      </c>
      <c r="N50" s="43">
        <v>-4.4600000000000001E-2</v>
      </c>
      <c r="O50" s="39">
        <v>-6.88E-2</v>
      </c>
      <c r="P50" s="39">
        <v>-7.1900000000000006E-2</v>
      </c>
      <c r="Q50" s="39">
        <v>2.9399999999999999E-2</v>
      </c>
      <c r="R50" s="39">
        <v>-0.16239999999999999</v>
      </c>
      <c r="S50" s="39">
        <v>-0.24729999999999999</v>
      </c>
      <c r="T50">
        <v>67.790000000000006</v>
      </c>
      <c r="U50">
        <v>34.9</v>
      </c>
      <c r="V50">
        <v>84.56</v>
      </c>
      <c r="W50" s="17">
        <v>4618.5375861000002</v>
      </c>
    </row>
    <row r="51" spans="7:25" x14ac:dyDescent="0.15">
      <c r="G51" s="11">
        <v>50</v>
      </c>
      <c r="H51" s="10" t="s">
        <v>180</v>
      </c>
      <c r="I51" t="s">
        <v>306</v>
      </c>
      <c r="J51" t="s">
        <v>224</v>
      </c>
      <c r="K51" s="43">
        <v>-1.6999999999999999E-3</v>
      </c>
      <c r="L51" s="39">
        <v>-0.02</v>
      </c>
      <c r="M51" s="39">
        <v>-3.3099999999999997E-2</v>
      </c>
      <c r="N51" s="43">
        <v>-4.4499999999999998E-2</v>
      </c>
      <c r="O51" s="39">
        <v>-8.2100000000000006E-2</v>
      </c>
      <c r="P51" s="39">
        <v>-9.1300000000000006E-2</v>
      </c>
      <c r="Q51" s="39">
        <v>-8.6300000000000002E-2</v>
      </c>
      <c r="R51" s="39">
        <v>-0.25109999999999999</v>
      </c>
      <c r="S51" s="39">
        <v>-0.24160000000000001</v>
      </c>
      <c r="T51">
        <v>67.11</v>
      </c>
      <c r="U51">
        <v>35.57</v>
      </c>
      <c r="V51">
        <v>83.22</v>
      </c>
      <c r="W51" s="17">
        <v>245653.1937</v>
      </c>
    </row>
    <row r="52" spans="7:25" x14ac:dyDescent="0.15">
      <c r="G52" s="11">
        <v>51</v>
      </c>
      <c r="H52" s="10" t="s">
        <v>91</v>
      </c>
      <c r="I52" t="s">
        <v>275</v>
      </c>
      <c r="J52" t="s">
        <v>224</v>
      </c>
      <c r="K52" s="43">
        <v>-3.0000000000000001E-3</v>
      </c>
      <c r="L52" s="39">
        <v>-4.4200000000000003E-2</v>
      </c>
      <c r="M52" s="39">
        <v>-3.9800000000000002E-2</v>
      </c>
      <c r="N52" s="43">
        <v>-5.4300000000000001E-2</v>
      </c>
      <c r="O52" s="39">
        <v>0.09</v>
      </c>
      <c r="P52" s="39">
        <v>7.4000000000000003E-3</v>
      </c>
      <c r="Q52" s="39">
        <v>-0.1094</v>
      </c>
      <c r="R52" s="39">
        <v>-0.35610000000000003</v>
      </c>
      <c r="S52" s="39">
        <v>-0.35549999999999998</v>
      </c>
      <c r="T52">
        <v>66.44</v>
      </c>
      <c r="U52">
        <v>25.5</v>
      </c>
      <c r="V52">
        <v>92.62</v>
      </c>
      <c r="W52" s="17">
        <v>18410.384252700002</v>
      </c>
    </row>
    <row r="53" spans="7:25" x14ac:dyDescent="0.15">
      <c r="G53" s="11">
        <v>52</v>
      </c>
      <c r="H53" t="s">
        <v>188</v>
      </c>
      <c r="I53" t="s">
        <v>242</v>
      </c>
      <c r="J53" t="s">
        <v>224</v>
      </c>
      <c r="K53" s="43">
        <v>1.6000000000000001E-3</v>
      </c>
      <c r="L53" s="39">
        <v>1.17E-2</v>
      </c>
      <c r="M53" s="39">
        <v>2.76E-2</v>
      </c>
      <c r="N53" s="43">
        <v>3.7699999999999997E-2</v>
      </c>
      <c r="O53" s="39">
        <v>2.0400000000000001E-2</v>
      </c>
      <c r="P53" s="39">
        <v>-0.17580000000000001</v>
      </c>
      <c r="Q53" s="39">
        <v>0.36349999999999999</v>
      </c>
      <c r="R53" s="39">
        <v>5.5599999999999997E-2</v>
      </c>
      <c r="S53" s="39">
        <v>-2.92E-2</v>
      </c>
      <c r="T53">
        <v>65.77</v>
      </c>
      <c r="U53">
        <v>93.96</v>
      </c>
      <c r="V53">
        <v>24.16</v>
      </c>
      <c r="W53" s="17">
        <v>3241.8282594000002</v>
      </c>
    </row>
    <row r="54" spans="7:25" x14ac:dyDescent="0.15">
      <c r="G54" s="11">
        <v>53</v>
      </c>
      <c r="H54" s="10" t="s">
        <v>111</v>
      </c>
      <c r="I54" t="s">
        <v>252</v>
      </c>
      <c r="J54" t="s">
        <v>224</v>
      </c>
      <c r="K54" s="43">
        <v>-2.5999999999999999E-3</v>
      </c>
      <c r="L54" s="39">
        <v>-3.8899999999999997E-2</v>
      </c>
      <c r="M54" s="39">
        <v>-3.8699999999999998E-2</v>
      </c>
      <c r="N54" s="43">
        <v>-5.2900000000000003E-2</v>
      </c>
      <c r="O54" s="39">
        <v>2.8400000000000002E-2</v>
      </c>
      <c r="P54" s="39">
        <v>-2.75E-2</v>
      </c>
      <c r="Q54" s="39">
        <v>-0.1026</v>
      </c>
      <c r="R54" s="39">
        <v>-0.36559999999999998</v>
      </c>
      <c r="S54" s="39">
        <v>-0.37980000000000003</v>
      </c>
      <c r="T54">
        <v>65.099999999999994</v>
      </c>
      <c r="U54">
        <v>26.85</v>
      </c>
      <c r="V54">
        <v>89.26</v>
      </c>
      <c r="W54" s="17">
        <v>48496.0167</v>
      </c>
      <c r="X54" s="83" t="s">
        <v>734</v>
      </c>
    </row>
    <row r="55" spans="7:25" x14ac:dyDescent="0.15">
      <c r="G55" s="11">
        <v>54</v>
      </c>
      <c r="H55" s="10" t="s">
        <v>343</v>
      </c>
      <c r="I55" t="s">
        <v>344</v>
      </c>
      <c r="J55" t="s">
        <v>363</v>
      </c>
      <c r="K55" s="43">
        <v>-8.0000000000000004E-4</v>
      </c>
      <c r="L55" s="39">
        <v>2.2599999999999999E-2</v>
      </c>
      <c r="M55" s="39">
        <v>1E-3</v>
      </c>
      <c r="N55" s="43">
        <v>-2.7699999999999999E-2</v>
      </c>
      <c r="O55" s="39">
        <v>-6.8699999999999997E-2</v>
      </c>
      <c r="P55" s="39">
        <v>-0.16619999999999999</v>
      </c>
      <c r="Q55" s="39">
        <v>-0.30509999999999998</v>
      </c>
      <c r="R55" s="39">
        <v>-0.43519999999999998</v>
      </c>
      <c r="S55" s="39">
        <v>-0.48759999999999998</v>
      </c>
      <c r="T55">
        <v>64.430000000000007</v>
      </c>
      <c r="U55">
        <v>50.34</v>
      </c>
      <c r="V55">
        <v>65.77</v>
      </c>
      <c r="W55" s="17">
        <v>6933.3086999999996</v>
      </c>
    </row>
    <row r="56" spans="7:25" x14ac:dyDescent="0.15">
      <c r="G56" s="11">
        <v>55</v>
      </c>
      <c r="H56" t="s">
        <v>124</v>
      </c>
      <c r="I56" t="s">
        <v>290</v>
      </c>
      <c r="J56" t="s">
        <v>224</v>
      </c>
      <c r="K56" s="43">
        <v>-7.1000000000000004E-3</v>
      </c>
      <c r="L56" s="39">
        <v>-3.0099999999999998E-2</v>
      </c>
      <c r="M56" s="39">
        <v>-1.7999999999999999E-2</v>
      </c>
      <c r="N56" s="43">
        <v>-5.91E-2</v>
      </c>
      <c r="O56" s="39">
        <v>-3.3399999999999999E-2</v>
      </c>
      <c r="P56" s="39">
        <v>-0.1389</v>
      </c>
      <c r="Q56" s="39">
        <v>-9.2399999999999996E-2</v>
      </c>
      <c r="R56" s="39">
        <v>-0.42220000000000002</v>
      </c>
      <c r="S56" s="39">
        <v>-0.2099</v>
      </c>
      <c r="T56">
        <v>63.76</v>
      </c>
      <c r="U56">
        <v>16.11</v>
      </c>
      <c r="V56">
        <v>99.33</v>
      </c>
      <c r="W56" s="17">
        <v>39354.451360399995</v>
      </c>
      <c r="X56" s="83" t="s">
        <v>734</v>
      </c>
    </row>
    <row r="57" spans="7:25" x14ac:dyDescent="0.15">
      <c r="G57" s="11">
        <v>56</v>
      </c>
      <c r="H57" s="10" t="s">
        <v>102</v>
      </c>
      <c r="I57" t="s">
        <v>307</v>
      </c>
      <c r="J57" t="s">
        <v>307</v>
      </c>
      <c r="K57" s="43">
        <v>1E-3</v>
      </c>
      <c r="L57" s="39">
        <v>-5.9999999999999995E-4</v>
      </c>
      <c r="M57" s="39">
        <v>1.9400000000000001E-2</v>
      </c>
      <c r="N57" s="43">
        <v>9.4999999999999998E-3</v>
      </c>
      <c r="O57" s="39">
        <v>1.9900000000000001E-2</v>
      </c>
      <c r="P57" s="39">
        <v>4.3299999999999998E-2</v>
      </c>
      <c r="Q57" s="39">
        <v>0.16259999999999999</v>
      </c>
      <c r="R57" s="39">
        <v>0.2261</v>
      </c>
      <c r="S57" s="39">
        <v>0.17760000000000001</v>
      </c>
      <c r="T57">
        <v>63.09</v>
      </c>
      <c r="U57">
        <v>84.56</v>
      </c>
      <c r="V57">
        <v>30.87</v>
      </c>
      <c r="W57" s="17">
        <v>18105.667509999999</v>
      </c>
      <c r="X57" s="83" t="s">
        <v>734</v>
      </c>
      <c r="Y57" s="81" t="s">
        <v>771</v>
      </c>
    </row>
    <row r="58" spans="7:25" x14ac:dyDescent="0.15">
      <c r="G58" s="11">
        <v>57</v>
      </c>
      <c r="H58" t="s">
        <v>341</v>
      </c>
      <c r="I58" t="s">
        <v>751</v>
      </c>
      <c r="J58" t="s">
        <v>363</v>
      </c>
      <c r="K58" s="43">
        <v>-4.0000000000000002E-4</v>
      </c>
      <c r="L58" s="39">
        <v>-1.95E-2</v>
      </c>
      <c r="M58" s="39">
        <v>-2.1899999999999999E-2</v>
      </c>
      <c r="N58" s="43">
        <v>-1.4800000000000001E-2</v>
      </c>
      <c r="O58" s="39">
        <v>-9.9500000000000005E-2</v>
      </c>
      <c r="P58" s="39">
        <v>-7.9000000000000001E-2</v>
      </c>
      <c r="Q58" s="39">
        <v>0.1207</v>
      </c>
      <c r="R58" s="39">
        <v>0.24260000000000001</v>
      </c>
      <c r="S58" s="39">
        <v>0.24260000000000001</v>
      </c>
      <c r="T58">
        <v>62.42</v>
      </c>
      <c r="U58">
        <v>61.07</v>
      </c>
      <c r="V58">
        <v>54.36</v>
      </c>
      <c r="W58" s="17">
        <v>2753.1442999999999</v>
      </c>
      <c r="X58" s="83" t="s">
        <v>734</v>
      </c>
    </row>
    <row r="59" spans="7:25" x14ac:dyDescent="0.15">
      <c r="G59" s="11">
        <v>58</v>
      </c>
      <c r="H59" t="s">
        <v>162</v>
      </c>
      <c r="I59" t="s">
        <v>266</v>
      </c>
      <c r="J59" t="s">
        <v>224</v>
      </c>
      <c r="K59" s="43">
        <v>-6.9999999999999999E-4</v>
      </c>
      <c r="L59" s="39">
        <v>-2.9399999999999999E-2</v>
      </c>
      <c r="M59" s="39">
        <v>-2.41E-2</v>
      </c>
      <c r="N59" s="43">
        <v>-2.63E-2</v>
      </c>
      <c r="O59" s="39">
        <v>1.9699999999999999E-2</v>
      </c>
      <c r="P59" s="39">
        <v>-2.98E-2</v>
      </c>
      <c r="Q59" s="39">
        <v>5.8599999999999999E-2</v>
      </c>
      <c r="R59" s="39">
        <v>-0.25290000000000001</v>
      </c>
      <c r="S59" s="39">
        <v>-0.13039999999999999</v>
      </c>
      <c r="T59">
        <v>61.74</v>
      </c>
      <c r="U59">
        <v>51.01</v>
      </c>
      <c r="V59">
        <v>63.76</v>
      </c>
      <c r="W59" s="17">
        <v>14042.4033</v>
      </c>
    </row>
    <row r="60" spans="7:25" x14ac:dyDescent="0.15">
      <c r="G60" s="11">
        <v>59</v>
      </c>
      <c r="H60" t="s">
        <v>113</v>
      </c>
      <c r="I60" t="s">
        <v>271</v>
      </c>
      <c r="J60" t="s">
        <v>224</v>
      </c>
      <c r="K60" s="43">
        <v>-8.0000000000000004E-4</v>
      </c>
      <c r="L60" s="39">
        <v>-1.21E-2</v>
      </c>
      <c r="M60" s="39">
        <v>-2.41E-2</v>
      </c>
      <c r="N60" s="43">
        <v>-3.56E-2</v>
      </c>
      <c r="O60" s="39">
        <v>-7.3200000000000001E-2</v>
      </c>
      <c r="P60" s="39">
        <v>-0.1152</v>
      </c>
      <c r="Q60" s="39">
        <v>-0.1908</v>
      </c>
      <c r="R60" s="39">
        <v>-0.35449999999999998</v>
      </c>
      <c r="S60" s="39">
        <v>-4.7199999999999999E-2</v>
      </c>
      <c r="T60">
        <v>61.07</v>
      </c>
      <c r="U60">
        <v>46.98</v>
      </c>
      <c r="V60">
        <v>67.11</v>
      </c>
      <c r="W60" s="17">
        <v>3327.7946000000002</v>
      </c>
      <c r="X60" s="83" t="s">
        <v>734</v>
      </c>
    </row>
    <row r="61" spans="7:25" x14ac:dyDescent="0.15">
      <c r="G61" s="11">
        <v>60</v>
      </c>
      <c r="H61" s="10" t="s">
        <v>354</v>
      </c>
      <c r="I61" t="s">
        <v>355</v>
      </c>
      <c r="J61" t="s">
        <v>363</v>
      </c>
      <c r="K61" s="43">
        <v>-1.2999999999999999E-3</v>
      </c>
      <c r="L61" s="39">
        <v>-2.3900000000000001E-2</v>
      </c>
      <c r="M61" s="39">
        <v>-1.6500000000000001E-2</v>
      </c>
      <c r="N61" s="43">
        <v>-4.4299999999999999E-2</v>
      </c>
      <c r="O61" s="39">
        <v>-6.0999999999999999E-2</v>
      </c>
      <c r="P61" s="39">
        <v>-0.14849999999999999</v>
      </c>
      <c r="Q61" s="39">
        <v>-7.3899999999999993E-2</v>
      </c>
      <c r="R61" s="39">
        <v>-0.37819999999999998</v>
      </c>
      <c r="S61" s="39">
        <v>-0.37819999999999998</v>
      </c>
      <c r="T61">
        <v>60.4</v>
      </c>
      <c r="U61">
        <v>36.24</v>
      </c>
      <c r="V61">
        <v>77.849999999999994</v>
      </c>
      <c r="W61" s="17">
        <v>2609.1244999999999</v>
      </c>
    </row>
    <row r="62" spans="7:25" x14ac:dyDescent="0.15">
      <c r="G62" s="11">
        <v>61</v>
      </c>
      <c r="H62" t="s">
        <v>161</v>
      </c>
      <c r="I62" t="s">
        <v>255</v>
      </c>
      <c r="J62" t="s">
        <v>224</v>
      </c>
      <c r="K62" s="43">
        <v>1.1000000000000001E-3</v>
      </c>
      <c r="L62" s="39">
        <v>1.8200000000000001E-2</v>
      </c>
      <c r="M62" s="39">
        <v>3.5799999999999998E-2</v>
      </c>
      <c r="N62" s="43">
        <v>1.14E-2</v>
      </c>
      <c r="O62" s="39">
        <v>-1.4800000000000001E-2</v>
      </c>
      <c r="P62" s="39">
        <v>-0.10920000000000001</v>
      </c>
      <c r="Q62" s="39">
        <v>0.248</v>
      </c>
      <c r="R62" s="39">
        <v>-3.1899999999999998E-2</v>
      </c>
      <c r="S62" s="39">
        <v>-5.9700000000000003E-2</v>
      </c>
      <c r="T62">
        <v>59.73</v>
      </c>
      <c r="U62">
        <v>85.23</v>
      </c>
      <c r="V62">
        <v>28.19</v>
      </c>
      <c r="W62" s="17">
        <v>26328.266299999999</v>
      </c>
      <c r="X62" s="83" t="s">
        <v>734</v>
      </c>
    </row>
    <row r="63" spans="7:25" x14ac:dyDescent="0.15">
      <c r="G63" s="11">
        <v>62</v>
      </c>
      <c r="H63" t="s">
        <v>326</v>
      </c>
      <c r="I63" t="s">
        <v>327</v>
      </c>
      <c r="J63" t="s">
        <v>363</v>
      </c>
      <c r="K63" s="43">
        <v>5.9999999999999995E-4</v>
      </c>
      <c r="L63" s="39">
        <v>-2.0999999999999999E-3</v>
      </c>
      <c r="M63" s="39">
        <v>8.3000000000000001E-3</v>
      </c>
      <c r="N63" s="43">
        <v>1.6999999999999999E-3</v>
      </c>
      <c r="O63" s="39">
        <v>-1.2E-2</v>
      </c>
      <c r="P63" s="39">
        <v>-5.9299999999999999E-2</v>
      </c>
      <c r="Q63" s="39">
        <v>-3.09E-2</v>
      </c>
      <c r="R63" s="39">
        <v>-0.13450000000000001</v>
      </c>
      <c r="S63" s="39">
        <v>-0.13450000000000001</v>
      </c>
      <c r="T63">
        <v>59.06</v>
      </c>
      <c r="U63">
        <v>77.849999999999994</v>
      </c>
      <c r="V63">
        <v>35.57</v>
      </c>
      <c r="W63" s="17">
        <v>8780.3862456000006</v>
      </c>
      <c r="X63" s="83" t="s">
        <v>734</v>
      </c>
    </row>
    <row r="64" spans="7:25" x14ac:dyDescent="0.15">
      <c r="G64" s="11">
        <v>63</v>
      </c>
      <c r="H64" s="10" t="s">
        <v>151</v>
      </c>
      <c r="I64" t="s">
        <v>241</v>
      </c>
      <c r="J64" t="s">
        <v>224</v>
      </c>
      <c r="K64" s="43">
        <v>-2.0999999999999999E-3</v>
      </c>
      <c r="L64" s="39">
        <v>-2.6100000000000002E-2</v>
      </c>
      <c r="M64" s="39">
        <v>-2.2100000000000002E-2</v>
      </c>
      <c r="N64" s="43">
        <v>-5.3900000000000003E-2</v>
      </c>
      <c r="O64" s="39">
        <v>-3.4299999999999997E-2</v>
      </c>
      <c r="P64" s="39">
        <v>-0.1028</v>
      </c>
      <c r="Q64" s="39">
        <v>-1.5900000000000001E-2</v>
      </c>
      <c r="R64" s="39">
        <v>-0.35520000000000002</v>
      </c>
      <c r="S64" s="39">
        <v>-0.34360000000000002</v>
      </c>
      <c r="T64">
        <v>58.39</v>
      </c>
      <c r="U64">
        <v>26.17</v>
      </c>
      <c r="V64">
        <v>85.91</v>
      </c>
      <c r="W64" s="17">
        <v>1620.942</v>
      </c>
    </row>
    <row r="65" spans="7:25" x14ac:dyDescent="0.15">
      <c r="G65" s="11">
        <v>64</v>
      </c>
      <c r="H65" s="10" t="s">
        <v>170</v>
      </c>
      <c r="I65" t="s">
        <v>312</v>
      </c>
      <c r="J65" t="s">
        <v>308</v>
      </c>
      <c r="K65" s="43">
        <v>3.3E-3</v>
      </c>
      <c r="L65" s="39">
        <v>6.3E-3</v>
      </c>
      <c r="M65" s="39">
        <v>6.3E-3</v>
      </c>
      <c r="N65" s="43">
        <v>4.7199999999999999E-2</v>
      </c>
      <c r="O65" s="39">
        <v>1.6500000000000001E-2</v>
      </c>
      <c r="P65" s="39">
        <v>5.7799999999999997E-2</v>
      </c>
      <c r="Q65" s="39">
        <v>0.14460000000000001</v>
      </c>
      <c r="R65" s="39">
        <v>9.3299999999999994E-2</v>
      </c>
      <c r="S65" s="39">
        <v>0.41670000000000001</v>
      </c>
      <c r="T65">
        <v>57.72</v>
      </c>
      <c r="U65">
        <v>96.64</v>
      </c>
      <c r="V65">
        <v>14.77</v>
      </c>
      <c r="W65" s="17">
        <v>13084.2642</v>
      </c>
      <c r="X65" s="83" t="s">
        <v>734</v>
      </c>
      <c r="Y65" s="81" t="s">
        <v>771</v>
      </c>
    </row>
    <row r="66" spans="7:25" x14ac:dyDescent="0.15">
      <c r="G66" s="11">
        <v>65</v>
      </c>
      <c r="H66" s="10" t="s">
        <v>100</v>
      </c>
      <c r="I66" t="s">
        <v>278</v>
      </c>
      <c r="J66" t="s">
        <v>224</v>
      </c>
      <c r="K66" s="43">
        <v>-4.0000000000000002E-4</v>
      </c>
      <c r="L66" s="39">
        <v>-2.9999999999999997E-4</v>
      </c>
      <c r="M66" s="39">
        <v>-1.0699999999999999E-2</v>
      </c>
      <c r="N66" s="43">
        <v>-2.2800000000000001E-2</v>
      </c>
      <c r="O66" s="39">
        <v>-9.9699999999999997E-2</v>
      </c>
      <c r="P66" s="39">
        <v>-0.121</v>
      </c>
      <c r="Q66" s="39">
        <v>-0.18379999999999999</v>
      </c>
      <c r="R66" s="39">
        <v>-0.33310000000000001</v>
      </c>
      <c r="S66" s="39">
        <v>6.4100000000000004E-2</v>
      </c>
      <c r="T66">
        <v>57.05</v>
      </c>
      <c r="U66">
        <v>54.36</v>
      </c>
      <c r="V66">
        <v>57.05</v>
      </c>
      <c r="W66" s="17">
        <v>5101.5668999999998</v>
      </c>
      <c r="X66" s="83" t="s">
        <v>734</v>
      </c>
    </row>
    <row r="67" spans="7:25" x14ac:dyDescent="0.15">
      <c r="G67" s="11">
        <v>66</v>
      </c>
      <c r="H67" t="s">
        <v>166</v>
      </c>
      <c r="I67" t="s">
        <v>231</v>
      </c>
      <c r="J67" t="s">
        <v>224</v>
      </c>
      <c r="K67" s="43">
        <v>-4.0000000000000002E-4</v>
      </c>
      <c r="L67" s="39">
        <v>-2.47E-2</v>
      </c>
      <c r="M67" s="39">
        <v>-2.2100000000000002E-2</v>
      </c>
      <c r="N67" s="43">
        <v>-2.2800000000000001E-2</v>
      </c>
      <c r="O67" s="39">
        <v>-7.6100000000000001E-2</v>
      </c>
      <c r="P67" s="39">
        <v>-9.4200000000000006E-2</v>
      </c>
      <c r="Q67" s="39">
        <v>1.6899999999999998E-2</v>
      </c>
      <c r="R67" s="39">
        <v>-2.4799999999999999E-2</v>
      </c>
      <c r="S67" s="39">
        <v>0.23350000000000001</v>
      </c>
      <c r="T67">
        <v>56.38</v>
      </c>
      <c r="U67">
        <v>55.03</v>
      </c>
      <c r="V67">
        <v>55.7</v>
      </c>
      <c r="W67" s="17">
        <v>6191.9915000000001</v>
      </c>
    </row>
    <row r="68" spans="7:25" x14ac:dyDescent="0.15">
      <c r="G68" s="11">
        <v>67</v>
      </c>
      <c r="H68" s="10" t="s">
        <v>130</v>
      </c>
      <c r="I68" t="s">
        <v>265</v>
      </c>
      <c r="J68" t="s">
        <v>224</v>
      </c>
      <c r="K68" s="43">
        <v>2.9999999999999997E-4</v>
      </c>
      <c r="L68" s="39">
        <v>-1.11E-2</v>
      </c>
      <c r="M68" s="39">
        <v>-1.41E-2</v>
      </c>
      <c r="N68" s="43">
        <v>-3.3E-3</v>
      </c>
      <c r="O68" s="39">
        <v>-2.7799999999999998E-2</v>
      </c>
      <c r="P68" s="39">
        <v>-1.43E-2</v>
      </c>
      <c r="Q68" s="39">
        <v>1.24E-2</v>
      </c>
      <c r="R68" s="39">
        <v>0.08</v>
      </c>
      <c r="S68" s="39">
        <v>0.2545</v>
      </c>
      <c r="T68">
        <v>55.7</v>
      </c>
      <c r="U68">
        <v>69.8</v>
      </c>
      <c r="V68">
        <v>40.270000000000003</v>
      </c>
      <c r="W68" s="17">
        <v>22370.045999999998</v>
      </c>
    </row>
    <row r="69" spans="7:25" x14ac:dyDescent="0.15">
      <c r="G69" s="11">
        <v>68</v>
      </c>
      <c r="H69" s="10" t="s">
        <v>353</v>
      </c>
      <c r="I69" t="s">
        <v>750</v>
      </c>
      <c r="J69" t="s">
        <v>363</v>
      </c>
      <c r="K69" s="43">
        <v>-1E-3</v>
      </c>
      <c r="L69" s="39">
        <v>-2.3800000000000002E-2</v>
      </c>
      <c r="M69" s="39">
        <v>-3.7400000000000003E-2</v>
      </c>
      <c r="N69" s="43">
        <v>-4.3999999999999997E-2</v>
      </c>
      <c r="O69" s="39">
        <v>-9.01E-2</v>
      </c>
      <c r="P69" s="39">
        <v>-9.7199999999999995E-2</v>
      </c>
      <c r="Q69" s="39">
        <v>-9.8799999999999999E-2</v>
      </c>
      <c r="R69" s="39">
        <v>-0.27429999999999999</v>
      </c>
      <c r="S69" s="39">
        <v>-0.27429999999999999</v>
      </c>
      <c r="T69">
        <v>55.03</v>
      </c>
      <c r="U69">
        <v>36.909999999999997</v>
      </c>
      <c r="V69">
        <v>73.150000000000006</v>
      </c>
      <c r="W69" s="17">
        <v>3132.143</v>
      </c>
      <c r="X69" s="83" t="s">
        <v>734</v>
      </c>
      <c r="Y69" s="81" t="s">
        <v>771</v>
      </c>
    </row>
    <row r="70" spans="7:25" x14ac:dyDescent="0.15">
      <c r="G70" s="11">
        <v>69</v>
      </c>
      <c r="H70" s="10" t="s">
        <v>201</v>
      </c>
      <c r="I70" t="s">
        <v>314</v>
      </c>
      <c r="J70" t="s">
        <v>308</v>
      </c>
      <c r="K70" s="43">
        <v>5.4000000000000003E-3</v>
      </c>
      <c r="L70" s="39">
        <v>-1.14E-2</v>
      </c>
      <c r="M70" s="39">
        <v>3.3000000000000002E-2</v>
      </c>
      <c r="N70" s="43">
        <v>7.5999999999999998E-2</v>
      </c>
      <c r="O70" s="39">
        <v>0.113</v>
      </c>
      <c r="P70" s="39">
        <v>9.01E-2</v>
      </c>
      <c r="Q70" s="39">
        <v>0.36649999999999999</v>
      </c>
      <c r="R70" s="39">
        <v>0.33760000000000001</v>
      </c>
      <c r="S70" s="39">
        <v>-0.36840000000000001</v>
      </c>
      <c r="T70">
        <v>54.36</v>
      </c>
      <c r="U70">
        <v>99.33</v>
      </c>
      <c r="V70">
        <v>9.4</v>
      </c>
      <c r="W70" s="17">
        <v>9000.1087000000007</v>
      </c>
      <c r="X70" s="83" t="s">
        <v>734</v>
      </c>
    </row>
    <row r="71" spans="7:25" x14ac:dyDescent="0.15">
      <c r="G71" s="11">
        <v>70</v>
      </c>
      <c r="H71" s="10" t="s">
        <v>134</v>
      </c>
      <c r="I71" t="s">
        <v>247</v>
      </c>
      <c r="J71" t="s">
        <v>224</v>
      </c>
      <c r="K71" s="43">
        <v>3.0000000000000001E-3</v>
      </c>
      <c r="L71" s="39">
        <v>2.7E-2</v>
      </c>
      <c r="M71" s="39">
        <v>4.7399999999999998E-2</v>
      </c>
      <c r="N71" s="43">
        <v>3.2599999999999997E-2</v>
      </c>
      <c r="O71" s="39">
        <v>-2.4899999999999999E-2</v>
      </c>
      <c r="P71" s="39">
        <v>-0.22439999999999999</v>
      </c>
      <c r="Q71" s="39">
        <v>0.21540000000000001</v>
      </c>
      <c r="R71" s="39">
        <v>-5.8099999999999999E-2</v>
      </c>
      <c r="S71" s="39">
        <v>-3.2899999999999999E-2</v>
      </c>
      <c r="T71">
        <v>53.69</v>
      </c>
      <c r="U71">
        <v>91.28</v>
      </c>
      <c r="V71">
        <v>17.45</v>
      </c>
      <c r="W71" s="17">
        <v>16847.694</v>
      </c>
    </row>
    <row r="72" spans="7:25" x14ac:dyDescent="0.15">
      <c r="G72" s="11">
        <v>71</v>
      </c>
      <c r="H72" s="10" t="s">
        <v>128</v>
      </c>
      <c r="I72" t="s">
        <v>338</v>
      </c>
      <c r="J72" t="s">
        <v>363</v>
      </c>
      <c r="K72" s="43">
        <v>2.9999999999999997E-4</v>
      </c>
      <c r="L72" s="39">
        <v>-1E-3</v>
      </c>
      <c r="M72" s="39">
        <v>-1.8E-3</v>
      </c>
      <c r="N72" s="43">
        <v>-1.09E-2</v>
      </c>
      <c r="O72" s="39">
        <v>-2.8199999999999999E-2</v>
      </c>
      <c r="P72" s="39">
        <v>-2.9499999999999998E-2</v>
      </c>
      <c r="Q72" s="39">
        <v>-2.2700000000000001E-2</v>
      </c>
      <c r="R72" s="39">
        <v>-5.4899999999999997E-2</v>
      </c>
      <c r="S72" s="39">
        <v>2.0299999999999999E-2</v>
      </c>
      <c r="T72">
        <v>53.02</v>
      </c>
      <c r="U72">
        <v>67.11</v>
      </c>
      <c r="V72">
        <v>40.94</v>
      </c>
      <c r="W72" s="17">
        <v>21803.226999999999</v>
      </c>
    </row>
    <row r="73" spans="7:25" x14ac:dyDescent="0.15">
      <c r="G73" s="11">
        <v>72</v>
      </c>
      <c r="H73" s="10" t="s">
        <v>347</v>
      </c>
      <c r="I73" t="s">
        <v>348</v>
      </c>
      <c r="J73" t="s">
        <v>363</v>
      </c>
      <c r="K73" s="43">
        <v>-8.0000000000000004E-4</v>
      </c>
      <c r="L73" s="39">
        <v>-1.9400000000000001E-2</v>
      </c>
      <c r="M73" s="39">
        <v>-3.8199999999999998E-2</v>
      </c>
      <c r="N73" s="43">
        <v>-4.3299999999999998E-2</v>
      </c>
      <c r="O73" s="39">
        <v>-6.6799999999999998E-2</v>
      </c>
      <c r="P73" s="39">
        <v>-6.3700000000000007E-2</v>
      </c>
      <c r="Q73" s="39">
        <v>4.0300000000000002E-2</v>
      </c>
      <c r="R73" s="39">
        <v>-8.6300000000000002E-2</v>
      </c>
      <c r="S73" s="39">
        <v>-8.6300000000000002E-2</v>
      </c>
      <c r="T73">
        <v>52.35</v>
      </c>
      <c r="U73">
        <v>40.270000000000003</v>
      </c>
      <c r="V73">
        <v>66.44</v>
      </c>
      <c r="W73" s="17">
        <v>2244.3276000000001</v>
      </c>
    </row>
    <row r="74" spans="7:25" x14ac:dyDescent="0.15">
      <c r="G74" s="11">
        <v>73</v>
      </c>
      <c r="H74" t="s">
        <v>163</v>
      </c>
      <c r="I74" t="s">
        <v>304</v>
      </c>
      <c r="J74" t="s">
        <v>224</v>
      </c>
      <c r="K74" s="43">
        <v>0</v>
      </c>
      <c r="L74" s="39">
        <v>-1.26E-2</v>
      </c>
      <c r="M74" s="39">
        <v>-1.29E-2</v>
      </c>
      <c r="N74" s="43">
        <v>-1.4E-2</v>
      </c>
      <c r="O74" s="39">
        <v>-3.7100000000000001E-2</v>
      </c>
      <c r="P74" s="39">
        <v>-8.4699999999999998E-2</v>
      </c>
      <c r="Q74" s="39">
        <v>-9.3100000000000002E-2</v>
      </c>
      <c r="R74" s="39">
        <v>-0.20499999999999999</v>
      </c>
      <c r="S74" s="39">
        <v>-7.6899999999999996E-2</v>
      </c>
      <c r="T74">
        <v>51.68</v>
      </c>
      <c r="U74">
        <v>61.74</v>
      </c>
      <c r="V74">
        <v>44.97</v>
      </c>
      <c r="W74" s="17">
        <v>140001.0203</v>
      </c>
    </row>
    <row r="75" spans="7:25" x14ac:dyDescent="0.15">
      <c r="G75" s="11">
        <v>74</v>
      </c>
      <c r="H75" s="10" t="s">
        <v>158</v>
      </c>
      <c r="I75" t="s">
        <v>313</v>
      </c>
      <c r="J75" t="s">
        <v>308</v>
      </c>
      <c r="K75" s="43">
        <v>4.5999999999999999E-3</v>
      </c>
      <c r="L75" s="39">
        <v>7.1000000000000004E-3</v>
      </c>
      <c r="M75" s="39">
        <v>-1E-4</v>
      </c>
      <c r="N75" s="43">
        <v>4.5699999999999998E-2</v>
      </c>
      <c r="O75" s="39">
        <v>2.92E-2</v>
      </c>
      <c r="P75" s="39">
        <v>8.0199999999999994E-2</v>
      </c>
      <c r="Q75" s="39">
        <v>0.36919999999999997</v>
      </c>
      <c r="R75" s="39">
        <v>6.5299999999999997E-2</v>
      </c>
      <c r="S75" s="39">
        <v>0.4572</v>
      </c>
      <c r="T75">
        <v>51.01</v>
      </c>
      <c r="U75">
        <v>95.97</v>
      </c>
      <c r="V75">
        <v>10.74</v>
      </c>
      <c r="W75" s="17">
        <v>31710.023222000003</v>
      </c>
    </row>
    <row r="76" spans="7:25" x14ac:dyDescent="0.15">
      <c r="G76" s="11">
        <v>75</v>
      </c>
      <c r="H76" t="s">
        <v>90</v>
      </c>
      <c r="I76" t="s">
        <v>289</v>
      </c>
      <c r="J76" t="s">
        <v>224</v>
      </c>
      <c r="K76" s="43">
        <v>3.0999999999999999E-3</v>
      </c>
      <c r="L76" s="39">
        <v>-2.4400000000000002E-2</v>
      </c>
      <c r="M76" s="39">
        <v>5.7000000000000002E-3</v>
      </c>
      <c r="N76" s="43">
        <v>3.0499999999999999E-2</v>
      </c>
      <c r="O76" s="39">
        <v>3.0200000000000001E-2</v>
      </c>
      <c r="P76" s="39">
        <v>0.1416</v>
      </c>
      <c r="Q76" s="39">
        <v>-2.6200000000000001E-2</v>
      </c>
      <c r="R76" s="39">
        <v>0.31900000000000001</v>
      </c>
      <c r="S76" s="39">
        <v>1.0314000000000001</v>
      </c>
      <c r="T76">
        <v>50.34</v>
      </c>
      <c r="U76">
        <v>90.6</v>
      </c>
      <c r="V76">
        <v>16.11</v>
      </c>
      <c r="W76" s="17">
        <v>10464.743700000001</v>
      </c>
      <c r="X76" s="83" t="s">
        <v>734</v>
      </c>
    </row>
    <row r="77" spans="7:25" x14ac:dyDescent="0.15">
      <c r="G77" s="11">
        <v>76</v>
      </c>
      <c r="H77" s="10" t="s">
        <v>176</v>
      </c>
      <c r="I77" t="s">
        <v>244</v>
      </c>
      <c r="J77" t="s">
        <v>224</v>
      </c>
      <c r="K77" s="43">
        <v>1.5E-3</v>
      </c>
      <c r="L77" s="39">
        <v>-2.7400000000000001E-2</v>
      </c>
      <c r="M77" s="39">
        <v>-2.4E-2</v>
      </c>
      <c r="N77" s="43">
        <v>4.1999999999999997E-3</v>
      </c>
      <c r="O77" s="39">
        <v>-8.0000000000000002E-3</v>
      </c>
      <c r="P77" s="39">
        <v>8.0999999999999996E-3</v>
      </c>
      <c r="Q77" s="39">
        <v>3.1800000000000002E-2</v>
      </c>
      <c r="R77" s="39">
        <v>3.85E-2</v>
      </c>
      <c r="S77" s="39">
        <v>0.21560000000000001</v>
      </c>
      <c r="T77">
        <v>49.66</v>
      </c>
      <c r="U77">
        <v>80.540000000000006</v>
      </c>
      <c r="V77">
        <v>24.83</v>
      </c>
      <c r="W77" s="17">
        <v>2542.7022000000002</v>
      </c>
    </row>
    <row r="78" spans="7:25" x14ac:dyDescent="0.15">
      <c r="G78" s="11">
        <v>77</v>
      </c>
      <c r="H78" t="s">
        <v>196</v>
      </c>
      <c r="I78" t="s">
        <v>317</v>
      </c>
      <c r="J78" t="s">
        <v>308</v>
      </c>
      <c r="K78" s="43">
        <v>8.8000000000000005E-3</v>
      </c>
      <c r="L78" s="39">
        <v>8.8999999999999999E-3</v>
      </c>
      <c r="M78" s="39">
        <v>2.63E-2</v>
      </c>
      <c r="N78" s="43">
        <v>7.6799999999999993E-2</v>
      </c>
      <c r="O78" s="39">
        <v>3.4799999999999998E-2</v>
      </c>
      <c r="P78" s="39">
        <v>2.7199999999999998E-2</v>
      </c>
      <c r="Q78" s="39">
        <v>0.16850000000000001</v>
      </c>
      <c r="R78" s="39">
        <v>3.6499999999999998E-2</v>
      </c>
      <c r="S78" s="39">
        <v>0.15770000000000001</v>
      </c>
      <c r="T78">
        <v>48.99</v>
      </c>
      <c r="U78">
        <v>100</v>
      </c>
      <c r="V78">
        <v>4.03</v>
      </c>
      <c r="W78" s="17">
        <v>1566.4238</v>
      </c>
    </row>
    <row r="79" spans="7:25" x14ac:dyDescent="0.15">
      <c r="G79" s="11">
        <v>78</v>
      </c>
      <c r="H79" s="10" t="s">
        <v>95</v>
      </c>
      <c r="I79" t="s">
        <v>253</v>
      </c>
      <c r="J79" t="s">
        <v>224</v>
      </c>
      <c r="K79" s="43">
        <v>5.9999999999999995E-4</v>
      </c>
      <c r="L79" s="39">
        <v>-2.23E-2</v>
      </c>
      <c r="M79" s="39">
        <v>-1.6299999999999999E-2</v>
      </c>
      <c r="N79" s="43">
        <v>-9.4000000000000004E-3</v>
      </c>
      <c r="O79" s="39">
        <v>-5.11E-2</v>
      </c>
      <c r="P79" s="39">
        <v>-7.9000000000000001E-2</v>
      </c>
      <c r="Q79" s="39">
        <v>-0.1542</v>
      </c>
      <c r="R79" s="39">
        <v>-0.20280000000000001</v>
      </c>
      <c r="S79" s="39">
        <v>-0.1045</v>
      </c>
      <c r="T79">
        <v>48.32</v>
      </c>
      <c r="U79">
        <v>67.790000000000006</v>
      </c>
      <c r="V79">
        <v>36.24</v>
      </c>
      <c r="W79" s="17">
        <v>1877.7238</v>
      </c>
    </row>
    <row r="80" spans="7:25" x14ac:dyDescent="0.15">
      <c r="G80" s="11">
        <v>79</v>
      </c>
      <c r="H80" s="10" t="s">
        <v>453</v>
      </c>
      <c r="I80" t="s">
        <v>454</v>
      </c>
      <c r="J80" t="s">
        <v>450</v>
      </c>
      <c r="K80" s="43">
        <v>-2E-3</v>
      </c>
      <c r="L80" s="39">
        <v>-2.3699999999999999E-2</v>
      </c>
      <c r="M80" s="39">
        <v>-4.1099999999999998E-2</v>
      </c>
      <c r="N80" s="43">
        <v>-5.8599999999999999E-2</v>
      </c>
      <c r="O80" s="39">
        <v>-0.1076</v>
      </c>
      <c r="P80" s="39">
        <v>-0.1133</v>
      </c>
      <c r="Q80" s="39">
        <v>-0.1105</v>
      </c>
      <c r="R80" s="39">
        <v>-0.19939999999999999</v>
      </c>
      <c r="S80" s="39">
        <v>-0.19939999999999999</v>
      </c>
      <c r="T80">
        <v>47.65</v>
      </c>
      <c r="U80">
        <v>18.79</v>
      </c>
      <c r="V80">
        <v>85.23</v>
      </c>
      <c r="W80" s="17">
        <v>5742.5451999999996</v>
      </c>
    </row>
    <row r="81" spans="7:25" x14ac:dyDescent="0.15">
      <c r="G81" s="11">
        <v>80</v>
      </c>
      <c r="H81" t="s">
        <v>204</v>
      </c>
      <c r="I81" t="s">
        <v>311</v>
      </c>
      <c r="J81" t="s">
        <v>308</v>
      </c>
      <c r="K81" s="43">
        <v>7.7000000000000002E-3</v>
      </c>
      <c r="L81" s="39">
        <v>2.9399999999999999E-2</v>
      </c>
      <c r="M81" s="39">
        <v>4.5999999999999999E-2</v>
      </c>
      <c r="N81" s="43">
        <v>6.0400000000000002E-2</v>
      </c>
      <c r="O81" s="39">
        <v>4.1799999999999997E-2</v>
      </c>
      <c r="P81" s="39">
        <v>0.1003</v>
      </c>
      <c r="Q81" s="39">
        <v>6.8500000000000005E-2</v>
      </c>
      <c r="R81" s="39">
        <v>0.1084</v>
      </c>
      <c r="S81" s="39">
        <v>0.46239999999999998</v>
      </c>
      <c r="T81">
        <v>46.98</v>
      </c>
      <c r="U81">
        <v>97.32</v>
      </c>
      <c r="V81">
        <v>6.04</v>
      </c>
      <c r="W81" s="17">
        <v>3157.0759022999996</v>
      </c>
      <c r="X81" s="83" t="s">
        <v>734</v>
      </c>
      <c r="Y81" s="81" t="s">
        <v>771</v>
      </c>
    </row>
    <row r="82" spans="7:25" x14ac:dyDescent="0.15">
      <c r="G82" s="11">
        <v>81</v>
      </c>
      <c r="H82" t="s">
        <v>181</v>
      </c>
      <c r="I82" t="s">
        <v>238</v>
      </c>
      <c r="J82" t="s">
        <v>224</v>
      </c>
      <c r="K82" s="43">
        <v>5.0000000000000001E-4</v>
      </c>
      <c r="L82" s="39">
        <v>1.1000000000000001E-3</v>
      </c>
      <c r="M82" s="39">
        <v>5.5999999999999999E-3</v>
      </c>
      <c r="N82" s="43">
        <v>-1.0999999999999999E-2</v>
      </c>
      <c r="O82" s="39">
        <v>-4.5900000000000003E-2</v>
      </c>
      <c r="P82" s="39">
        <v>-0.20880000000000001</v>
      </c>
      <c r="Q82" s="39">
        <v>2.2800000000000001E-2</v>
      </c>
      <c r="R82" s="39">
        <v>-0.2465</v>
      </c>
      <c r="S82" s="39">
        <v>-0.25890000000000002</v>
      </c>
      <c r="T82">
        <v>46.31</v>
      </c>
      <c r="U82">
        <v>66.44</v>
      </c>
      <c r="V82">
        <v>36.909999999999997</v>
      </c>
      <c r="W82" s="17">
        <v>6333.9205200000006</v>
      </c>
    </row>
    <row r="83" spans="7:25" x14ac:dyDescent="0.15">
      <c r="G83" s="11">
        <v>82</v>
      </c>
      <c r="H83" s="10" t="s">
        <v>132</v>
      </c>
      <c r="I83" t="s">
        <v>226</v>
      </c>
      <c r="J83" t="s">
        <v>224</v>
      </c>
      <c r="K83" s="43">
        <v>-2.0000000000000001E-4</v>
      </c>
      <c r="L83" s="39">
        <v>-2.2599999999999999E-2</v>
      </c>
      <c r="M83" s="39">
        <v>-2.3E-2</v>
      </c>
      <c r="N83" s="43">
        <v>-2.3E-2</v>
      </c>
      <c r="O83" s="39">
        <v>-6.8500000000000005E-2</v>
      </c>
      <c r="P83" s="39">
        <v>-9.1999999999999998E-2</v>
      </c>
      <c r="Q83" s="39">
        <v>-1.7999999999999999E-2</v>
      </c>
      <c r="R83" s="39">
        <v>-0.112</v>
      </c>
      <c r="S83" s="39">
        <v>7.9100000000000004E-2</v>
      </c>
      <c r="T83">
        <v>45.64</v>
      </c>
      <c r="U83">
        <v>53.02</v>
      </c>
      <c r="V83">
        <v>48.99</v>
      </c>
      <c r="W83" s="17">
        <v>2969.8323</v>
      </c>
    </row>
    <row r="84" spans="7:25" x14ac:dyDescent="0.15">
      <c r="G84" s="11">
        <v>83</v>
      </c>
      <c r="H84" s="10" t="s">
        <v>107</v>
      </c>
      <c r="I84" t="s">
        <v>1050</v>
      </c>
      <c r="J84" t="s">
        <v>224</v>
      </c>
      <c r="K84" s="43">
        <v>2.3999999999999998E-3</v>
      </c>
      <c r="L84" s="39">
        <v>-1.37E-2</v>
      </c>
      <c r="M84" s="39">
        <v>-1.8200000000000001E-2</v>
      </c>
      <c r="N84" s="43">
        <v>5.7000000000000002E-3</v>
      </c>
      <c r="O84" s="39">
        <v>-2.58E-2</v>
      </c>
      <c r="P84" s="39">
        <v>-5.7999999999999996E-3</v>
      </c>
      <c r="Q84" s="39">
        <v>0.1111</v>
      </c>
      <c r="R84" s="39">
        <v>0.24110000000000001</v>
      </c>
      <c r="S84" s="39">
        <v>0.43269999999999997</v>
      </c>
      <c r="T84">
        <v>44.97</v>
      </c>
      <c r="U84">
        <v>81.209999999999994</v>
      </c>
      <c r="V84">
        <v>20.13</v>
      </c>
      <c r="W84" s="17">
        <v>5669.1188000000002</v>
      </c>
      <c r="X84" s="83" t="s">
        <v>734</v>
      </c>
      <c r="Y84" s="81" t="s">
        <v>771</v>
      </c>
    </row>
    <row r="85" spans="7:25" x14ac:dyDescent="0.15">
      <c r="G85" s="11">
        <v>84</v>
      </c>
      <c r="H85" s="10" t="s">
        <v>1082</v>
      </c>
      <c r="I85" t="s">
        <v>1083</v>
      </c>
      <c r="J85" t="s">
        <v>308</v>
      </c>
      <c r="K85" s="43">
        <v>8.9999999999999993E-3</v>
      </c>
      <c r="L85" s="39">
        <v>3.5200000000000002E-2</v>
      </c>
      <c r="M85" s="39">
        <v>5.2600000000000001E-2</v>
      </c>
      <c r="N85" s="43">
        <v>7.1499999999999994E-2</v>
      </c>
      <c r="O85" s="39">
        <v>-2.8799999999999999E-2</v>
      </c>
      <c r="P85" s="39">
        <v>-4.7899999999999998E-2</v>
      </c>
      <c r="Q85" s="39">
        <v>-6.6400000000000001E-2</v>
      </c>
      <c r="R85" s="39">
        <v>3.8699999999999998E-2</v>
      </c>
      <c r="S85" s="39">
        <v>3.8699999999999998E-2</v>
      </c>
      <c r="T85">
        <v>44.3</v>
      </c>
      <c r="U85">
        <v>97.99</v>
      </c>
      <c r="V85">
        <v>2.68</v>
      </c>
      <c r="W85" s="17">
        <v>2171.0725000000002</v>
      </c>
      <c r="X85" s="83" t="s">
        <v>734</v>
      </c>
    </row>
    <row r="86" spans="7:25" x14ac:dyDescent="0.15">
      <c r="G86" s="11">
        <v>85</v>
      </c>
      <c r="H86" s="10" t="s">
        <v>393</v>
      </c>
      <c r="I86" t="s">
        <v>1084</v>
      </c>
      <c r="J86" t="s">
        <v>1085</v>
      </c>
      <c r="K86" s="43">
        <v>4.4999999999999997E-3</v>
      </c>
      <c r="L86" s="39">
        <v>-3.6299999999999999E-2</v>
      </c>
      <c r="M86" s="39">
        <v>1.06E-2</v>
      </c>
      <c r="N86" s="43">
        <v>2.3599999999999999E-2</v>
      </c>
      <c r="O86" s="39">
        <v>1.15E-2</v>
      </c>
      <c r="P86" s="39">
        <v>1.6899999999999998E-2</v>
      </c>
      <c r="Q86" s="39">
        <v>0.1089</v>
      </c>
      <c r="R86" s="39">
        <v>-2.86E-2</v>
      </c>
      <c r="S86" s="39">
        <v>-0.1484</v>
      </c>
      <c r="T86">
        <v>43.62</v>
      </c>
      <c r="U86">
        <v>88.59</v>
      </c>
      <c r="V86">
        <v>11.41</v>
      </c>
      <c r="W86" s="17">
        <v>967.69370309999999</v>
      </c>
      <c r="X86" s="83" t="s">
        <v>734</v>
      </c>
    </row>
    <row r="87" spans="7:25" x14ac:dyDescent="0.15">
      <c r="G87" s="11">
        <v>86</v>
      </c>
      <c r="H87" s="10" t="s">
        <v>462</v>
      </c>
      <c r="I87" t="s">
        <v>463</v>
      </c>
      <c r="J87" t="s">
        <v>450</v>
      </c>
      <c r="K87" s="43">
        <v>-4.0000000000000002E-4</v>
      </c>
      <c r="L87" s="39">
        <v>-3.7900000000000003E-2</v>
      </c>
      <c r="M87" s="39">
        <v>-4.6800000000000001E-2</v>
      </c>
      <c r="N87" s="43">
        <v>-4.1000000000000002E-2</v>
      </c>
      <c r="O87" s="39">
        <v>-0.1004</v>
      </c>
      <c r="P87" s="39">
        <v>-8.9899999999999994E-2</v>
      </c>
      <c r="Q87" s="39">
        <v>-0.1744</v>
      </c>
      <c r="R87" s="39">
        <v>-0.24929999999999999</v>
      </c>
      <c r="S87" s="39">
        <v>-0.24929999999999999</v>
      </c>
      <c r="T87">
        <v>42.95</v>
      </c>
      <c r="U87">
        <v>42.28</v>
      </c>
      <c r="V87">
        <v>55.03</v>
      </c>
      <c r="W87" s="17">
        <v>4437.8607871000004</v>
      </c>
    </row>
    <row r="88" spans="7:25" x14ac:dyDescent="0.15">
      <c r="G88" s="11">
        <v>87</v>
      </c>
      <c r="H88" s="10" t="s">
        <v>460</v>
      </c>
      <c r="I88" t="s">
        <v>461</v>
      </c>
      <c r="J88" t="s">
        <v>450</v>
      </c>
      <c r="K88" s="43">
        <v>-2.0999999999999999E-3</v>
      </c>
      <c r="L88" s="39">
        <v>-1.83E-2</v>
      </c>
      <c r="M88" s="39">
        <v>-4.1200000000000001E-2</v>
      </c>
      <c r="N88" s="43">
        <v>-6.6500000000000004E-2</v>
      </c>
      <c r="O88" s="39">
        <v>-0.14030000000000001</v>
      </c>
      <c r="P88" s="39">
        <v>-0.15160000000000001</v>
      </c>
      <c r="Q88" s="39">
        <v>-0.21609999999999999</v>
      </c>
      <c r="R88" s="39">
        <v>-0.34560000000000002</v>
      </c>
      <c r="S88" s="39">
        <v>-0.34560000000000002</v>
      </c>
      <c r="T88">
        <v>42.28</v>
      </c>
      <c r="U88">
        <v>10.07</v>
      </c>
      <c r="V88">
        <v>86.58</v>
      </c>
      <c r="W88" s="17">
        <v>2854.2595999999999</v>
      </c>
    </row>
    <row r="89" spans="7:25" x14ac:dyDescent="0.15">
      <c r="G89" s="11">
        <v>88</v>
      </c>
      <c r="H89" s="10" t="s">
        <v>345</v>
      </c>
      <c r="I89" t="s">
        <v>346</v>
      </c>
      <c r="J89" t="s">
        <v>363</v>
      </c>
      <c r="K89" s="43">
        <v>-1.1000000000000001E-3</v>
      </c>
      <c r="L89" s="39">
        <v>-2.18E-2</v>
      </c>
      <c r="M89" s="39">
        <v>-3.4500000000000003E-2</v>
      </c>
      <c r="N89" s="43">
        <v>-5.6399999999999999E-2</v>
      </c>
      <c r="O89" s="39">
        <v>-8.6699999999999999E-2</v>
      </c>
      <c r="P89" s="39">
        <v>-0.1066</v>
      </c>
      <c r="Q89" s="39">
        <v>-6.88E-2</v>
      </c>
      <c r="R89" s="39">
        <v>-0.30859999999999999</v>
      </c>
      <c r="S89" s="39">
        <v>-0.30030000000000001</v>
      </c>
      <c r="T89">
        <v>41.61</v>
      </c>
      <c r="U89">
        <v>21.48</v>
      </c>
      <c r="V89">
        <v>75.17</v>
      </c>
      <c r="W89" s="17">
        <v>976.35320000000002</v>
      </c>
    </row>
    <row r="90" spans="7:25" x14ac:dyDescent="0.15">
      <c r="G90" s="11">
        <v>89</v>
      </c>
      <c r="H90" s="10" t="s">
        <v>174</v>
      </c>
      <c r="I90" t="s">
        <v>305</v>
      </c>
      <c r="J90" t="s">
        <v>224</v>
      </c>
      <c r="K90" s="43">
        <v>-4.0000000000000002E-4</v>
      </c>
      <c r="L90" s="39">
        <v>-2.3800000000000002E-2</v>
      </c>
      <c r="M90" s="39">
        <v>-3.6400000000000002E-2</v>
      </c>
      <c r="N90" s="43">
        <v>-4.3700000000000003E-2</v>
      </c>
      <c r="O90" s="39">
        <v>-7.9899999999999999E-2</v>
      </c>
      <c r="P90" s="39">
        <v>-6.5699999999999995E-2</v>
      </c>
      <c r="Q90" s="39">
        <v>-7.9200000000000007E-2</v>
      </c>
      <c r="R90" s="39">
        <v>-0.2162</v>
      </c>
      <c r="S90" s="39">
        <v>-0.248</v>
      </c>
      <c r="T90">
        <v>40.94</v>
      </c>
      <c r="U90">
        <v>39.6</v>
      </c>
      <c r="V90">
        <v>56.38</v>
      </c>
      <c r="W90" s="17">
        <v>133810.54149999999</v>
      </c>
    </row>
    <row r="91" spans="7:25" x14ac:dyDescent="0.15">
      <c r="G91" s="11">
        <v>90</v>
      </c>
      <c r="H91" s="10" t="s">
        <v>137</v>
      </c>
      <c r="I91" t="s">
        <v>259</v>
      </c>
      <c r="J91" t="s">
        <v>224</v>
      </c>
      <c r="K91" s="43">
        <v>8.0000000000000004E-4</v>
      </c>
      <c r="L91" s="39">
        <v>-1.9699999999999999E-2</v>
      </c>
      <c r="M91" s="39">
        <v>-1.7299999999999999E-2</v>
      </c>
      <c r="N91" s="43">
        <v>-1.3299999999999999E-2</v>
      </c>
      <c r="O91" s="39">
        <v>-1.32E-2</v>
      </c>
      <c r="P91" s="39">
        <v>-8.0799999999999997E-2</v>
      </c>
      <c r="Q91" s="39">
        <v>-8.2900000000000001E-2</v>
      </c>
      <c r="R91" s="39">
        <v>-0.2195</v>
      </c>
      <c r="S91" s="39">
        <v>3.5999999999999999E-3</v>
      </c>
      <c r="T91">
        <v>40.270000000000003</v>
      </c>
      <c r="U91">
        <v>62.42</v>
      </c>
      <c r="V91">
        <v>33.56</v>
      </c>
      <c r="W91" s="17">
        <v>73559.116845299999</v>
      </c>
    </row>
    <row r="92" spans="7:25" x14ac:dyDescent="0.15">
      <c r="G92" s="11">
        <v>91</v>
      </c>
      <c r="H92" s="10" t="s">
        <v>168</v>
      </c>
      <c r="I92" t="s">
        <v>298</v>
      </c>
      <c r="J92" t="s">
        <v>224</v>
      </c>
      <c r="K92" s="43">
        <v>-1.1999999999999999E-3</v>
      </c>
      <c r="L92" s="39">
        <v>-2.07E-2</v>
      </c>
      <c r="M92" s="39">
        <v>-4.07E-2</v>
      </c>
      <c r="N92" s="43">
        <v>-5.8299999999999998E-2</v>
      </c>
      <c r="O92" s="39">
        <v>-0.1178</v>
      </c>
      <c r="P92" s="39">
        <v>-0.1113</v>
      </c>
      <c r="Q92" s="39">
        <v>-0.14199999999999999</v>
      </c>
      <c r="R92" s="39">
        <v>-0.3201</v>
      </c>
      <c r="S92" s="39">
        <v>-0.32329999999999998</v>
      </c>
      <c r="T92">
        <v>39.6</v>
      </c>
      <c r="U92">
        <v>19.46</v>
      </c>
      <c r="V92">
        <v>75.84</v>
      </c>
      <c r="W92" s="17">
        <v>12482.781300000001</v>
      </c>
    </row>
    <row r="93" spans="7:25" x14ac:dyDescent="0.15">
      <c r="G93" s="11">
        <v>92</v>
      </c>
      <c r="H93" s="10" t="s">
        <v>203</v>
      </c>
      <c r="I93" t="s">
        <v>1094</v>
      </c>
      <c r="J93" t="s">
        <v>308</v>
      </c>
      <c r="K93" s="43">
        <v>9.7999999999999997E-3</v>
      </c>
      <c r="L93" s="39">
        <v>-1.4E-3</v>
      </c>
      <c r="M93" s="39">
        <v>6.4999999999999997E-3</v>
      </c>
      <c r="N93" s="43">
        <v>3.73E-2</v>
      </c>
      <c r="O93" s="39">
        <v>1.12E-2</v>
      </c>
      <c r="P93" s="39">
        <v>2.2700000000000001E-2</v>
      </c>
      <c r="Q93" s="39">
        <v>0.1623</v>
      </c>
      <c r="R93" s="39">
        <v>0.14080000000000001</v>
      </c>
      <c r="S93" s="39">
        <v>0.38769999999999999</v>
      </c>
      <c r="T93">
        <v>38.93</v>
      </c>
      <c r="U93">
        <v>93.29</v>
      </c>
      <c r="V93">
        <v>1.34</v>
      </c>
      <c r="W93" s="17">
        <v>381.04059999999998</v>
      </c>
      <c r="X93" s="83" t="s">
        <v>734</v>
      </c>
    </row>
    <row r="94" spans="7:25" x14ac:dyDescent="0.15">
      <c r="G94" s="11">
        <v>93</v>
      </c>
      <c r="H94" s="10" t="s">
        <v>203</v>
      </c>
      <c r="I94" t="s">
        <v>313</v>
      </c>
      <c r="J94" t="s">
        <v>308</v>
      </c>
      <c r="K94" s="43">
        <v>9.7999999999999997E-3</v>
      </c>
      <c r="L94" s="39">
        <v>-1.4E-3</v>
      </c>
      <c r="M94" s="39">
        <v>6.4999999999999997E-3</v>
      </c>
      <c r="N94" s="43">
        <v>3.73E-2</v>
      </c>
      <c r="O94" s="39">
        <v>1.12E-2</v>
      </c>
      <c r="P94" s="39">
        <v>2.2700000000000001E-2</v>
      </c>
      <c r="Q94" s="39">
        <v>0.1623</v>
      </c>
      <c r="R94" s="39">
        <v>0.14080000000000001</v>
      </c>
      <c r="S94" s="39">
        <v>0.38769999999999999</v>
      </c>
      <c r="T94">
        <v>38.26</v>
      </c>
      <c r="U94">
        <v>92.62</v>
      </c>
      <c r="V94">
        <v>2.0099999999999998</v>
      </c>
      <c r="W94" s="17">
        <v>381.04059999999998</v>
      </c>
      <c r="X94" s="83" t="s">
        <v>734</v>
      </c>
      <c r="Y94" s="81" t="s">
        <v>771</v>
      </c>
    </row>
    <row r="95" spans="7:25" x14ac:dyDescent="0.15">
      <c r="G95" s="11">
        <v>94</v>
      </c>
      <c r="H95" s="10" t="s">
        <v>143</v>
      </c>
      <c r="I95" t="s">
        <v>249</v>
      </c>
      <c r="J95" t="s">
        <v>224</v>
      </c>
      <c r="K95" s="43">
        <v>-1E-4</v>
      </c>
      <c r="L95" s="39">
        <v>-1.8499999999999999E-2</v>
      </c>
      <c r="M95" s="39">
        <v>-2.86E-2</v>
      </c>
      <c r="N95" s="43">
        <v>-3.73E-2</v>
      </c>
      <c r="O95" s="39">
        <v>-7.2300000000000003E-2</v>
      </c>
      <c r="P95" s="39">
        <v>-9.1600000000000001E-2</v>
      </c>
      <c r="Q95" s="39">
        <v>-8.5900000000000004E-2</v>
      </c>
      <c r="R95" s="39">
        <v>-0.24640000000000001</v>
      </c>
      <c r="S95" s="39">
        <v>-0.20269999999999999</v>
      </c>
      <c r="T95">
        <v>37.58</v>
      </c>
      <c r="U95">
        <v>45.64</v>
      </c>
      <c r="V95">
        <v>48.32</v>
      </c>
      <c r="W95" s="17">
        <v>12936.3331</v>
      </c>
    </row>
    <row r="96" spans="7:25" x14ac:dyDescent="0.15">
      <c r="G96" s="11">
        <v>95</v>
      </c>
      <c r="H96" s="10" t="s">
        <v>193</v>
      </c>
      <c r="I96" t="s">
        <v>218</v>
      </c>
      <c r="J96" t="s">
        <v>318</v>
      </c>
      <c r="K96" s="43">
        <v>8.8999999999999999E-3</v>
      </c>
      <c r="L96" s="39">
        <v>-4.3E-3</v>
      </c>
      <c r="M96" s="39">
        <v>-4.0000000000000001E-3</v>
      </c>
      <c r="N96" s="43">
        <v>2.3199999999999998E-2</v>
      </c>
      <c r="O96" s="39">
        <v>-1.3599999999999999E-2</v>
      </c>
      <c r="P96" s="39">
        <v>-0.05</v>
      </c>
      <c r="Q96" s="39">
        <v>0.1244</v>
      </c>
      <c r="R96" s="39">
        <v>-9.2999999999999992E-3</v>
      </c>
      <c r="S96" s="39">
        <v>3.8899999999999997E-2</v>
      </c>
      <c r="T96">
        <v>36.909999999999997</v>
      </c>
      <c r="U96">
        <v>87.92</v>
      </c>
      <c r="V96">
        <v>3.36</v>
      </c>
      <c r="W96" s="17">
        <v>4419.9134000000004</v>
      </c>
      <c r="X96" s="83" t="s">
        <v>734</v>
      </c>
      <c r="Y96" s="81" t="s">
        <v>771</v>
      </c>
    </row>
    <row r="97" spans="7:25" x14ac:dyDescent="0.15">
      <c r="G97" s="11">
        <v>96</v>
      </c>
      <c r="H97" s="10" t="s">
        <v>169</v>
      </c>
      <c r="I97" t="s">
        <v>302</v>
      </c>
      <c r="J97" t="s">
        <v>224</v>
      </c>
      <c r="K97" s="43">
        <v>-8.9999999999999998E-4</v>
      </c>
      <c r="L97" s="39">
        <v>-2.06E-2</v>
      </c>
      <c r="M97" s="39">
        <v>-4.07E-2</v>
      </c>
      <c r="N97" s="43">
        <v>-5.8299999999999998E-2</v>
      </c>
      <c r="O97" s="39">
        <v>-0.1176</v>
      </c>
      <c r="P97" s="39">
        <v>-0.1108</v>
      </c>
      <c r="Q97" s="39">
        <v>-0.1421</v>
      </c>
      <c r="R97" s="39">
        <v>-0.31850000000000001</v>
      </c>
      <c r="S97" s="39">
        <v>-0.32150000000000001</v>
      </c>
      <c r="T97">
        <v>36.24</v>
      </c>
      <c r="U97">
        <v>20.13</v>
      </c>
      <c r="V97">
        <v>70.47</v>
      </c>
      <c r="W97" s="17">
        <v>3852.9580000000001</v>
      </c>
    </row>
    <row r="98" spans="7:25" x14ac:dyDescent="0.15">
      <c r="G98" s="11">
        <v>97</v>
      </c>
      <c r="H98" t="s">
        <v>156</v>
      </c>
      <c r="I98" t="s">
        <v>274</v>
      </c>
      <c r="J98" t="s">
        <v>224</v>
      </c>
      <c r="K98" s="43">
        <v>-1.4E-3</v>
      </c>
      <c r="L98" s="39">
        <v>-2.1100000000000001E-2</v>
      </c>
      <c r="M98" s="39">
        <v>-4.2299999999999997E-2</v>
      </c>
      <c r="N98" s="43">
        <v>-6.3700000000000007E-2</v>
      </c>
      <c r="O98" s="39">
        <v>-0.1072</v>
      </c>
      <c r="P98" s="39">
        <v>-0.13719999999999999</v>
      </c>
      <c r="Q98" s="39">
        <v>-0.15140000000000001</v>
      </c>
      <c r="R98" s="39">
        <v>-0.37459999999999999</v>
      </c>
      <c r="S98" s="39">
        <v>-0.32690000000000002</v>
      </c>
      <c r="T98">
        <v>35.57</v>
      </c>
      <c r="U98">
        <v>11.41</v>
      </c>
      <c r="V98">
        <v>79.19</v>
      </c>
      <c r="W98" s="17">
        <v>5408.0459503000002</v>
      </c>
      <c r="X98" s="83" t="s">
        <v>734</v>
      </c>
    </row>
    <row r="99" spans="7:25" x14ac:dyDescent="0.15">
      <c r="G99" s="11">
        <v>98</v>
      </c>
      <c r="H99" s="10" t="s">
        <v>149</v>
      </c>
      <c r="I99" t="s">
        <v>300</v>
      </c>
      <c r="J99" t="s">
        <v>224</v>
      </c>
      <c r="K99" s="43">
        <v>-1E-3</v>
      </c>
      <c r="L99" s="39">
        <v>-2.1000000000000001E-2</v>
      </c>
      <c r="M99" s="39">
        <v>-4.1200000000000001E-2</v>
      </c>
      <c r="N99" s="43">
        <v>-5.8700000000000002E-2</v>
      </c>
      <c r="O99" s="39">
        <v>-0.1182</v>
      </c>
      <c r="P99" s="39">
        <v>-0.11169999999999999</v>
      </c>
      <c r="Q99" s="39">
        <v>-0.1414</v>
      </c>
      <c r="R99" s="39">
        <v>-0.31890000000000002</v>
      </c>
      <c r="S99" s="39">
        <v>-0.32029999999999997</v>
      </c>
      <c r="T99">
        <v>34.9</v>
      </c>
      <c r="U99">
        <v>18.12</v>
      </c>
      <c r="V99">
        <v>71.81</v>
      </c>
      <c r="W99" s="17">
        <v>4771.6785920000002</v>
      </c>
    </row>
    <row r="100" spans="7:25" x14ac:dyDescent="0.15">
      <c r="G100" s="11">
        <v>99</v>
      </c>
      <c r="H100" s="10" t="s">
        <v>200</v>
      </c>
      <c r="I100" t="s">
        <v>309</v>
      </c>
      <c r="J100" t="s">
        <v>308</v>
      </c>
      <c r="K100" s="43">
        <v>4.0000000000000002E-4</v>
      </c>
      <c r="L100" s="39">
        <v>-4.5499999999999999E-2</v>
      </c>
      <c r="M100" s="39">
        <v>-5.57E-2</v>
      </c>
      <c r="N100" s="43">
        <v>-3.2199999999999999E-2</v>
      </c>
      <c r="O100" s="39">
        <v>-9.1800000000000007E-2</v>
      </c>
      <c r="P100" s="39">
        <v>-3.8300000000000001E-2</v>
      </c>
      <c r="Q100" s="39">
        <v>-3.8E-3</v>
      </c>
      <c r="R100" s="39">
        <v>-0.26429999999999998</v>
      </c>
      <c r="S100" s="39">
        <v>-0.26429999999999998</v>
      </c>
      <c r="T100">
        <v>34.229999999999997</v>
      </c>
      <c r="U100">
        <v>48.99</v>
      </c>
      <c r="V100">
        <v>39.6</v>
      </c>
      <c r="W100" s="17">
        <v>92595.427173300006</v>
      </c>
    </row>
    <row r="101" spans="7:25" x14ac:dyDescent="0.15">
      <c r="G101" s="11">
        <v>100</v>
      </c>
      <c r="H101" t="s">
        <v>85</v>
      </c>
      <c r="I101" t="s">
        <v>735</v>
      </c>
      <c r="J101" t="s">
        <v>224</v>
      </c>
      <c r="K101" s="43">
        <v>8.9999999999999998E-4</v>
      </c>
      <c r="L101" s="39">
        <v>-2.8999999999999998E-3</v>
      </c>
      <c r="M101" s="39">
        <v>-8.3000000000000001E-3</v>
      </c>
      <c r="N101" s="43">
        <v>-2.2800000000000001E-2</v>
      </c>
      <c r="O101" s="39">
        <v>-5.6300000000000003E-2</v>
      </c>
      <c r="P101" s="39">
        <v>6.6E-3</v>
      </c>
      <c r="Q101" s="39">
        <v>-1.52E-2</v>
      </c>
      <c r="R101" s="39">
        <v>5.6399999999999999E-2</v>
      </c>
      <c r="S101" s="39">
        <v>0.39219999999999999</v>
      </c>
      <c r="T101">
        <v>33.56</v>
      </c>
      <c r="U101">
        <v>55.7</v>
      </c>
      <c r="V101">
        <v>32.21</v>
      </c>
      <c r="W101" s="17">
        <v>4293.8919900000001</v>
      </c>
      <c r="X101" s="83" t="s">
        <v>734</v>
      </c>
    </row>
    <row r="102" spans="7:25" x14ac:dyDescent="0.15">
      <c r="G102" s="11">
        <v>101</v>
      </c>
      <c r="H102" t="s">
        <v>349</v>
      </c>
      <c r="I102" t="s">
        <v>350</v>
      </c>
      <c r="J102" t="s">
        <v>363</v>
      </c>
      <c r="K102" s="43">
        <v>1.4E-3</v>
      </c>
      <c r="L102" s="39">
        <v>-1.6899999999999998E-2</v>
      </c>
      <c r="M102" s="39">
        <v>-1.83E-2</v>
      </c>
      <c r="N102" s="43">
        <v>-1.66E-2</v>
      </c>
      <c r="O102" s="39">
        <v>-4.4600000000000001E-2</v>
      </c>
      <c r="P102" s="39">
        <v>-6.3299999999999995E-2</v>
      </c>
      <c r="Q102" s="39">
        <v>-7.5300000000000006E-2</v>
      </c>
      <c r="R102" s="39">
        <v>-0.16819999999999999</v>
      </c>
      <c r="S102" s="39">
        <v>-0.16819999999999999</v>
      </c>
      <c r="T102">
        <v>32.89</v>
      </c>
      <c r="U102">
        <v>59.06</v>
      </c>
      <c r="V102">
        <v>26.17</v>
      </c>
      <c r="W102" s="17">
        <v>2175.8683000000001</v>
      </c>
      <c r="X102" s="83" t="s">
        <v>734</v>
      </c>
      <c r="Y102" s="81" t="s">
        <v>771</v>
      </c>
    </row>
    <row r="103" spans="7:25" x14ac:dyDescent="0.15">
      <c r="G103" s="11">
        <v>102</v>
      </c>
      <c r="H103" s="10" t="s">
        <v>97</v>
      </c>
      <c r="I103" t="s">
        <v>243</v>
      </c>
      <c r="J103" t="s">
        <v>224</v>
      </c>
      <c r="K103" s="43">
        <v>-1.2999999999999999E-3</v>
      </c>
      <c r="L103" s="39">
        <v>-1.7600000000000001E-2</v>
      </c>
      <c r="M103" s="39">
        <v>-4.9099999999999998E-2</v>
      </c>
      <c r="N103" s="43">
        <v>-9.1300000000000006E-2</v>
      </c>
      <c r="O103" s="39">
        <v>-0.15179999999999999</v>
      </c>
      <c r="P103" s="39">
        <v>-0.224</v>
      </c>
      <c r="Q103" s="39">
        <v>-0.3538</v>
      </c>
      <c r="R103" s="39">
        <v>-0.50160000000000005</v>
      </c>
      <c r="S103" s="39">
        <v>-0.18390000000000001</v>
      </c>
      <c r="T103">
        <v>32.21</v>
      </c>
      <c r="U103">
        <v>5.37</v>
      </c>
      <c r="V103">
        <v>78.52</v>
      </c>
      <c r="W103" s="17">
        <v>1505.7369199999998</v>
      </c>
    </row>
    <row r="104" spans="7:25" x14ac:dyDescent="0.15">
      <c r="G104" s="11">
        <v>103</v>
      </c>
      <c r="H104" t="s">
        <v>328</v>
      </c>
      <c r="I104" t="s">
        <v>329</v>
      </c>
      <c r="J104" t="s">
        <v>363</v>
      </c>
      <c r="K104" s="43">
        <v>-1.1999999999999999E-3</v>
      </c>
      <c r="L104" s="39">
        <v>-4.9399999999999999E-2</v>
      </c>
      <c r="M104" s="39">
        <v>-7.9600000000000004E-2</v>
      </c>
      <c r="N104" s="43">
        <v>-8.1299999999999997E-2</v>
      </c>
      <c r="O104" s="39">
        <v>-0.183</v>
      </c>
      <c r="P104" s="39">
        <v>-0.16250000000000001</v>
      </c>
      <c r="Q104" s="39">
        <v>-0.2422</v>
      </c>
      <c r="R104" s="39">
        <v>-0.34329999999999999</v>
      </c>
      <c r="S104" s="39">
        <v>-0.32619999999999999</v>
      </c>
      <c r="T104">
        <v>31.54</v>
      </c>
      <c r="U104">
        <v>6.71</v>
      </c>
      <c r="V104">
        <v>76.510000000000005</v>
      </c>
      <c r="W104" s="17">
        <v>1773.1648</v>
      </c>
    </row>
    <row r="105" spans="7:25" x14ac:dyDescent="0.15">
      <c r="G105" s="11">
        <v>104</v>
      </c>
      <c r="H105" s="10" t="s">
        <v>164</v>
      </c>
      <c r="I105" t="s">
        <v>267</v>
      </c>
      <c r="J105" t="s">
        <v>224</v>
      </c>
      <c r="K105" s="43">
        <v>-2.0000000000000001E-4</v>
      </c>
      <c r="L105" s="39">
        <v>-2.1499999999999998E-2</v>
      </c>
      <c r="M105" s="39">
        <v>-4.3200000000000002E-2</v>
      </c>
      <c r="N105" s="43">
        <v>-4.6100000000000002E-2</v>
      </c>
      <c r="O105" s="39">
        <v>-8.7599999999999997E-2</v>
      </c>
      <c r="P105" s="39">
        <v>-9.5899999999999999E-2</v>
      </c>
      <c r="Q105" s="39">
        <v>-9.0700000000000003E-2</v>
      </c>
      <c r="R105" s="39">
        <v>-0.27250000000000002</v>
      </c>
      <c r="S105" s="39">
        <v>-0.30980000000000002</v>
      </c>
      <c r="T105">
        <v>30.87</v>
      </c>
      <c r="U105">
        <v>32.89</v>
      </c>
      <c r="V105">
        <v>49.66</v>
      </c>
      <c r="W105" s="17">
        <v>5282.9170000000004</v>
      </c>
    </row>
    <row r="106" spans="7:25" x14ac:dyDescent="0.15">
      <c r="G106" s="11">
        <v>105</v>
      </c>
      <c r="H106" t="s">
        <v>138</v>
      </c>
      <c r="I106" t="s">
        <v>273</v>
      </c>
      <c r="J106" t="s">
        <v>224</v>
      </c>
      <c r="K106" s="43">
        <v>-8.9999999999999998E-4</v>
      </c>
      <c r="L106" s="39">
        <v>-3.4299999999999997E-2</v>
      </c>
      <c r="M106" s="39">
        <v>-5.5399999999999998E-2</v>
      </c>
      <c r="N106" s="43">
        <v>-6.3399999999999998E-2</v>
      </c>
      <c r="O106" s="39">
        <v>-0.1105</v>
      </c>
      <c r="P106" s="39">
        <v>-0.1027</v>
      </c>
      <c r="Q106" s="39">
        <v>-6.59E-2</v>
      </c>
      <c r="R106" s="39">
        <v>-0.2424</v>
      </c>
      <c r="S106" s="39">
        <v>-0.3044</v>
      </c>
      <c r="T106">
        <v>30.2</v>
      </c>
      <c r="U106">
        <v>12.08</v>
      </c>
      <c r="V106">
        <v>69.8</v>
      </c>
      <c r="W106" s="17">
        <v>2629.3506499999999</v>
      </c>
    </row>
    <row r="107" spans="7:25" x14ac:dyDescent="0.15">
      <c r="G107" s="11">
        <v>106</v>
      </c>
      <c r="H107" s="10" t="s">
        <v>140</v>
      </c>
      <c r="I107" t="s">
        <v>303</v>
      </c>
      <c r="J107" t="s">
        <v>224</v>
      </c>
      <c r="K107" s="43">
        <v>-5.0000000000000001E-4</v>
      </c>
      <c r="L107" s="39">
        <v>-1.7899999999999999E-2</v>
      </c>
      <c r="M107" s="39">
        <v>-2.3900000000000001E-2</v>
      </c>
      <c r="N107" s="43">
        <v>-5.6099999999999997E-2</v>
      </c>
      <c r="O107" s="39">
        <v>-8.0600000000000005E-2</v>
      </c>
      <c r="P107" s="39">
        <v>-0.127</v>
      </c>
      <c r="Q107" s="39">
        <v>-0.19020000000000001</v>
      </c>
      <c r="R107" s="39">
        <v>-0.44340000000000002</v>
      </c>
      <c r="S107" s="39">
        <v>-0.28820000000000001</v>
      </c>
      <c r="T107">
        <v>29.53</v>
      </c>
      <c r="U107">
        <v>22.15</v>
      </c>
      <c r="V107">
        <v>59.06</v>
      </c>
      <c r="W107" s="17">
        <v>90372.481564300004</v>
      </c>
      <c r="X107" s="83" t="s">
        <v>734</v>
      </c>
    </row>
    <row r="108" spans="7:25" x14ac:dyDescent="0.15">
      <c r="G108" s="11">
        <v>107</v>
      </c>
      <c r="H108" s="10" t="s">
        <v>160</v>
      </c>
      <c r="I108" t="s">
        <v>250</v>
      </c>
      <c r="J108" t="s">
        <v>224</v>
      </c>
      <c r="K108" s="43">
        <v>2E-3</v>
      </c>
      <c r="L108" s="39">
        <v>-3.4299999999999997E-2</v>
      </c>
      <c r="M108" s="39">
        <v>-4.0300000000000002E-2</v>
      </c>
      <c r="N108" s="43">
        <v>-1.9599999999999999E-2</v>
      </c>
      <c r="O108" s="39">
        <v>-2.35E-2</v>
      </c>
      <c r="P108" s="39">
        <v>2.53E-2</v>
      </c>
      <c r="Q108" s="39">
        <v>4.1000000000000003E-3</v>
      </c>
      <c r="R108" s="39">
        <v>-0.214</v>
      </c>
      <c r="S108" s="39">
        <v>2.7900000000000001E-2</v>
      </c>
      <c r="T108">
        <v>28.86</v>
      </c>
      <c r="U108">
        <v>57.72</v>
      </c>
      <c r="V108">
        <v>21.48</v>
      </c>
      <c r="W108" s="17">
        <v>8713.1458000000002</v>
      </c>
      <c r="X108" s="83" t="s">
        <v>734</v>
      </c>
    </row>
    <row r="109" spans="7:25" x14ac:dyDescent="0.15">
      <c r="G109" s="11">
        <v>108</v>
      </c>
      <c r="H109" s="10" t="s">
        <v>159</v>
      </c>
      <c r="I109" t="s">
        <v>257</v>
      </c>
      <c r="J109" t="s">
        <v>224</v>
      </c>
      <c r="K109" s="43">
        <v>1.2999999999999999E-3</v>
      </c>
      <c r="L109" s="39">
        <v>-2.1000000000000001E-2</v>
      </c>
      <c r="M109" s="39">
        <v>-2.47E-2</v>
      </c>
      <c r="N109" s="43">
        <v>-2.41E-2</v>
      </c>
      <c r="O109" s="39">
        <v>-4.9399999999999999E-2</v>
      </c>
      <c r="P109" s="39">
        <v>-5.5800000000000002E-2</v>
      </c>
      <c r="Q109" s="39">
        <v>-1.35E-2</v>
      </c>
      <c r="R109" s="39">
        <v>-9.4700000000000006E-2</v>
      </c>
      <c r="S109" s="39">
        <v>-2.9600000000000001E-2</v>
      </c>
      <c r="T109">
        <v>28.19</v>
      </c>
      <c r="U109">
        <v>51.68</v>
      </c>
      <c r="V109">
        <v>26.85</v>
      </c>
      <c r="W109" s="17">
        <v>15080.978800000001</v>
      </c>
      <c r="X109" s="83" t="s">
        <v>734</v>
      </c>
    </row>
    <row r="110" spans="7:25" x14ac:dyDescent="0.15">
      <c r="G110" s="11">
        <v>109</v>
      </c>
      <c r="H110" s="10" t="s">
        <v>131</v>
      </c>
      <c r="I110" t="s">
        <v>288</v>
      </c>
      <c r="J110" t="s">
        <v>224</v>
      </c>
      <c r="K110" s="43">
        <v>-8.9999999999999998E-4</v>
      </c>
      <c r="L110" s="39">
        <v>-4.4000000000000003E-3</v>
      </c>
      <c r="M110" s="39">
        <v>-3.3500000000000002E-2</v>
      </c>
      <c r="N110" s="43">
        <v>-7.5200000000000003E-2</v>
      </c>
      <c r="O110" s="39">
        <v>-0.12540000000000001</v>
      </c>
      <c r="P110" s="39">
        <v>-0.20130000000000001</v>
      </c>
      <c r="Q110" s="39">
        <v>-0.31879999999999997</v>
      </c>
      <c r="R110" s="39">
        <v>-0.52210000000000001</v>
      </c>
      <c r="S110" s="39">
        <v>-6.1699999999999998E-2</v>
      </c>
      <c r="T110">
        <v>27.52</v>
      </c>
      <c r="U110">
        <v>9.4</v>
      </c>
      <c r="V110">
        <v>69.13</v>
      </c>
      <c r="W110" s="17">
        <v>7971.3010999999997</v>
      </c>
    </row>
    <row r="111" spans="7:25" x14ac:dyDescent="0.15">
      <c r="G111" s="11">
        <v>110</v>
      </c>
      <c r="H111" s="10" t="s">
        <v>123</v>
      </c>
      <c r="I111" t="s">
        <v>276</v>
      </c>
      <c r="J111" t="s">
        <v>224</v>
      </c>
      <c r="K111" s="43">
        <v>1E-3</v>
      </c>
      <c r="L111" s="39">
        <v>-3.9399999999999998E-2</v>
      </c>
      <c r="M111" s="39">
        <v>-4.8000000000000001E-2</v>
      </c>
      <c r="N111" s="43">
        <v>-3.7699999999999997E-2</v>
      </c>
      <c r="O111" s="39">
        <v>-0.1196</v>
      </c>
      <c r="P111" s="39">
        <v>-9.1399999999999995E-2</v>
      </c>
      <c r="Q111" s="39">
        <v>-0.2611</v>
      </c>
      <c r="R111" s="39">
        <v>-0.4209</v>
      </c>
      <c r="S111" s="39">
        <v>-0.13919999999999999</v>
      </c>
      <c r="T111">
        <v>26.85</v>
      </c>
      <c r="U111">
        <v>44.97</v>
      </c>
      <c r="V111">
        <v>31.54</v>
      </c>
      <c r="W111" s="17">
        <v>15009.7605</v>
      </c>
    </row>
    <row r="112" spans="7:25" x14ac:dyDescent="0.15">
      <c r="G112" s="11">
        <v>111</v>
      </c>
      <c r="H112" s="10" t="s">
        <v>106</v>
      </c>
      <c r="I112" t="s">
        <v>257</v>
      </c>
      <c r="J112" t="s">
        <v>224</v>
      </c>
      <c r="K112" s="43">
        <v>2.5000000000000001E-3</v>
      </c>
      <c r="L112" s="39">
        <v>-2.1100000000000001E-2</v>
      </c>
      <c r="M112" s="39">
        <v>-2.52E-2</v>
      </c>
      <c r="N112" s="43">
        <v>-2.18E-2</v>
      </c>
      <c r="O112" s="39">
        <v>-4.5199999999999997E-2</v>
      </c>
      <c r="P112" s="39">
        <v>-3.4500000000000003E-2</v>
      </c>
      <c r="Q112" s="39">
        <v>-2.7300000000000001E-2</v>
      </c>
      <c r="R112" s="39">
        <v>-4.7500000000000001E-2</v>
      </c>
      <c r="S112" s="39">
        <v>3.78E-2</v>
      </c>
      <c r="T112">
        <v>26.17</v>
      </c>
      <c r="U112">
        <v>56.38</v>
      </c>
      <c r="V112">
        <v>19.46</v>
      </c>
      <c r="W112" s="17">
        <v>4069.6921000000002</v>
      </c>
    </row>
    <row r="113" spans="7:24" x14ac:dyDescent="0.15">
      <c r="G113" s="11">
        <v>112</v>
      </c>
      <c r="H113" s="10" t="s">
        <v>122</v>
      </c>
      <c r="I113" t="s">
        <v>261</v>
      </c>
      <c r="J113" t="s">
        <v>224</v>
      </c>
      <c r="K113" s="43">
        <v>0</v>
      </c>
      <c r="L113" s="39">
        <v>-3.6400000000000002E-2</v>
      </c>
      <c r="M113" s="39">
        <v>-3.4000000000000002E-2</v>
      </c>
      <c r="N113" s="43">
        <v>-5.0599999999999999E-2</v>
      </c>
      <c r="O113" s="39">
        <v>1.47E-2</v>
      </c>
      <c r="P113" s="39">
        <v>-7.7299999999999994E-2</v>
      </c>
      <c r="Q113" s="39">
        <v>-0.19650000000000001</v>
      </c>
      <c r="R113" s="39">
        <v>-0.4345</v>
      </c>
      <c r="S113" s="39">
        <v>-0.44219999999999998</v>
      </c>
      <c r="T113">
        <v>25.5</v>
      </c>
      <c r="U113">
        <v>29.53</v>
      </c>
      <c r="V113">
        <v>43.62</v>
      </c>
      <c r="W113" s="17">
        <v>43399.023699999998</v>
      </c>
    </row>
    <row r="114" spans="7:24" x14ac:dyDescent="0.15">
      <c r="G114" s="11">
        <v>113</v>
      </c>
      <c r="H114" s="10" t="s">
        <v>342</v>
      </c>
      <c r="I114" t="s">
        <v>752</v>
      </c>
      <c r="J114" t="s">
        <v>363</v>
      </c>
      <c r="K114" s="43">
        <v>3.5999999999999999E-3</v>
      </c>
      <c r="L114" s="39">
        <v>-2.1899999999999999E-2</v>
      </c>
      <c r="M114" s="39">
        <v>-4.0599999999999997E-2</v>
      </c>
      <c r="N114" s="43">
        <v>-1.8800000000000001E-2</v>
      </c>
      <c r="O114" s="39">
        <v>-7.3400000000000007E-2</v>
      </c>
      <c r="P114" s="39">
        <v>-7.3400000000000007E-2</v>
      </c>
      <c r="Q114" s="39">
        <v>3.1800000000000002E-2</v>
      </c>
      <c r="R114" s="39">
        <v>4.5900000000000003E-2</v>
      </c>
      <c r="S114" s="39">
        <v>4.5900000000000003E-2</v>
      </c>
      <c r="T114">
        <v>24.83</v>
      </c>
      <c r="U114">
        <v>58.39</v>
      </c>
      <c r="V114">
        <v>13.42</v>
      </c>
      <c r="W114" s="17">
        <v>1116.0812000000001</v>
      </c>
      <c r="X114" s="83" t="s">
        <v>734</v>
      </c>
    </row>
    <row r="115" spans="7:24" x14ac:dyDescent="0.15">
      <c r="G115" s="11">
        <v>114</v>
      </c>
      <c r="H115" s="10" t="s">
        <v>104</v>
      </c>
      <c r="I115" t="s">
        <v>258</v>
      </c>
      <c r="J115" t="s">
        <v>224</v>
      </c>
      <c r="K115" s="43">
        <v>-5.9999999999999995E-4</v>
      </c>
      <c r="L115" s="39">
        <v>-2.5000000000000001E-3</v>
      </c>
      <c r="M115" s="39">
        <v>-3.32E-2</v>
      </c>
      <c r="N115" s="43">
        <v>-7.7200000000000005E-2</v>
      </c>
      <c r="O115" s="39">
        <v>-0.1295</v>
      </c>
      <c r="P115" s="39">
        <v>-0.2077</v>
      </c>
      <c r="Q115" s="39">
        <v>-0.32140000000000002</v>
      </c>
      <c r="R115" s="39">
        <v>-0.53159999999999996</v>
      </c>
      <c r="S115" s="39">
        <v>-9.7799999999999998E-2</v>
      </c>
      <c r="T115">
        <v>24.16</v>
      </c>
      <c r="U115">
        <v>8.7200000000000006</v>
      </c>
      <c r="V115">
        <v>63.09</v>
      </c>
      <c r="W115" s="17">
        <v>5165.3446400000003</v>
      </c>
    </row>
    <row r="116" spans="7:24" x14ac:dyDescent="0.15">
      <c r="G116" s="11">
        <v>115</v>
      </c>
      <c r="H116" s="10" t="s">
        <v>172</v>
      </c>
      <c r="I116" t="s">
        <v>256</v>
      </c>
      <c r="J116" t="s">
        <v>224</v>
      </c>
      <c r="K116" s="43">
        <v>3.7000000000000002E-3</v>
      </c>
      <c r="L116" s="39">
        <v>4.1000000000000003E-3</v>
      </c>
      <c r="M116" s="39">
        <v>1.61E-2</v>
      </c>
      <c r="N116" s="43">
        <v>-1.6299999999999999E-2</v>
      </c>
      <c r="O116" s="39">
        <v>-5.3E-3</v>
      </c>
      <c r="P116" s="39">
        <v>-0.10100000000000001</v>
      </c>
      <c r="Q116" s="39">
        <v>0.14149999999999999</v>
      </c>
      <c r="R116" s="39">
        <v>-0.2414</v>
      </c>
      <c r="S116" s="39">
        <v>-0.26729999999999998</v>
      </c>
      <c r="T116">
        <v>23.49</v>
      </c>
      <c r="U116">
        <v>59.73</v>
      </c>
      <c r="V116">
        <v>12.08</v>
      </c>
      <c r="W116" s="17">
        <v>15384.1289</v>
      </c>
    </row>
    <row r="117" spans="7:24" x14ac:dyDescent="0.15">
      <c r="G117" s="11">
        <v>116</v>
      </c>
      <c r="H117" t="s">
        <v>96</v>
      </c>
      <c r="I117" t="s">
        <v>272</v>
      </c>
      <c r="J117" t="s">
        <v>224</v>
      </c>
      <c r="K117" s="43">
        <v>-8.0000000000000004E-4</v>
      </c>
      <c r="L117" s="39">
        <v>-3.0499999999999999E-2</v>
      </c>
      <c r="M117" s="39">
        <v>-6.9099999999999995E-2</v>
      </c>
      <c r="N117" s="43">
        <v>-0.11119999999999999</v>
      </c>
      <c r="O117" s="39">
        <v>-0.183</v>
      </c>
      <c r="P117" s="39">
        <v>-0.27239999999999998</v>
      </c>
      <c r="Q117" s="39">
        <v>-0.4239</v>
      </c>
      <c r="R117" s="39">
        <v>-0.53459999999999996</v>
      </c>
      <c r="S117" s="39">
        <v>-0.1643</v>
      </c>
      <c r="T117">
        <v>22.82</v>
      </c>
      <c r="U117">
        <v>2.0099999999999998</v>
      </c>
      <c r="V117">
        <v>67.790000000000006</v>
      </c>
      <c r="W117" s="17">
        <v>24230.304899999999</v>
      </c>
      <c r="X117" s="83" t="s">
        <v>734</v>
      </c>
    </row>
    <row r="118" spans="7:24" x14ac:dyDescent="0.15">
      <c r="G118" s="11">
        <v>117</v>
      </c>
      <c r="H118" t="s">
        <v>190</v>
      </c>
      <c r="I118" t="s">
        <v>254</v>
      </c>
      <c r="J118" t="s">
        <v>224</v>
      </c>
      <c r="K118" s="43">
        <v>2.0000000000000001E-4</v>
      </c>
      <c r="L118" s="39">
        <v>-1.9900000000000001E-2</v>
      </c>
      <c r="M118" s="39">
        <v>-3.27E-2</v>
      </c>
      <c r="N118" s="43">
        <v>-5.0999999999999997E-2</v>
      </c>
      <c r="O118" s="39">
        <v>-3.5299999999999998E-2</v>
      </c>
      <c r="P118" s="39">
        <v>4.1700000000000001E-2</v>
      </c>
      <c r="Q118" s="39">
        <v>3.5700000000000003E-2</v>
      </c>
      <c r="R118" s="39">
        <v>-0.17730000000000001</v>
      </c>
      <c r="S118" s="39">
        <v>-0.22</v>
      </c>
      <c r="T118">
        <v>22.15</v>
      </c>
      <c r="U118">
        <v>28.19</v>
      </c>
      <c r="V118">
        <v>41.61</v>
      </c>
      <c r="W118" s="17">
        <v>43994.711300000003</v>
      </c>
    </row>
    <row r="119" spans="7:24" x14ac:dyDescent="0.15">
      <c r="G119" s="11">
        <v>118</v>
      </c>
      <c r="H119" t="s">
        <v>177</v>
      </c>
      <c r="I119" t="s">
        <v>263</v>
      </c>
      <c r="J119" t="s">
        <v>224</v>
      </c>
      <c r="K119" s="43">
        <v>1.1999999999999999E-3</v>
      </c>
      <c r="L119" s="39">
        <v>-2.1499999999999998E-2</v>
      </c>
      <c r="M119" s="39">
        <v>-4.1200000000000001E-2</v>
      </c>
      <c r="N119" s="43">
        <v>-4.1599999999999998E-2</v>
      </c>
      <c r="O119" s="39">
        <v>-7.4800000000000005E-2</v>
      </c>
      <c r="P119" s="39">
        <v>-6.5100000000000005E-2</v>
      </c>
      <c r="Q119" s="39">
        <v>-3.4200000000000001E-2</v>
      </c>
      <c r="R119" s="39">
        <v>-0.1067</v>
      </c>
      <c r="S119" s="39">
        <v>-8.4500000000000006E-2</v>
      </c>
      <c r="T119">
        <v>21.48</v>
      </c>
      <c r="U119">
        <v>40.94</v>
      </c>
      <c r="V119">
        <v>27.52</v>
      </c>
      <c r="W119" s="17">
        <v>6552.6079</v>
      </c>
      <c r="X119" s="83" t="s">
        <v>734</v>
      </c>
    </row>
    <row r="120" spans="7:24" x14ac:dyDescent="0.15">
      <c r="G120" s="11">
        <v>119</v>
      </c>
      <c r="H120" t="s">
        <v>1184</v>
      </c>
      <c r="I120" t="s">
        <v>1183</v>
      </c>
      <c r="J120" t="s">
        <v>318</v>
      </c>
      <c r="K120" s="43">
        <v>1.1299999999999999E-2</v>
      </c>
      <c r="L120" s="39">
        <v>-1.12E-2</v>
      </c>
      <c r="M120" s="39">
        <v>-1.12E-2</v>
      </c>
      <c r="N120" s="43">
        <v>-1.12E-2</v>
      </c>
      <c r="O120" s="39">
        <v>-1.12E-2</v>
      </c>
      <c r="P120" s="39">
        <v>-1.12E-2</v>
      </c>
      <c r="Q120" s="39">
        <v>-1.12E-2</v>
      </c>
      <c r="R120" s="39">
        <v>-1.12E-2</v>
      </c>
      <c r="S120" s="39">
        <v>-1.12E-2</v>
      </c>
      <c r="T120">
        <v>20.81</v>
      </c>
      <c r="U120">
        <v>65.77</v>
      </c>
      <c r="V120">
        <v>0.67</v>
      </c>
      <c r="W120" s="17">
        <v>2828.9070000000002</v>
      </c>
      <c r="X120" s="83" t="s">
        <v>734</v>
      </c>
    </row>
    <row r="121" spans="7:24" x14ac:dyDescent="0.15">
      <c r="G121" s="11">
        <v>120</v>
      </c>
      <c r="H121" s="10" t="s">
        <v>184</v>
      </c>
      <c r="I121" t="s">
        <v>291</v>
      </c>
      <c r="J121" t="s">
        <v>224</v>
      </c>
      <c r="K121" s="43">
        <v>8.9999999999999998E-4</v>
      </c>
      <c r="L121" s="39">
        <v>-3.6799999999999999E-2</v>
      </c>
      <c r="M121" s="39">
        <v>-8.8099999999999998E-2</v>
      </c>
      <c r="N121" s="43">
        <v>-5.0200000000000002E-2</v>
      </c>
      <c r="O121" s="39">
        <v>-0.16239999999999999</v>
      </c>
      <c r="P121" s="39">
        <v>-0.14630000000000001</v>
      </c>
      <c r="Q121" s="39">
        <v>-0.3135</v>
      </c>
      <c r="R121" s="39">
        <v>-0.29310000000000003</v>
      </c>
      <c r="S121" s="39">
        <v>-0.40579999999999999</v>
      </c>
      <c r="T121">
        <v>20.13</v>
      </c>
      <c r="U121">
        <v>30.2</v>
      </c>
      <c r="V121">
        <v>32.89</v>
      </c>
      <c r="W121" s="17">
        <v>10684.338400000001</v>
      </c>
      <c r="X121" s="83" t="s">
        <v>734</v>
      </c>
    </row>
    <row r="122" spans="7:24" x14ac:dyDescent="0.15">
      <c r="G122" s="11">
        <v>121</v>
      </c>
      <c r="H122" s="10" t="s">
        <v>105</v>
      </c>
      <c r="I122" t="s">
        <v>277</v>
      </c>
      <c r="J122" t="s">
        <v>224</v>
      </c>
      <c r="K122" s="43">
        <v>-5.0000000000000001E-4</v>
      </c>
      <c r="L122" s="39">
        <v>0</v>
      </c>
      <c r="M122" s="39">
        <v>-4.6899999999999997E-2</v>
      </c>
      <c r="N122" s="43">
        <v>-0.1036</v>
      </c>
      <c r="O122" s="39">
        <v>-0.15959999999999999</v>
      </c>
      <c r="P122" s="39">
        <v>-0.2364</v>
      </c>
      <c r="Q122" s="39">
        <v>-0.34239999999999998</v>
      </c>
      <c r="R122" s="39">
        <v>-0.55889999999999995</v>
      </c>
      <c r="S122" s="39">
        <v>-0.3967</v>
      </c>
      <c r="T122">
        <v>19.46</v>
      </c>
      <c r="U122">
        <v>2.68</v>
      </c>
      <c r="V122">
        <v>60.4</v>
      </c>
      <c r="W122" s="17">
        <v>7128.0777500000004</v>
      </c>
      <c r="X122" s="83" t="s">
        <v>734</v>
      </c>
    </row>
    <row r="123" spans="7:24" x14ac:dyDescent="0.15">
      <c r="G123" s="11">
        <v>122</v>
      </c>
      <c r="H123" t="s">
        <v>103</v>
      </c>
      <c r="I123" t="s">
        <v>262</v>
      </c>
      <c r="J123" t="s">
        <v>224</v>
      </c>
      <c r="K123" s="43">
        <v>3.0999999999999999E-3</v>
      </c>
      <c r="L123" s="39">
        <v>1.0500000000000001E-2</v>
      </c>
      <c r="M123" s="39">
        <v>-1.5800000000000002E-2</v>
      </c>
      <c r="N123" s="43">
        <v>-4.0500000000000001E-2</v>
      </c>
      <c r="O123" s="39">
        <v>-5.6099999999999997E-2</v>
      </c>
      <c r="P123" s="39">
        <v>0.2591</v>
      </c>
      <c r="Q123" s="39">
        <v>0.20469999999999999</v>
      </c>
      <c r="R123" s="39">
        <v>0.90769999999999995</v>
      </c>
      <c r="S123" s="39">
        <v>0.92079999999999995</v>
      </c>
      <c r="T123">
        <v>18.79</v>
      </c>
      <c r="U123">
        <v>43.62</v>
      </c>
      <c r="V123">
        <v>16.78</v>
      </c>
      <c r="W123" s="17">
        <v>6846.7632099999992</v>
      </c>
      <c r="X123" s="83" t="s">
        <v>734</v>
      </c>
    </row>
    <row r="124" spans="7:24" x14ac:dyDescent="0.15">
      <c r="G124" s="11">
        <v>123</v>
      </c>
      <c r="H124" s="10" t="s">
        <v>187</v>
      </c>
      <c r="I124" t="s">
        <v>282</v>
      </c>
      <c r="J124" t="s">
        <v>224</v>
      </c>
      <c r="K124" s="43">
        <v>1E-3</v>
      </c>
      <c r="L124" s="39">
        <v>-2.06E-2</v>
      </c>
      <c r="M124" s="39">
        <v>-3.3399999999999999E-2</v>
      </c>
      <c r="N124" s="43">
        <v>-5.16E-2</v>
      </c>
      <c r="O124" s="39">
        <v>-3.5799999999999998E-2</v>
      </c>
      <c r="P124" s="39">
        <v>4.1599999999999998E-2</v>
      </c>
      <c r="Q124" s="39">
        <v>3.5200000000000002E-2</v>
      </c>
      <c r="R124" s="39">
        <v>-0.17780000000000001</v>
      </c>
      <c r="S124" s="39">
        <v>-0.22339999999999999</v>
      </c>
      <c r="T124">
        <v>18.12</v>
      </c>
      <c r="U124">
        <v>27.52</v>
      </c>
      <c r="V124">
        <v>30.2</v>
      </c>
      <c r="W124" s="17">
        <v>112825.3792</v>
      </c>
    </row>
    <row r="125" spans="7:24" x14ac:dyDescent="0.15">
      <c r="G125" s="11">
        <v>124</v>
      </c>
      <c r="H125" t="s">
        <v>129</v>
      </c>
      <c r="I125" t="s">
        <v>251</v>
      </c>
      <c r="J125" t="s">
        <v>224</v>
      </c>
      <c r="K125" s="43">
        <v>1.9E-3</v>
      </c>
      <c r="L125" s="39">
        <v>-2.4E-2</v>
      </c>
      <c r="M125" s="39">
        <v>-4.4499999999999998E-2</v>
      </c>
      <c r="N125" s="43">
        <v>-4.5900000000000003E-2</v>
      </c>
      <c r="O125" s="39">
        <v>-8.3900000000000002E-2</v>
      </c>
      <c r="P125" s="39">
        <v>-8.7099999999999997E-2</v>
      </c>
      <c r="Q125" s="39">
        <v>-9.9500000000000005E-2</v>
      </c>
      <c r="R125" s="39">
        <v>-0.27250000000000002</v>
      </c>
      <c r="S125" s="39">
        <v>-0.2676</v>
      </c>
      <c r="T125">
        <v>17.45</v>
      </c>
      <c r="U125">
        <v>33.56</v>
      </c>
      <c r="V125">
        <v>22.82</v>
      </c>
      <c r="W125" s="17">
        <v>10019.551299999999</v>
      </c>
    </row>
    <row r="126" spans="7:24" x14ac:dyDescent="0.15">
      <c r="G126" s="11">
        <v>125</v>
      </c>
      <c r="H126" t="s">
        <v>144</v>
      </c>
      <c r="I126" t="s">
        <v>273</v>
      </c>
      <c r="J126" t="s">
        <v>224</v>
      </c>
      <c r="K126" s="43">
        <v>2.0000000000000001E-4</v>
      </c>
      <c r="L126" s="39">
        <v>-3.5200000000000002E-2</v>
      </c>
      <c r="M126" s="39">
        <v>-5.5399999999999998E-2</v>
      </c>
      <c r="N126" s="43">
        <v>-6.2100000000000002E-2</v>
      </c>
      <c r="O126" s="39">
        <v>-0.109</v>
      </c>
      <c r="P126" s="39">
        <v>-0.107</v>
      </c>
      <c r="Q126" s="39">
        <v>-8.1299999999999997E-2</v>
      </c>
      <c r="R126" s="39">
        <v>-0.27379999999999999</v>
      </c>
      <c r="S126" s="39">
        <v>-0.37809999999999999</v>
      </c>
      <c r="T126">
        <v>16.78</v>
      </c>
      <c r="U126">
        <v>13.42</v>
      </c>
      <c r="V126">
        <v>42.28</v>
      </c>
      <c r="W126" s="17">
        <v>3668.8206</v>
      </c>
    </row>
    <row r="127" spans="7:24" x14ac:dyDescent="0.15">
      <c r="G127" s="11">
        <v>126</v>
      </c>
      <c r="H127" t="s">
        <v>336</v>
      </c>
      <c r="I127" t="s">
        <v>337</v>
      </c>
      <c r="J127" t="s">
        <v>363</v>
      </c>
      <c r="K127" s="43">
        <v>5.0000000000000001E-4</v>
      </c>
      <c r="L127" s="39">
        <v>-3.5299999999999998E-2</v>
      </c>
      <c r="M127" s="39">
        <v>-5.3900000000000003E-2</v>
      </c>
      <c r="N127" s="43">
        <v>-5.8900000000000001E-2</v>
      </c>
      <c r="O127" s="39">
        <v>-0.1017</v>
      </c>
      <c r="P127" s="39">
        <v>-0.108</v>
      </c>
      <c r="Q127" s="39">
        <v>-9.4899999999999998E-2</v>
      </c>
      <c r="R127" s="39">
        <v>-0.28470000000000001</v>
      </c>
      <c r="S127" s="39">
        <v>-0.22939999999999999</v>
      </c>
      <c r="T127">
        <v>16.11</v>
      </c>
      <c r="U127">
        <v>16.78</v>
      </c>
      <c r="V127">
        <v>37.58</v>
      </c>
      <c r="W127" s="17">
        <v>5431.73279</v>
      </c>
    </row>
    <row r="128" spans="7:24" x14ac:dyDescent="0.15">
      <c r="G128" s="11">
        <v>127</v>
      </c>
      <c r="H128" s="10" t="s">
        <v>117</v>
      </c>
      <c r="I128" t="s">
        <v>229</v>
      </c>
      <c r="J128" t="s">
        <v>224</v>
      </c>
      <c r="K128" s="43">
        <v>1.9E-3</v>
      </c>
      <c r="L128" s="39">
        <v>-2.1600000000000001E-2</v>
      </c>
      <c r="M128" s="39">
        <v>-3.6400000000000002E-2</v>
      </c>
      <c r="N128" s="43">
        <v>-4.9099999999999998E-2</v>
      </c>
      <c r="O128" s="39">
        <v>-8.2900000000000001E-2</v>
      </c>
      <c r="P128" s="39">
        <v>-0.1081</v>
      </c>
      <c r="Q128" s="39">
        <v>-0.17929999999999999</v>
      </c>
      <c r="R128" s="39">
        <v>-0.36130000000000001</v>
      </c>
      <c r="S128" s="39">
        <v>-0.46200000000000002</v>
      </c>
      <c r="T128">
        <v>15.44</v>
      </c>
      <c r="U128">
        <v>30.87</v>
      </c>
      <c r="V128">
        <v>22.15</v>
      </c>
      <c r="W128" s="17">
        <v>1120.7808</v>
      </c>
    </row>
    <row r="129" spans="7:24" x14ac:dyDescent="0.15">
      <c r="G129" s="11">
        <v>128</v>
      </c>
      <c r="H129" s="10" t="s">
        <v>155</v>
      </c>
      <c r="I129" t="s">
        <v>240</v>
      </c>
      <c r="J129" t="s">
        <v>224</v>
      </c>
      <c r="K129" s="43">
        <v>1E-3</v>
      </c>
      <c r="L129" s="39">
        <v>-2.1999999999999999E-2</v>
      </c>
      <c r="M129" s="39">
        <v>-3.9E-2</v>
      </c>
      <c r="N129" s="43">
        <v>-5.57E-2</v>
      </c>
      <c r="O129" s="39">
        <v>-0.1046</v>
      </c>
      <c r="P129" s="39">
        <v>-0.1081</v>
      </c>
      <c r="Q129" s="39">
        <v>-0.1072</v>
      </c>
      <c r="R129" s="39">
        <v>-0.2858</v>
      </c>
      <c r="S129" s="39">
        <v>-0.29459999999999997</v>
      </c>
      <c r="T129">
        <v>14.77</v>
      </c>
      <c r="U129">
        <v>22.82</v>
      </c>
      <c r="V129">
        <v>29.53</v>
      </c>
      <c r="W129" s="17">
        <v>1180.5528999999999</v>
      </c>
    </row>
    <row r="130" spans="7:24" x14ac:dyDescent="0.15">
      <c r="G130" s="11">
        <v>129</v>
      </c>
      <c r="H130" s="10" t="s">
        <v>179</v>
      </c>
      <c r="I130" t="s">
        <v>270</v>
      </c>
      <c r="J130" t="s">
        <v>224</v>
      </c>
      <c r="K130" s="43">
        <v>1E-3</v>
      </c>
      <c r="L130" s="39">
        <v>-2.6800000000000001E-2</v>
      </c>
      <c r="M130" s="39">
        <v>-5.1700000000000003E-2</v>
      </c>
      <c r="N130" s="43">
        <v>-5.57E-2</v>
      </c>
      <c r="O130" s="39">
        <v>-9.74E-2</v>
      </c>
      <c r="P130" s="39">
        <v>-8.5300000000000001E-2</v>
      </c>
      <c r="Q130" s="39">
        <v>-4.65E-2</v>
      </c>
      <c r="R130" s="39">
        <v>-0.23980000000000001</v>
      </c>
      <c r="S130" s="39">
        <v>-0.3276</v>
      </c>
      <c r="T130">
        <v>14.09</v>
      </c>
      <c r="U130">
        <v>23.49</v>
      </c>
      <c r="V130">
        <v>28.86</v>
      </c>
      <c r="W130" s="17">
        <v>3720.5373841999999</v>
      </c>
    </row>
    <row r="131" spans="7:24" x14ac:dyDescent="0.15">
      <c r="G131" s="11">
        <v>130</v>
      </c>
      <c r="H131" t="s">
        <v>148</v>
      </c>
      <c r="I131" t="s">
        <v>225</v>
      </c>
      <c r="J131" t="s">
        <v>224</v>
      </c>
      <c r="K131" s="43">
        <v>5.0000000000000001E-3</v>
      </c>
      <c r="L131" s="39">
        <v>-2.1100000000000001E-2</v>
      </c>
      <c r="M131" s="39">
        <v>-3.9100000000000003E-2</v>
      </c>
      <c r="N131" s="43">
        <v>-4.1000000000000002E-2</v>
      </c>
      <c r="O131" s="39">
        <v>-7.7799999999999994E-2</v>
      </c>
      <c r="P131" s="39">
        <v>-5.3600000000000002E-2</v>
      </c>
      <c r="Q131" s="39">
        <v>-7.6E-3</v>
      </c>
      <c r="R131" s="39">
        <v>-9.1800000000000007E-2</v>
      </c>
      <c r="S131" s="39">
        <v>-0.16470000000000001</v>
      </c>
      <c r="T131">
        <v>13.42</v>
      </c>
      <c r="U131">
        <v>41.61</v>
      </c>
      <c r="V131">
        <v>10.07</v>
      </c>
      <c r="W131" s="17">
        <v>3840.4627</v>
      </c>
    </row>
    <row r="132" spans="7:24" x14ac:dyDescent="0.15">
      <c r="G132" s="11">
        <v>131</v>
      </c>
      <c r="H132" t="s">
        <v>118</v>
      </c>
      <c r="I132" t="s">
        <v>297</v>
      </c>
      <c r="J132" t="s">
        <v>224</v>
      </c>
      <c r="K132" s="43">
        <v>1E-4</v>
      </c>
      <c r="L132" s="39">
        <v>-2.5000000000000001E-3</v>
      </c>
      <c r="M132" s="39">
        <v>-3.3300000000000003E-2</v>
      </c>
      <c r="N132" s="43">
        <v>-7.8E-2</v>
      </c>
      <c r="O132" s="39">
        <v>-0.13039999999999999</v>
      </c>
      <c r="P132" s="39">
        <v>-0.2099</v>
      </c>
      <c r="Q132" s="39">
        <v>-0.32929999999999998</v>
      </c>
      <c r="R132" s="39">
        <v>-0.53580000000000005</v>
      </c>
      <c r="S132" s="39">
        <v>-0.11559999999999999</v>
      </c>
      <c r="T132">
        <v>12.75</v>
      </c>
      <c r="U132">
        <v>8.0500000000000007</v>
      </c>
      <c r="V132">
        <v>42.95</v>
      </c>
      <c r="W132" s="17">
        <v>11414.6512</v>
      </c>
    </row>
    <row r="133" spans="7:24" x14ac:dyDescent="0.15">
      <c r="G133" s="11">
        <v>132</v>
      </c>
      <c r="H133" t="s">
        <v>145</v>
      </c>
      <c r="I133" t="s">
        <v>295</v>
      </c>
      <c r="J133" t="s">
        <v>224</v>
      </c>
      <c r="K133" s="43">
        <v>2.5999999999999999E-3</v>
      </c>
      <c r="L133" s="39">
        <v>-2.4E-2</v>
      </c>
      <c r="M133" s="39">
        <v>-4.1799999999999997E-2</v>
      </c>
      <c r="N133" s="43">
        <v>-4.7699999999999999E-2</v>
      </c>
      <c r="O133" s="39">
        <v>-0.10340000000000001</v>
      </c>
      <c r="P133" s="39">
        <v>-7.4999999999999997E-2</v>
      </c>
      <c r="Q133" s="39">
        <v>-4.7100000000000003E-2</v>
      </c>
      <c r="R133" s="39">
        <v>-0.16450000000000001</v>
      </c>
      <c r="S133" s="39">
        <v>-4.02E-2</v>
      </c>
      <c r="T133">
        <v>12.08</v>
      </c>
      <c r="U133">
        <v>32.21</v>
      </c>
      <c r="V133">
        <v>18.79</v>
      </c>
      <c r="W133" s="17">
        <v>39478.594499999999</v>
      </c>
      <c r="X133" s="83" t="s">
        <v>734</v>
      </c>
    </row>
    <row r="134" spans="7:24" x14ac:dyDescent="0.15">
      <c r="G134" s="11">
        <v>133</v>
      </c>
      <c r="H134" t="s">
        <v>194</v>
      </c>
      <c r="I134" t="s">
        <v>254</v>
      </c>
      <c r="J134" t="s">
        <v>224</v>
      </c>
      <c r="K134" s="43">
        <v>2.8999999999999998E-3</v>
      </c>
      <c r="L134" s="39">
        <v>-2.01E-2</v>
      </c>
      <c r="M134" s="39">
        <v>-3.27E-2</v>
      </c>
      <c r="N134" s="43">
        <v>-5.0799999999999998E-2</v>
      </c>
      <c r="O134" s="39">
        <v>-3.5400000000000001E-2</v>
      </c>
      <c r="P134" s="39">
        <v>4.2799999999999998E-2</v>
      </c>
      <c r="Q134" s="39">
        <v>3.9E-2</v>
      </c>
      <c r="R134" s="39">
        <v>-0.17050000000000001</v>
      </c>
      <c r="S134" s="39">
        <v>-0.11559999999999999</v>
      </c>
      <c r="T134">
        <v>11.41</v>
      </c>
      <c r="U134">
        <v>28.86</v>
      </c>
      <c r="V134">
        <v>18.12</v>
      </c>
      <c r="W134" s="17">
        <v>4414.9059500000003</v>
      </c>
    </row>
    <row r="135" spans="7:24" x14ac:dyDescent="0.15">
      <c r="G135" s="11">
        <v>134</v>
      </c>
      <c r="H135" s="10" t="s">
        <v>101</v>
      </c>
      <c r="I135" t="s">
        <v>251</v>
      </c>
      <c r="J135" t="s">
        <v>224</v>
      </c>
      <c r="K135" s="43">
        <v>2.3E-3</v>
      </c>
      <c r="L135" s="39">
        <v>-3.5700000000000003E-2</v>
      </c>
      <c r="M135" s="39">
        <v>-4.7199999999999999E-2</v>
      </c>
      <c r="N135" s="43">
        <v>-5.4899999999999997E-2</v>
      </c>
      <c r="O135" s="39">
        <v>-0.06</v>
      </c>
      <c r="P135" s="39">
        <v>-7.2599999999999998E-2</v>
      </c>
      <c r="Q135" s="39">
        <v>-0.1298</v>
      </c>
      <c r="R135" s="39">
        <v>-0.31480000000000002</v>
      </c>
      <c r="S135" s="39">
        <v>-0.2772</v>
      </c>
      <c r="T135">
        <v>10.74</v>
      </c>
      <c r="U135">
        <v>24.83</v>
      </c>
      <c r="V135">
        <v>20.81</v>
      </c>
      <c r="W135" s="17">
        <v>2941.0933</v>
      </c>
    </row>
    <row r="136" spans="7:24" x14ac:dyDescent="0.15">
      <c r="G136" s="11">
        <v>135</v>
      </c>
      <c r="H136" s="10" t="s">
        <v>83</v>
      </c>
      <c r="I136" t="s">
        <v>316</v>
      </c>
      <c r="J136" t="s">
        <v>315</v>
      </c>
      <c r="K136" s="43">
        <v>7.9000000000000008E-3</v>
      </c>
      <c r="L136" s="39">
        <v>-4.8000000000000001E-2</v>
      </c>
      <c r="M136" s="39">
        <v>-5.5399999999999998E-2</v>
      </c>
      <c r="N136" s="43">
        <v>-4.3700000000000003E-2</v>
      </c>
      <c r="O136" s="39">
        <v>-0.13919999999999999</v>
      </c>
      <c r="P136" s="39">
        <v>5.0200000000000002E-2</v>
      </c>
      <c r="Q136" s="39">
        <v>-0.12590000000000001</v>
      </c>
      <c r="R136" s="39">
        <v>0.44409999999999999</v>
      </c>
      <c r="S136" s="39">
        <v>1.9395</v>
      </c>
      <c r="T136">
        <v>10.07</v>
      </c>
      <c r="U136">
        <v>38.93</v>
      </c>
      <c r="V136">
        <v>5.37</v>
      </c>
      <c r="W136" s="17">
        <v>7569.6633900000006</v>
      </c>
      <c r="X136" s="83" t="s">
        <v>734</v>
      </c>
    </row>
    <row r="137" spans="7:24" x14ac:dyDescent="0.15">
      <c r="G137" s="11">
        <v>136</v>
      </c>
      <c r="H137" t="s">
        <v>333</v>
      </c>
      <c r="I137" t="s">
        <v>334</v>
      </c>
      <c r="J137" t="s">
        <v>363</v>
      </c>
      <c r="K137" s="43">
        <v>4.0000000000000002E-4</v>
      </c>
      <c r="L137" s="39">
        <v>-1.9599999999999999E-2</v>
      </c>
      <c r="M137" s="39">
        <v>-5.5E-2</v>
      </c>
      <c r="N137" s="43">
        <v>-9.1499999999999998E-2</v>
      </c>
      <c r="O137" s="39">
        <v>-0.184</v>
      </c>
      <c r="P137" s="39">
        <v>-0.2238</v>
      </c>
      <c r="Q137" s="39">
        <v>-0.31580000000000003</v>
      </c>
      <c r="R137" s="39">
        <v>-0.51519999999999999</v>
      </c>
      <c r="S137" s="39">
        <v>-0.51519999999999999</v>
      </c>
      <c r="T137">
        <v>9.4</v>
      </c>
      <c r="U137">
        <v>4.7</v>
      </c>
      <c r="V137">
        <v>38.93</v>
      </c>
      <c r="W137" s="17">
        <v>1309.01081</v>
      </c>
    </row>
    <row r="138" spans="7:24" x14ac:dyDescent="0.15">
      <c r="G138" s="11">
        <v>137</v>
      </c>
      <c r="H138" s="10" t="s">
        <v>115</v>
      </c>
      <c r="I138" t="s">
        <v>239</v>
      </c>
      <c r="J138" t="s">
        <v>224</v>
      </c>
      <c r="K138" s="43">
        <v>4.0000000000000002E-4</v>
      </c>
      <c r="L138" s="39">
        <v>-2.6200000000000001E-2</v>
      </c>
      <c r="M138" s="39">
        <v>-5.6800000000000003E-2</v>
      </c>
      <c r="N138" s="43">
        <v>-9.4399999999999998E-2</v>
      </c>
      <c r="O138" s="39">
        <v>-0.17780000000000001</v>
      </c>
      <c r="P138" s="39">
        <v>-0.21809999999999999</v>
      </c>
      <c r="Q138" s="39">
        <v>-0.3301</v>
      </c>
      <c r="R138" s="39">
        <v>-0.50870000000000004</v>
      </c>
      <c r="S138" s="39">
        <v>-0.30630000000000002</v>
      </c>
      <c r="T138">
        <v>8.7200000000000006</v>
      </c>
      <c r="U138">
        <v>3.36</v>
      </c>
      <c r="V138">
        <v>38.26</v>
      </c>
      <c r="W138" s="17">
        <v>1280.6002100000001</v>
      </c>
    </row>
    <row r="139" spans="7:24" x14ac:dyDescent="0.15">
      <c r="G139" s="11">
        <v>138</v>
      </c>
      <c r="H139" s="10" t="s">
        <v>153</v>
      </c>
      <c r="I139" t="s">
        <v>268</v>
      </c>
      <c r="J139" t="s">
        <v>224</v>
      </c>
      <c r="K139" s="43">
        <v>6.9999999999999999E-4</v>
      </c>
      <c r="L139" s="39">
        <v>-4.99E-2</v>
      </c>
      <c r="M139" s="39">
        <v>-8.1100000000000005E-2</v>
      </c>
      <c r="N139" s="43">
        <v>-8.2500000000000004E-2</v>
      </c>
      <c r="O139" s="39">
        <v>-0.1845</v>
      </c>
      <c r="P139" s="39">
        <v>-0.16120000000000001</v>
      </c>
      <c r="Q139" s="39">
        <v>-0.2384</v>
      </c>
      <c r="R139" s="39">
        <v>-0.3246</v>
      </c>
      <c r="S139" s="39">
        <v>-0.39240000000000003</v>
      </c>
      <c r="T139">
        <v>8.0500000000000007</v>
      </c>
      <c r="U139">
        <v>6.04</v>
      </c>
      <c r="V139">
        <v>34.9</v>
      </c>
      <c r="W139" s="17">
        <v>3180.1954700000001</v>
      </c>
      <c r="X139" s="83" t="s">
        <v>734</v>
      </c>
    </row>
    <row r="140" spans="7:24" x14ac:dyDescent="0.15">
      <c r="G140" s="11">
        <v>139</v>
      </c>
      <c r="H140" t="s">
        <v>175</v>
      </c>
      <c r="I140" t="s">
        <v>230</v>
      </c>
      <c r="J140" t="s">
        <v>224</v>
      </c>
      <c r="K140" s="43">
        <v>1.4E-3</v>
      </c>
      <c r="L140" s="39">
        <v>-1.7899999999999999E-2</v>
      </c>
      <c r="M140" s="39">
        <v>-4.2700000000000002E-2</v>
      </c>
      <c r="N140" s="43">
        <v>-6.1600000000000002E-2</v>
      </c>
      <c r="O140" s="39">
        <v>-0.1217</v>
      </c>
      <c r="P140" s="39">
        <v>-0.12939999999999999</v>
      </c>
      <c r="Q140" s="39">
        <v>-0.24909999999999999</v>
      </c>
      <c r="R140" s="39">
        <v>-0.42520000000000002</v>
      </c>
      <c r="S140" s="39">
        <v>-0.4178</v>
      </c>
      <c r="T140">
        <v>7.38</v>
      </c>
      <c r="U140">
        <v>14.09</v>
      </c>
      <c r="V140">
        <v>25.5</v>
      </c>
      <c r="W140" s="17">
        <v>2351.9255359999997</v>
      </c>
      <c r="X140" s="83" t="s">
        <v>734</v>
      </c>
    </row>
    <row r="141" spans="7:24" x14ac:dyDescent="0.15">
      <c r="G141" s="11">
        <v>140</v>
      </c>
      <c r="H141" s="10" t="s">
        <v>182</v>
      </c>
      <c r="I141" t="s">
        <v>287</v>
      </c>
      <c r="J141" t="s">
        <v>224</v>
      </c>
      <c r="K141" s="43">
        <v>1.6999999999999999E-3</v>
      </c>
      <c r="L141" s="39">
        <v>-3.0099999999999998E-2</v>
      </c>
      <c r="M141" s="39">
        <v>-5.2499999999999998E-2</v>
      </c>
      <c r="N141" s="43">
        <v>-6.08E-2</v>
      </c>
      <c r="O141" s="39">
        <v>-0.1089</v>
      </c>
      <c r="P141" s="39">
        <v>-5.9700000000000003E-2</v>
      </c>
      <c r="Q141" s="39">
        <v>-1.29E-2</v>
      </c>
      <c r="R141" s="39">
        <v>-0.16889999999999999</v>
      </c>
      <c r="S141" s="39">
        <v>-0.29709999999999998</v>
      </c>
      <c r="T141">
        <v>6.71</v>
      </c>
      <c r="U141">
        <v>14.77</v>
      </c>
      <c r="V141">
        <v>23.49</v>
      </c>
      <c r="W141" s="17">
        <v>6032.1031999999996</v>
      </c>
      <c r="X141" s="83" t="s">
        <v>734</v>
      </c>
    </row>
    <row r="142" spans="7:24" x14ac:dyDescent="0.15">
      <c r="G142" s="11">
        <v>141</v>
      </c>
      <c r="H142" s="10" t="s">
        <v>330</v>
      </c>
      <c r="I142" t="s">
        <v>331</v>
      </c>
      <c r="J142" t="s">
        <v>363</v>
      </c>
      <c r="K142" s="43">
        <v>8.0000000000000004E-4</v>
      </c>
      <c r="L142" s="39">
        <v>-1.67E-2</v>
      </c>
      <c r="M142" s="39">
        <v>-5.0200000000000002E-2</v>
      </c>
      <c r="N142" s="43">
        <v>-9.3299999999999994E-2</v>
      </c>
      <c r="O142" s="39">
        <v>-0.1636</v>
      </c>
      <c r="P142" s="39">
        <v>-0.21840000000000001</v>
      </c>
      <c r="Q142" s="39">
        <v>-0.34250000000000003</v>
      </c>
      <c r="R142" s="39">
        <v>-0.51270000000000004</v>
      </c>
      <c r="S142" s="39">
        <v>-0.47039999999999998</v>
      </c>
      <c r="T142">
        <v>6.04</v>
      </c>
      <c r="U142">
        <v>4.03</v>
      </c>
      <c r="V142">
        <v>34.229999999999997</v>
      </c>
      <c r="W142" s="17">
        <v>7707.5329299999994</v>
      </c>
    </row>
    <row r="143" spans="7:24" x14ac:dyDescent="0.15">
      <c r="G143" s="11">
        <v>142</v>
      </c>
      <c r="H143" t="s">
        <v>127</v>
      </c>
      <c r="I143" t="s">
        <v>261</v>
      </c>
      <c r="J143" t="s">
        <v>224</v>
      </c>
      <c r="K143" s="43">
        <v>3.3999999999999998E-3</v>
      </c>
      <c r="L143" s="39">
        <v>-4.3400000000000001E-2</v>
      </c>
      <c r="M143" s="39">
        <v>-4.24E-2</v>
      </c>
      <c r="N143" s="43">
        <v>-5.8700000000000002E-2</v>
      </c>
      <c r="O143" s="39">
        <v>6.1000000000000004E-3</v>
      </c>
      <c r="P143" s="39">
        <v>-8.5999999999999993E-2</v>
      </c>
      <c r="Q143" s="39">
        <v>-0.2029</v>
      </c>
      <c r="R143" s="39">
        <v>-0.43619999999999998</v>
      </c>
      <c r="S143" s="39">
        <v>-0.50570000000000004</v>
      </c>
      <c r="T143">
        <v>5.37</v>
      </c>
      <c r="U143">
        <v>17.45</v>
      </c>
      <c r="V143">
        <v>14.09</v>
      </c>
      <c r="W143" s="17">
        <v>8444.4504068000006</v>
      </c>
    </row>
    <row r="144" spans="7:24" x14ac:dyDescent="0.15">
      <c r="G144" s="11">
        <v>143</v>
      </c>
      <c r="H144" t="s">
        <v>152</v>
      </c>
      <c r="I144" t="s">
        <v>273</v>
      </c>
      <c r="J144" t="s">
        <v>224</v>
      </c>
      <c r="K144" s="43">
        <v>3.2000000000000002E-3</v>
      </c>
      <c r="L144" s="39">
        <v>-3.4500000000000003E-2</v>
      </c>
      <c r="M144" s="39">
        <v>-5.4199999999999998E-2</v>
      </c>
      <c r="N144" s="43">
        <v>-6.08E-2</v>
      </c>
      <c r="O144" s="39">
        <v>-0.1056</v>
      </c>
      <c r="P144" s="39">
        <v>-0.1008</v>
      </c>
      <c r="Q144" s="39">
        <v>-7.2400000000000006E-2</v>
      </c>
      <c r="R144" s="39">
        <v>-0.26300000000000001</v>
      </c>
      <c r="S144" s="39">
        <v>-0.34610000000000002</v>
      </c>
      <c r="T144">
        <v>4.7</v>
      </c>
      <c r="U144">
        <v>15.44</v>
      </c>
      <c r="V144">
        <v>15.44</v>
      </c>
      <c r="W144" s="17">
        <v>2269.5282999999999</v>
      </c>
    </row>
    <row r="145" spans="7:25" x14ac:dyDescent="0.15">
      <c r="G145" s="11">
        <v>144</v>
      </c>
      <c r="H145" t="s">
        <v>195</v>
      </c>
      <c r="I145" t="s">
        <v>299</v>
      </c>
      <c r="J145" t="s">
        <v>318</v>
      </c>
      <c r="K145" s="43">
        <v>6.0000000000000001E-3</v>
      </c>
      <c r="L145" s="39">
        <v>-2.6599999999999999E-2</v>
      </c>
      <c r="M145" s="39">
        <v>-7.0800000000000002E-2</v>
      </c>
      <c r="N145" s="43">
        <v>-5.6899999999999999E-2</v>
      </c>
      <c r="O145" s="39">
        <v>-0.1135</v>
      </c>
      <c r="P145" s="39">
        <v>-0.13320000000000001</v>
      </c>
      <c r="Q145" s="39">
        <v>-0.1071</v>
      </c>
      <c r="R145" s="39">
        <v>-0.26490000000000002</v>
      </c>
      <c r="S145" s="39">
        <v>-0.38519999999999999</v>
      </c>
      <c r="T145">
        <v>4.03</v>
      </c>
      <c r="U145">
        <v>20.81</v>
      </c>
      <c r="V145">
        <v>8.0500000000000007</v>
      </c>
      <c r="W145" s="17">
        <v>31593.0648</v>
      </c>
    </row>
    <row r="146" spans="7:25" x14ac:dyDescent="0.15">
      <c r="G146" s="11">
        <v>145</v>
      </c>
      <c r="H146" s="10" t="s">
        <v>192</v>
      </c>
      <c r="I146" t="s">
        <v>319</v>
      </c>
      <c r="J146" t="s">
        <v>318</v>
      </c>
      <c r="K146" s="43">
        <v>3.5999999999999999E-3</v>
      </c>
      <c r="L146" s="39">
        <v>-3.04E-2</v>
      </c>
      <c r="M146" s="39">
        <v>-7.9000000000000001E-2</v>
      </c>
      <c r="N146" s="43">
        <v>-6.5100000000000005E-2</v>
      </c>
      <c r="O146" s="39">
        <v>-0.1128</v>
      </c>
      <c r="P146" s="39">
        <v>-0.16389999999999999</v>
      </c>
      <c r="Q146" s="39">
        <v>-0.1208</v>
      </c>
      <c r="R146" s="39">
        <v>-0.2445</v>
      </c>
      <c r="S146" s="39">
        <v>-0.27079999999999999</v>
      </c>
      <c r="T146">
        <v>3.36</v>
      </c>
      <c r="U146">
        <v>10.74</v>
      </c>
      <c r="V146">
        <v>12.75</v>
      </c>
      <c r="W146" s="17">
        <v>5955.7340999999997</v>
      </c>
      <c r="Y146"/>
    </row>
    <row r="147" spans="7:25" x14ac:dyDescent="0.15">
      <c r="G147" s="11">
        <v>146</v>
      </c>
      <c r="H147" s="10" t="s">
        <v>199</v>
      </c>
      <c r="I147" t="s">
        <v>321</v>
      </c>
      <c r="J147" t="s">
        <v>318</v>
      </c>
      <c r="K147" s="43">
        <v>7.0000000000000001E-3</v>
      </c>
      <c r="L147" s="39">
        <v>-3.4799999999999998E-2</v>
      </c>
      <c r="M147" s="39">
        <v>-8.8499999999999995E-2</v>
      </c>
      <c r="N147" s="43">
        <v>-6.3E-2</v>
      </c>
      <c r="O147" s="39">
        <v>-0.15540000000000001</v>
      </c>
      <c r="P147" s="39">
        <v>-0.18290000000000001</v>
      </c>
      <c r="Q147" s="39">
        <v>-0.16819999999999999</v>
      </c>
      <c r="R147" s="39">
        <v>-0.46460000000000001</v>
      </c>
      <c r="S147" s="39">
        <v>-0.64449999999999996</v>
      </c>
      <c r="T147">
        <v>2.68</v>
      </c>
      <c r="U147">
        <v>12.75</v>
      </c>
      <c r="V147">
        <v>7.38</v>
      </c>
      <c r="W147" s="17">
        <v>246513.13690000001</v>
      </c>
      <c r="X147" s="83" t="s">
        <v>734</v>
      </c>
      <c r="Y147"/>
    </row>
    <row r="148" spans="7:25" x14ac:dyDescent="0.15">
      <c r="G148" s="11">
        <v>147</v>
      </c>
      <c r="H148" t="s">
        <v>197</v>
      </c>
      <c r="I148" t="s">
        <v>294</v>
      </c>
      <c r="J148" t="s">
        <v>224</v>
      </c>
      <c r="K148" s="43">
        <v>7.0000000000000001E-3</v>
      </c>
      <c r="L148" s="39">
        <v>-4.65E-2</v>
      </c>
      <c r="M148" s="39">
        <v>-8.2900000000000001E-2</v>
      </c>
      <c r="N148" s="43">
        <v>-7.9600000000000004E-2</v>
      </c>
      <c r="O148" s="39">
        <v>-0.1009</v>
      </c>
      <c r="P148" s="39">
        <v>-8.0399999999999999E-2</v>
      </c>
      <c r="Q148" s="39">
        <v>-6.6600000000000006E-2</v>
      </c>
      <c r="R148" s="39">
        <v>-0.18640000000000001</v>
      </c>
      <c r="S148" s="39">
        <v>-0.17330000000000001</v>
      </c>
      <c r="T148">
        <v>2.0099999999999998</v>
      </c>
      <c r="U148">
        <v>7.38</v>
      </c>
      <c r="V148">
        <v>6.71</v>
      </c>
      <c r="W148" s="17">
        <v>40617.040500000003</v>
      </c>
      <c r="X148" s="83" t="s">
        <v>734</v>
      </c>
    </row>
    <row r="149" spans="7:25" x14ac:dyDescent="0.15">
      <c r="G149" s="11">
        <v>148</v>
      </c>
      <c r="H149" t="s">
        <v>442</v>
      </c>
      <c r="I149" t="s">
        <v>457</v>
      </c>
      <c r="J149" t="s">
        <v>450</v>
      </c>
      <c r="K149" s="43">
        <v>5.7999999999999996E-3</v>
      </c>
      <c r="L149" s="39">
        <v>-9.5699999999999993E-2</v>
      </c>
      <c r="M149" s="39">
        <v>-0.10150000000000001</v>
      </c>
      <c r="N149" s="43">
        <v>-0.12039999999999999</v>
      </c>
      <c r="O149" s="39">
        <v>1.6199999999999999E-2</v>
      </c>
      <c r="P149" s="39">
        <v>-6.2399999999999997E-2</v>
      </c>
      <c r="Q149" s="39">
        <v>-0.1784</v>
      </c>
      <c r="R149" s="39">
        <v>-0.22059999999999999</v>
      </c>
      <c r="S149" s="39">
        <v>-0.22059999999999999</v>
      </c>
      <c r="T149">
        <v>1.34</v>
      </c>
      <c r="U149">
        <v>0.67</v>
      </c>
      <c r="V149">
        <v>8.7200000000000006</v>
      </c>
      <c r="W149" s="17">
        <v>148191.74419999999</v>
      </c>
      <c r="X149" s="83" t="s">
        <v>734</v>
      </c>
    </row>
    <row r="150" spans="7:25" x14ac:dyDescent="0.15">
      <c r="G150" s="11">
        <v>149</v>
      </c>
      <c r="H150" t="s">
        <v>147</v>
      </c>
      <c r="I150" t="s">
        <v>320</v>
      </c>
      <c r="J150" t="s">
        <v>318</v>
      </c>
      <c r="K150" s="43">
        <v>8.3000000000000001E-3</v>
      </c>
      <c r="L150" s="39">
        <v>-8.6199999999999999E-2</v>
      </c>
      <c r="M150" s="39">
        <v>-0.10199999999999999</v>
      </c>
      <c r="N150" s="43">
        <v>-0.1133</v>
      </c>
      <c r="O150" s="39">
        <v>-2.2499999999999999E-2</v>
      </c>
      <c r="P150" s="39">
        <v>-0.1158</v>
      </c>
      <c r="Q150" s="39">
        <v>-0.23139999999999999</v>
      </c>
      <c r="R150" s="39">
        <v>-0.45789999999999997</v>
      </c>
      <c r="S150" s="39">
        <v>-0.55169999999999997</v>
      </c>
      <c r="T150">
        <v>0.67</v>
      </c>
      <c r="U150">
        <v>1.34</v>
      </c>
      <c r="V150">
        <v>4.7</v>
      </c>
      <c r="W150" s="17">
        <v>119866.2409</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38"/>
  <sheetViews>
    <sheetView tabSelected="1" topLeftCell="F1" workbookViewId="0">
      <pane ySplit="1" topLeftCell="A2" activePane="bottomLeft" state="frozen"/>
      <selection pane="bottomLeft" activeCell="S9" sqref="S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82</v>
      </c>
      <c r="B1" s="19" t="s">
        <v>33</v>
      </c>
      <c r="C1" s="19" t="s">
        <v>32</v>
      </c>
      <c r="D1" s="19" t="s">
        <v>365</v>
      </c>
      <c r="E1" s="22"/>
      <c r="F1" s="23" t="s">
        <v>364</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733</v>
      </c>
      <c r="Y1" s="80" t="s">
        <v>770</v>
      </c>
      <c r="AA1" s="36" t="s">
        <v>420</v>
      </c>
    </row>
    <row r="2" spans="1:28" x14ac:dyDescent="0.15">
      <c r="A2">
        <v>1</v>
      </c>
      <c r="B2">
        <v>159980</v>
      </c>
      <c r="C2" t="s">
        <v>219</v>
      </c>
      <c r="D2">
        <f t="shared" ref="D2:D8" si="0">MATCH(IF(B2&lt;499999,"SZ"&amp;B2,"SH"&amp;B2),$H$2:$H$2848,0)</f>
        <v>22</v>
      </c>
      <c r="G2" s="11">
        <v>1</v>
      </c>
      <c r="H2" t="s">
        <v>86</v>
      </c>
      <c r="I2" t="s">
        <v>371</v>
      </c>
      <c r="J2" t="s">
        <v>367</v>
      </c>
      <c r="K2" s="43">
        <v>-4.3E-3</v>
      </c>
      <c r="L2" s="39">
        <v>8.0000000000000004E-4</v>
      </c>
      <c r="M2" s="39">
        <v>3.2000000000000002E-3</v>
      </c>
      <c r="N2" s="43">
        <v>3.5000000000000001E-3</v>
      </c>
      <c r="O2" s="39">
        <v>1.2999999999999999E-3</v>
      </c>
      <c r="P2" s="39">
        <v>8.5000000000000006E-3</v>
      </c>
      <c r="Q2" s="39">
        <v>3.0700000000000002E-2</v>
      </c>
      <c r="R2" s="39">
        <v>7.0400000000000004E-2</v>
      </c>
      <c r="S2" s="39">
        <v>0.11849999999999999</v>
      </c>
      <c r="T2">
        <v>100</v>
      </c>
      <c r="U2">
        <v>72.97</v>
      </c>
      <c r="V2">
        <v>100</v>
      </c>
      <c r="W2" s="17">
        <v>4240.2549300000001</v>
      </c>
      <c r="X2" s="83" t="s">
        <v>734</v>
      </c>
      <c r="AA2" s="9"/>
      <c r="AB2" s="9"/>
    </row>
    <row r="3" spans="1:28" x14ac:dyDescent="0.15">
      <c r="A3">
        <v>2</v>
      </c>
      <c r="B3">
        <v>159981</v>
      </c>
      <c r="C3" t="s">
        <v>220</v>
      </c>
      <c r="D3">
        <f t="shared" si="0"/>
        <v>9</v>
      </c>
      <c r="G3" s="11">
        <v>2</v>
      </c>
      <c r="H3" t="s">
        <v>89</v>
      </c>
      <c r="I3" t="s">
        <v>369</v>
      </c>
      <c r="J3" t="s">
        <v>367</v>
      </c>
      <c r="K3" s="43">
        <v>-3.0999999999999999E-3</v>
      </c>
      <c r="L3" s="39">
        <v>-2.0000000000000001E-4</v>
      </c>
      <c r="M3" s="39">
        <v>8.9999999999999998E-4</v>
      </c>
      <c r="N3" s="43">
        <v>1.8E-3</v>
      </c>
      <c r="O3" s="39">
        <v>-5.9999999999999995E-4</v>
      </c>
      <c r="P3" s="39">
        <v>5.1999999999999998E-3</v>
      </c>
      <c r="Q3" s="39">
        <v>2.8500000000000001E-2</v>
      </c>
      <c r="R3" s="39">
        <v>7.5800000000000006E-2</v>
      </c>
      <c r="S3" s="39">
        <v>0.1227</v>
      </c>
      <c r="T3">
        <v>97.3</v>
      </c>
      <c r="U3">
        <v>70.27</v>
      </c>
      <c r="V3">
        <v>94.59</v>
      </c>
      <c r="W3" s="17">
        <v>33744.6898</v>
      </c>
      <c r="X3" s="83" t="s">
        <v>734</v>
      </c>
      <c r="AA3" s="9"/>
      <c r="AB3" s="9"/>
    </row>
    <row r="4" spans="1:28" x14ac:dyDescent="0.15">
      <c r="A4">
        <v>3</v>
      </c>
      <c r="B4">
        <v>160216</v>
      </c>
      <c r="C4" t="s">
        <v>22</v>
      </c>
      <c r="D4" t="e">
        <f t="shared" si="0"/>
        <v>#N/A</v>
      </c>
      <c r="G4" s="11">
        <v>3</v>
      </c>
      <c r="H4" t="s">
        <v>92</v>
      </c>
      <c r="I4" t="s">
        <v>370</v>
      </c>
      <c r="J4" t="s">
        <v>367</v>
      </c>
      <c r="K4" s="43">
        <v>-3.3999999999999998E-3</v>
      </c>
      <c r="L4" s="39">
        <v>5.9999999999999995E-4</v>
      </c>
      <c r="M4" s="39">
        <v>1.1999999999999999E-3</v>
      </c>
      <c r="N4" s="43">
        <v>1.2999999999999999E-3</v>
      </c>
      <c r="O4" s="39">
        <v>4.0000000000000002E-4</v>
      </c>
      <c r="P4" s="39">
        <v>5.4999999999999997E-3</v>
      </c>
      <c r="Q4" s="39">
        <v>2.5399999999999999E-2</v>
      </c>
      <c r="R4" s="39">
        <v>6.3500000000000001E-2</v>
      </c>
      <c r="S4" s="39">
        <v>0.1069</v>
      </c>
      <c r="T4">
        <v>94.59</v>
      </c>
      <c r="U4">
        <v>59.46</v>
      </c>
      <c r="V4">
        <v>97.3</v>
      </c>
      <c r="W4" s="17">
        <v>32744.102999999999</v>
      </c>
      <c r="AA4" s="9"/>
      <c r="AB4" s="9"/>
    </row>
    <row r="5" spans="1:28" x14ac:dyDescent="0.15">
      <c r="A5">
        <v>4</v>
      </c>
      <c r="B5">
        <v>161815</v>
      </c>
      <c r="C5" t="s">
        <v>17</v>
      </c>
      <c r="D5" t="e">
        <f t="shared" si="0"/>
        <v>#N/A</v>
      </c>
      <c r="G5" s="11">
        <v>4</v>
      </c>
      <c r="H5" t="s">
        <v>87</v>
      </c>
      <c r="I5" t="s">
        <v>373</v>
      </c>
      <c r="J5" t="s">
        <v>367</v>
      </c>
      <c r="K5" s="43">
        <v>-2.8E-3</v>
      </c>
      <c r="L5" s="39">
        <v>4.0000000000000002E-4</v>
      </c>
      <c r="M5" s="39">
        <v>8.9999999999999998E-4</v>
      </c>
      <c r="N5" s="43">
        <v>1.4E-3</v>
      </c>
      <c r="O5" s="39">
        <v>2.8E-3</v>
      </c>
      <c r="P5" s="39">
        <v>8.3999999999999995E-3</v>
      </c>
      <c r="Q5" s="39">
        <v>2.6499999999999999E-2</v>
      </c>
      <c r="R5" s="39">
        <v>5.5800000000000002E-2</v>
      </c>
      <c r="S5" s="39">
        <v>9.2399999999999996E-2</v>
      </c>
      <c r="T5">
        <v>91.89</v>
      </c>
      <c r="U5">
        <v>64.86</v>
      </c>
      <c r="V5">
        <v>89.19</v>
      </c>
      <c r="W5" s="17">
        <v>3775.03944</v>
      </c>
      <c r="X5" s="83" t="s">
        <v>734</v>
      </c>
      <c r="AA5" s="9"/>
      <c r="AB5" s="9"/>
    </row>
    <row r="6" spans="1:28" x14ac:dyDescent="0.15">
      <c r="A6">
        <v>5</v>
      </c>
      <c r="B6">
        <v>163208</v>
      </c>
      <c r="C6" t="s">
        <v>18</v>
      </c>
      <c r="D6" t="e">
        <f t="shared" si="0"/>
        <v>#N/A</v>
      </c>
      <c r="G6" s="11">
        <v>5</v>
      </c>
      <c r="H6" t="s">
        <v>387</v>
      </c>
      <c r="I6" t="s">
        <v>388</v>
      </c>
      <c r="J6" t="s">
        <v>367</v>
      </c>
      <c r="K6" s="43">
        <v>-8.0000000000000004E-4</v>
      </c>
      <c r="L6" s="39">
        <v>-4.0000000000000002E-4</v>
      </c>
      <c r="M6" s="39">
        <v>-2.0000000000000001E-4</v>
      </c>
      <c r="N6" s="43">
        <v>1.5E-3</v>
      </c>
      <c r="O6" s="39">
        <v>6.1999999999999998E-3</v>
      </c>
      <c r="P6" s="39">
        <v>0.01</v>
      </c>
      <c r="Q6" s="39">
        <v>3.7400000000000003E-2</v>
      </c>
      <c r="R6" s="39">
        <v>6.6299999999999998E-2</v>
      </c>
      <c r="S6" s="39">
        <v>0.1208</v>
      </c>
      <c r="T6">
        <v>89.19</v>
      </c>
      <c r="U6">
        <v>67.569999999999993</v>
      </c>
      <c r="V6">
        <v>83.78</v>
      </c>
      <c r="W6" s="17">
        <v>1198.2542599999999</v>
      </c>
      <c r="X6" s="83" t="s">
        <v>734</v>
      </c>
      <c r="Y6" s="81" t="s">
        <v>771</v>
      </c>
      <c r="AA6" t="s">
        <v>1202</v>
      </c>
    </row>
    <row r="7" spans="1:28" x14ac:dyDescent="0.15">
      <c r="A7">
        <v>6</v>
      </c>
      <c r="B7">
        <v>165513</v>
      </c>
      <c r="C7" t="s">
        <v>20</v>
      </c>
      <c r="D7" t="e">
        <f t="shared" si="0"/>
        <v>#N/A</v>
      </c>
      <c r="G7" s="11">
        <v>6</v>
      </c>
      <c r="H7" t="s">
        <v>170</v>
      </c>
      <c r="I7" t="s">
        <v>392</v>
      </c>
      <c r="J7" t="s">
        <v>15</v>
      </c>
      <c r="K7" s="43">
        <v>3.3E-3</v>
      </c>
      <c r="L7" s="39">
        <v>6.3E-3</v>
      </c>
      <c r="M7" s="39">
        <v>6.3E-3</v>
      </c>
      <c r="N7" s="43">
        <v>4.7199999999999999E-2</v>
      </c>
      <c r="O7" s="39">
        <v>1.6500000000000001E-2</v>
      </c>
      <c r="P7" s="39">
        <v>5.7799999999999997E-2</v>
      </c>
      <c r="Q7" s="39">
        <v>0.14460000000000001</v>
      </c>
      <c r="R7" s="39">
        <v>9.3299999999999994E-2</v>
      </c>
      <c r="S7" s="39">
        <v>0.41670000000000001</v>
      </c>
      <c r="T7">
        <v>86.49</v>
      </c>
      <c r="U7">
        <v>89.19</v>
      </c>
      <c r="V7">
        <v>54.05</v>
      </c>
      <c r="W7" s="17">
        <v>13084.2642</v>
      </c>
      <c r="X7" s="83" t="s">
        <v>734</v>
      </c>
      <c r="Y7" s="81" t="s">
        <v>771</v>
      </c>
    </row>
    <row r="8" spans="1:28" x14ac:dyDescent="0.15">
      <c r="A8">
        <v>7</v>
      </c>
      <c r="B8">
        <v>513130</v>
      </c>
      <c r="C8" t="s">
        <v>221</v>
      </c>
      <c r="D8" t="e">
        <f t="shared" si="0"/>
        <v>#N/A</v>
      </c>
      <c r="G8" s="11">
        <v>7</v>
      </c>
      <c r="H8" t="s">
        <v>99</v>
      </c>
      <c r="I8" t="s">
        <v>378</v>
      </c>
      <c r="J8" t="s">
        <v>377</v>
      </c>
      <c r="K8" s="43">
        <v>8.9999999999999998E-4</v>
      </c>
      <c r="L8" s="39">
        <v>-5.9999999999999995E-4</v>
      </c>
      <c r="M8" s="39">
        <v>1.9199999999999998E-2</v>
      </c>
      <c r="N8" s="43">
        <v>9.2999999999999992E-3</v>
      </c>
      <c r="O8" s="39">
        <v>1.95E-2</v>
      </c>
      <c r="P8" s="39">
        <v>4.3499999999999997E-2</v>
      </c>
      <c r="Q8" s="39">
        <v>0.1633</v>
      </c>
      <c r="R8" s="39">
        <v>0.22689999999999999</v>
      </c>
      <c r="S8" s="39">
        <v>0.17810000000000001</v>
      </c>
      <c r="T8">
        <v>83.78</v>
      </c>
      <c r="U8">
        <v>75.680000000000007</v>
      </c>
      <c r="V8">
        <v>64.86</v>
      </c>
      <c r="W8" s="17">
        <v>44475.767999999996</v>
      </c>
      <c r="X8" s="83" t="s">
        <v>734</v>
      </c>
      <c r="Y8" s="81" t="s">
        <v>771</v>
      </c>
    </row>
    <row r="9" spans="1:28" x14ac:dyDescent="0.15">
      <c r="G9" s="11">
        <v>8</v>
      </c>
      <c r="H9" t="s">
        <v>126</v>
      </c>
      <c r="I9" t="s">
        <v>382</v>
      </c>
      <c r="J9" t="s">
        <v>367</v>
      </c>
      <c r="K9" s="43">
        <v>-2.0000000000000001E-4</v>
      </c>
      <c r="L9" s="39">
        <v>-1E-4</v>
      </c>
      <c r="M9" s="39">
        <v>0</v>
      </c>
      <c r="N9" s="43">
        <v>1.2999999999999999E-3</v>
      </c>
      <c r="O9" s="39">
        <v>5.3E-3</v>
      </c>
      <c r="P9" s="39">
        <v>1.0999999999999999E-2</v>
      </c>
      <c r="Q9" s="39">
        <v>2.8299999999999999E-2</v>
      </c>
      <c r="R9" s="39">
        <v>5.1799999999999999E-2</v>
      </c>
      <c r="S9" s="39">
        <v>9.06E-2</v>
      </c>
      <c r="T9">
        <v>81.08</v>
      </c>
      <c r="U9">
        <v>62.16</v>
      </c>
      <c r="V9">
        <v>75.680000000000007</v>
      </c>
      <c r="W9" s="17">
        <v>32795.8989</v>
      </c>
      <c r="X9" s="83" t="s">
        <v>734</v>
      </c>
    </row>
    <row r="10" spans="1:28" x14ac:dyDescent="0.15">
      <c r="G10" s="11">
        <v>9</v>
      </c>
      <c r="H10" t="s">
        <v>84</v>
      </c>
      <c r="I10" t="s">
        <v>1072</v>
      </c>
      <c r="J10" t="s">
        <v>368</v>
      </c>
      <c r="K10" s="43">
        <v>-3.0999999999999999E-3</v>
      </c>
      <c r="L10" s="39">
        <v>-6.9999999999999999E-4</v>
      </c>
      <c r="M10" s="39">
        <v>2.0799999999999999E-2</v>
      </c>
      <c r="N10" s="43">
        <v>-5.8999999999999999E-3</v>
      </c>
      <c r="O10" s="39">
        <v>-3.4700000000000002E-2</v>
      </c>
      <c r="P10" s="39">
        <v>0.1522</v>
      </c>
      <c r="Q10" s="39">
        <v>0.13109999999999999</v>
      </c>
      <c r="R10" s="39">
        <v>0.15409999999999999</v>
      </c>
      <c r="S10" s="39">
        <v>0.82379999999999998</v>
      </c>
      <c r="T10">
        <v>78.38</v>
      </c>
      <c r="U10">
        <v>45.95</v>
      </c>
      <c r="V10">
        <v>91.89</v>
      </c>
      <c r="W10" s="17">
        <v>3343.1545100000003</v>
      </c>
      <c r="X10" s="83" t="s">
        <v>734</v>
      </c>
    </row>
    <row r="11" spans="1:28" x14ac:dyDescent="0.15">
      <c r="G11" s="11">
        <v>10</v>
      </c>
      <c r="H11" t="s">
        <v>201</v>
      </c>
      <c r="I11" t="s">
        <v>385</v>
      </c>
      <c r="J11" t="s">
        <v>15</v>
      </c>
      <c r="K11" s="43">
        <v>5.4000000000000003E-3</v>
      </c>
      <c r="L11" s="39">
        <v>-1.14E-2</v>
      </c>
      <c r="M11" s="39">
        <v>3.3000000000000002E-2</v>
      </c>
      <c r="N11" s="43">
        <v>7.5999999999999998E-2</v>
      </c>
      <c r="O11" s="39">
        <v>0.113</v>
      </c>
      <c r="P11" s="39">
        <v>9.01E-2</v>
      </c>
      <c r="Q11" s="39">
        <v>0.36649999999999999</v>
      </c>
      <c r="R11" s="39">
        <v>0.33760000000000001</v>
      </c>
      <c r="S11" s="39">
        <v>-0.36840000000000001</v>
      </c>
      <c r="T11">
        <v>75.680000000000007</v>
      </c>
      <c r="U11">
        <v>94.59</v>
      </c>
      <c r="V11">
        <v>40.54</v>
      </c>
      <c r="W11" s="17">
        <v>9000.1087000000007</v>
      </c>
      <c r="X11" s="83" t="s">
        <v>734</v>
      </c>
    </row>
    <row r="12" spans="1:28" x14ac:dyDescent="0.15">
      <c r="G12" s="11">
        <v>11</v>
      </c>
      <c r="H12" t="s">
        <v>108</v>
      </c>
      <c r="I12" t="s">
        <v>339</v>
      </c>
      <c r="J12" t="s">
        <v>367</v>
      </c>
      <c r="K12" s="43">
        <v>-1E-4</v>
      </c>
      <c r="L12" s="39">
        <v>2.0000000000000001E-4</v>
      </c>
      <c r="M12" s="39">
        <v>5.0000000000000001E-4</v>
      </c>
      <c r="N12" s="43">
        <v>1.1999999999999999E-3</v>
      </c>
      <c r="O12" s="39">
        <v>4.5999999999999999E-3</v>
      </c>
      <c r="P12" s="39">
        <v>9.1000000000000004E-3</v>
      </c>
      <c r="Q12" s="39">
        <v>2.3E-2</v>
      </c>
      <c r="R12" s="39">
        <v>4.6399999999999997E-2</v>
      </c>
      <c r="S12" s="39">
        <v>7.7700000000000005E-2</v>
      </c>
      <c r="T12">
        <v>72.97</v>
      </c>
      <c r="U12">
        <v>56.76</v>
      </c>
      <c r="V12">
        <v>72.97</v>
      </c>
      <c r="W12" s="17">
        <v>710414.49529999995</v>
      </c>
      <c r="X12" s="83" t="s">
        <v>734</v>
      </c>
    </row>
    <row r="13" spans="1:28" x14ac:dyDescent="0.15">
      <c r="G13" s="11">
        <v>12</v>
      </c>
      <c r="H13" t="s">
        <v>93</v>
      </c>
      <c r="I13" t="s">
        <v>372</v>
      </c>
      <c r="J13" t="s">
        <v>367</v>
      </c>
      <c r="K13" s="43">
        <v>-4.0000000000000002E-4</v>
      </c>
      <c r="L13" s="39">
        <v>0</v>
      </c>
      <c r="M13" s="39">
        <v>1.6000000000000001E-3</v>
      </c>
      <c r="N13" s="43">
        <v>0</v>
      </c>
      <c r="O13" s="39">
        <v>5.7000000000000002E-3</v>
      </c>
      <c r="P13" s="39">
        <v>8.9999999999999993E-3</v>
      </c>
      <c r="Q13" s="39">
        <v>3.9600000000000003E-2</v>
      </c>
      <c r="R13" s="39">
        <v>7.1999999999999995E-2</v>
      </c>
      <c r="S13" s="39">
        <v>0.1227</v>
      </c>
      <c r="T13">
        <v>70.27</v>
      </c>
      <c r="U13">
        <v>51.35</v>
      </c>
      <c r="V13">
        <v>78.38</v>
      </c>
      <c r="W13" s="17">
        <v>30035.057199999999</v>
      </c>
      <c r="X13" s="83" t="s">
        <v>734</v>
      </c>
    </row>
    <row r="14" spans="1:28" x14ac:dyDescent="0.15">
      <c r="G14" s="11">
        <v>13</v>
      </c>
      <c r="H14" t="s">
        <v>98</v>
      </c>
      <c r="I14" t="s">
        <v>376</v>
      </c>
      <c r="J14" t="s">
        <v>367</v>
      </c>
      <c r="K14" s="43">
        <v>-5.0000000000000001E-4</v>
      </c>
      <c r="L14" s="39">
        <v>6.9999999999999999E-4</v>
      </c>
      <c r="M14" s="39">
        <v>2.3E-3</v>
      </c>
      <c r="N14" s="43">
        <v>0</v>
      </c>
      <c r="O14" s="39">
        <v>3.0000000000000001E-3</v>
      </c>
      <c r="P14" s="39">
        <v>4.4999999999999997E-3</v>
      </c>
      <c r="Q14" s="39">
        <v>2.93E-2</v>
      </c>
      <c r="R14" s="39">
        <v>5.45E-2</v>
      </c>
      <c r="S14" s="39">
        <v>9.1499999999999998E-2</v>
      </c>
      <c r="T14">
        <v>67.569999999999993</v>
      </c>
      <c r="U14">
        <v>48.65</v>
      </c>
      <c r="V14">
        <v>81.08</v>
      </c>
      <c r="W14" s="17">
        <v>43251.644800000002</v>
      </c>
    </row>
    <row r="15" spans="1:28" x14ac:dyDescent="0.15">
      <c r="G15" s="11">
        <v>14</v>
      </c>
      <c r="H15" t="s">
        <v>158</v>
      </c>
      <c r="I15" t="s">
        <v>395</v>
      </c>
      <c r="J15" t="s">
        <v>15</v>
      </c>
      <c r="K15" s="43">
        <v>4.5999999999999999E-3</v>
      </c>
      <c r="L15" s="39">
        <v>7.1000000000000004E-3</v>
      </c>
      <c r="M15" s="39">
        <v>-1E-4</v>
      </c>
      <c r="N15" s="43">
        <v>4.5699999999999998E-2</v>
      </c>
      <c r="O15" s="39">
        <v>2.92E-2</v>
      </c>
      <c r="P15" s="39">
        <v>8.0199999999999994E-2</v>
      </c>
      <c r="Q15" s="39">
        <v>0.36919999999999997</v>
      </c>
      <c r="R15" s="39">
        <v>6.5299999999999997E-2</v>
      </c>
      <c r="S15" s="39">
        <v>0.4572</v>
      </c>
      <c r="T15">
        <v>64.86</v>
      </c>
      <c r="U15">
        <v>86.49</v>
      </c>
      <c r="V15">
        <v>43.24</v>
      </c>
      <c r="W15" s="17">
        <v>31710.023222000003</v>
      </c>
      <c r="X15" s="83" t="s">
        <v>734</v>
      </c>
      <c r="Y15" s="81" t="s">
        <v>771</v>
      </c>
    </row>
    <row r="16" spans="1:28" x14ac:dyDescent="0.15">
      <c r="G16" s="11">
        <v>15</v>
      </c>
      <c r="H16" t="s">
        <v>393</v>
      </c>
      <c r="I16" t="s">
        <v>394</v>
      </c>
      <c r="J16" t="s">
        <v>368</v>
      </c>
      <c r="K16" s="43">
        <v>4.4999999999999997E-3</v>
      </c>
      <c r="L16" s="39">
        <v>-3.6299999999999999E-2</v>
      </c>
      <c r="M16" s="39">
        <v>1.06E-2</v>
      </c>
      <c r="N16" s="43">
        <v>2.3599999999999999E-2</v>
      </c>
      <c r="O16" s="39">
        <v>1.15E-2</v>
      </c>
      <c r="P16" s="39">
        <v>1.6899999999999998E-2</v>
      </c>
      <c r="Q16" s="39">
        <v>0.1089</v>
      </c>
      <c r="R16" s="39">
        <v>-2.86E-2</v>
      </c>
      <c r="S16" s="39">
        <v>-0.1484</v>
      </c>
      <c r="T16">
        <v>62.16</v>
      </c>
      <c r="U16">
        <v>81.08</v>
      </c>
      <c r="V16">
        <v>45.95</v>
      </c>
      <c r="W16" s="17">
        <v>967.69370309999999</v>
      </c>
    </row>
    <row r="17" spans="7:25" x14ac:dyDescent="0.15">
      <c r="G17" s="11">
        <v>16</v>
      </c>
      <c r="H17" t="s">
        <v>139</v>
      </c>
      <c r="I17" t="s">
        <v>16</v>
      </c>
      <c r="J17" t="s">
        <v>367</v>
      </c>
      <c r="K17" s="43">
        <v>-1.4E-3</v>
      </c>
      <c r="L17" s="39">
        <v>-1.6999999999999999E-3</v>
      </c>
      <c r="M17" s="39">
        <v>-1.9E-3</v>
      </c>
      <c r="N17" s="43">
        <v>-1.29E-2</v>
      </c>
      <c r="O17" s="39">
        <v>-3.2099999999999997E-2</v>
      </c>
      <c r="P17" s="39">
        <v>-3.8300000000000001E-2</v>
      </c>
      <c r="Q17" s="39">
        <v>-3.1099999999999999E-2</v>
      </c>
      <c r="R17" s="39">
        <v>-7.6600000000000001E-2</v>
      </c>
      <c r="S17" s="39">
        <v>5.21E-2</v>
      </c>
      <c r="T17">
        <v>59.46</v>
      </c>
      <c r="U17">
        <v>40.54</v>
      </c>
      <c r="V17">
        <v>86.49</v>
      </c>
      <c r="W17" s="17">
        <v>88257.753100000002</v>
      </c>
      <c r="X17" s="83" t="s">
        <v>734</v>
      </c>
    </row>
    <row r="18" spans="7:25" x14ac:dyDescent="0.15">
      <c r="G18" s="11">
        <v>17</v>
      </c>
      <c r="H18" t="s">
        <v>204</v>
      </c>
      <c r="I18" t="s">
        <v>396</v>
      </c>
      <c r="J18" t="s">
        <v>15</v>
      </c>
      <c r="K18" s="43">
        <v>7.7000000000000002E-3</v>
      </c>
      <c r="L18" s="39">
        <v>2.9399999999999999E-2</v>
      </c>
      <c r="M18" s="39">
        <v>4.5999999999999999E-2</v>
      </c>
      <c r="N18" s="43">
        <v>6.0400000000000002E-2</v>
      </c>
      <c r="O18" s="39">
        <v>4.1799999999999997E-2</v>
      </c>
      <c r="P18" s="39">
        <v>0.1003</v>
      </c>
      <c r="Q18" s="39">
        <v>6.8500000000000005E-2</v>
      </c>
      <c r="R18" s="39">
        <v>0.1084</v>
      </c>
      <c r="S18" s="39">
        <v>0.46239999999999998</v>
      </c>
      <c r="T18">
        <v>56.76</v>
      </c>
      <c r="U18">
        <v>91.89</v>
      </c>
      <c r="V18">
        <v>32.43</v>
      </c>
      <c r="W18" s="17">
        <v>3157.0759022999996</v>
      </c>
      <c r="X18" s="83" t="s">
        <v>734</v>
      </c>
      <c r="Y18" s="81" t="s">
        <v>771</v>
      </c>
    </row>
    <row r="19" spans="7:25" x14ac:dyDescent="0.15">
      <c r="G19" s="11">
        <v>18</v>
      </c>
      <c r="H19" t="s">
        <v>119</v>
      </c>
      <c r="I19" t="s">
        <v>386</v>
      </c>
      <c r="J19" t="s">
        <v>367</v>
      </c>
      <c r="K19" s="43">
        <v>0</v>
      </c>
      <c r="L19" s="39">
        <v>-4.0000000000000002E-4</v>
      </c>
      <c r="M19" s="39">
        <v>-5.9999999999999995E-4</v>
      </c>
      <c r="N19" s="43">
        <v>4.0000000000000002E-4</v>
      </c>
      <c r="O19" s="39">
        <v>-5.0000000000000001E-4</v>
      </c>
      <c r="P19" s="39">
        <v>1.5E-3</v>
      </c>
      <c r="Q19" s="39">
        <v>2.5999999999999999E-2</v>
      </c>
      <c r="R19" s="39">
        <v>2.9600000000000001E-2</v>
      </c>
      <c r="S19" s="39">
        <v>7.0499999999999993E-2</v>
      </c>
      <c r="T19">
        <v>54.05</v>
      </c>
      <c r="U19">
        <v>54.05</v>
      </c>
      <c r="V19">
        <v>70.27</v>
      </c>
      <c r="W19" s="17">
        <v>36089.254500000003</v>
      </c>
      <c r="X19" s="83" t="s">
        <v>734</v>
      </c>
    </row>
    <row r="20" spans="7:25" x14ac:dyDescent="0.15">
      <c r="G20" s="11">
        <v>19</v>
      </c>
      <c r="H20" t="s">
        <v>196</v>
      </c>
      <c r="I20" t="s">
        <v>390</v>
      </c>
      <c r="J20" t="s">
        <v>15</v>
      </c>
      <c r="K20" s="43">
        <v>8.8000000000000005E-3</v>
      </c>
      <c r="L20" s="39">
        <v>8.8999999999999999E-3</v>
      </c>
      <c r="M20" s="39">
        <v>2.63E-2</v>
      </c>
      <c r="N20" s="43">
        <v>7.6799999999999993E-2</v>
      </c>
      <c r="O20" s="39">
        <v>3.4799999999999998E-2</v>
      </c>
      <c r="P20" s="39">
        <v>2.7199999999999998E-2</v>
      </c>
      <c r="Q20" s="39">
        <v>0.16850000000000001</v>
      </c>
      <c r="R20" s="39">
        <v>3.6499999999999998E-2</v>
      </c>
      <c r="S20" s="39">
        <v>0.15770000000000001</v>
      </c>
      <c r="T20">
        <v>51.35</v>
      </c>
      <c r="U20">
        <v>97.3</v>
      </c>
      <c r="V20">
        <v>21.62</v>
      </c>
      <c r="W20" s="17">
        <v>1566.4238</v>
      </c>
    </row>
    <row r="21" spans="7:25" x14ac:dyDescent="0.15">
      <c r="G21" s="11">
        <v>20</v>
      </c>
      <c r="H21" t="s">
        <v>206</v>
      </c>
      <c r="I21" t="s">
        <v>397</v>
      </c>
      <c r="J21" t="s">
        <v>15</v>
      </c>
      <c r="K21" s="43">
        <v>6.2799999999999995E-2</v>
      </c>
      <c r="L21" s="39">
        <v>6.5600000000000006E-2</v>
      </c>
      <c r="M21" s="39">
        <v>9.9900000000000003E-2</v>
      </c>
      <c r="N21" s="43">
        <v>0.18709999999999999</v>
      </c>
      <c r="O21" s="39">
        <v>-1.9E-3</v>
      </c>
      <c r="P21" s="39">
        <v>-8.7499999999999994E-2</v>
      </c>
      <c r="Q21" s="39">
        <v>-9.1000000000000004E-3</v>
      </c>
      <c r="R21" s="39">
        <v>-0.25940000000000002</v>
      </c>
      <c r="S21" s="39">
        <v>-0.28239999999999998</v>
      </c>
      <c r="T21">
        <v>48.65</v>
      </c>
      <c r="U21">
        <v>100</v>
      </c>
      <c r="V21">
        <v>2.7</v>
      </c>
      <c r="W21" s="17">
        <v>423.26092520000003</v>
      </c>
      <c r="X21" s="83" t="s">
        <v>734</v>
      </c>
    </row>
    <row r="22" spans="7:25" x14ac:dyDescent="0.15">
      <c r="G22" s="11">
        <v>21</v>
      </c>
      <c r="H22" t="s">
        <v>193</v>
      </c>
      <c r="I22" t="s">
        <v>375</v>
      </c>
      <c r="J22" t="s">
        <v>15</v>
      </c>
      <c r="K22" s="43">
        <v>8.8999999999999999E-3</v>
      </c>
      <c r="L22" s="39">
        <v>-4.3E-3</v>
      </c>
      <c r="M22" s="39">
        <v>-4.0000000000000001E-3</v>
      </c>
      <c r="N22" s="43">
        <v>2.3199999999999998E-2</v>
      </c>
      <c r="O22" s="39">
        <v>-1.3599999999999999E-2</v>
      </c>
      <c r="P22" s="39">
        <v>-0.05</v>
      </c>
      <c r="Q22" s="39">
        <v>0.1244</v>
      </c>
      <c r="R22" s="39">
        <v>-9.2999999999999992E-3</v>
      </c>
      <c r="S22" s="39">
        <v>3.8899999999999997E-2</v>
      </c>
      <c r="T22">
        <v>45.95</v>
      </c>
      <c r="U22">
        <v>78.38</v>
      </c>
      <c r="V22">
        <v>18.920000000000002</v>
      </c>
      <c r="W22" s="17">
        <v>4419.9134000000004</v>
      </c>
      <c r="X22" s="83" t="s">
        <v>734</v>
      </c>
      <c r="Y22" s="81" t="s">
        <v>771</v>
      </c>
    </row>
    <row r="23" spans="7:25" x14ac:dyDescent="0.15">
      <c r="G23" s="11">
        <v>22</v>
      </c>
      <c r="H23" t="s">
        <v>85</v>
      </c>
      <c r="I23" t="s">
        <v>23</v>
      </c>
      <c r="J23" t="s">
        <v>368</v>
      </c>
      <c r="K23" s="43">
        <v>8.9999999999999998E-4</v>
      </c>
      <c r="L23" s="39">
        <v>-2.8999999999999998E-3</v>
      </c>
      <c r="M23" s="39">
        <v>-8.3000000000000001E-3</v>
      </c>
      <c r="N23" s="43">
        <v>-2.2800000000000001E-2</v>
      </c>
      <c r="O23" s="39">
        <v>-5.6300000000000003E-2</v>
      </c>
      <c r="P23" s="39">
        <v>6.6E-3</v>
      </c>
      <c r="Q23" s="39">
        <v>-1.52E-2</v>
      </c>
      <c r="R23" s="39">
        <v>5.6399999999999999E-2</v>
      </c>
      <c r="S23" s="39">
        <v>0.39219999999999999</v>
      </c>
      <c r="T23">
        <v>43.24</v>
      </c>
      <c r="U23">
        <v>35.14</v>
      </c>
      <c r="V23">
        <v>62.16</v>
      </c>
      <c r="W23" s="17">
        <v>4293.8919900000001</v>
      </c>
      <c r="X23" s="83" t="s">
        <v>734</v>
      </c>
    </row>
    <row r="24" spans="7:25" x14ac:dyDescent="0.15">
      <c r="G24" s="11">
        <v>23</v>
      </c>
      <c r="H24" t="s">
        <v>203</v>
      </c>
      <c r="I24" t="s">
        <v>389</v>
      </c>
      <c r="J24" t="s">
        <v>15</v>
      </c>
      <c r="K24" s="43">
        <v>9.7999999999999997E-3</v>
      </c>
      <c r="L24" s="39">
        <v>-1.4E-3</v>
      </c>
      <c r="M24" s="39">
        <v>6.4999999999999997E-3</v>
      </c>
      <c r="N24" s="43">
        <v>3.73E-2</v>
      </c>
      <c r="O24" s="39">
        <v>1.12E-2</v>
      </c>
      <c r="P24" s="39">
        <v>2.2700000000000001E-2</v>
      </c>
      <c r="Q24" s="39">
        <v>0.1623</v>
      </c>
      <c r="R24" s="39">
        <v>0.14080000000000001</v>
      </c>
      <c r="S24" s="39">
        <v>0.38769999999999999</v>
      </c>
      <c r="T24">
        <v>40.54</v>
      </c>
      <c r="U24">
        <v>83.78</v>
      </c>
      <c r="V24">
        <v>13.51</v>
      </c>
      <c r="W24" s="17">
        <v>381.04059999999998</v>
      </c>
      <c r="X24" s="83" t="s">
        <v>734</v>
      </c>
      <c r="Y24" s="81" t="s">
        <v>771</v>
      </c>
    </row>
    <row r="25" spans="7:25" x14ac:dyDescent="0.15">
      <c r="G25" s="11">
        <v>24</v>
      </c>
      <c r="H25" t="s">
        <v>342</v>
      </c>
      <c r="I25" t="s">
        <v>752</v>
      </c>
      <c r="J25" t="s">
        <v>15</v>
      </c>
      <c r="K25" s="43">
        <v>3.5999999999999999E-3</v>
      </c>
      <c r="L25" s="39">
        <v>-2.1899999999999999E-2</v>
      </c>
      <c r="M25" s="39">
        <v>-4.0599999999999997E-2</v>
      </c>
      <c r="N25" s="43">
        <v>-1.8800000000000001E-2</v>
      </c>
      <c r="O25" s="39">
        <v>-7.3400000000000007E-2</v>
      </c>
      <c r="P25" s="39">
        <v>-7.3400000000000007E-2</v>
      </c>
      <c r="Q25" s="39">
        <v>3.1800000000000002E-2</v>
      </c>
      <c r="R25" s="39">
        <v>4.5900000000000003E-2</v>
      </c>
      <c r="S25" s="39">
        <v>4.5900000000000003E-2</v>
      </c>
      <c r="T25">
        <v>37.840000000000003</v>
      </c>
      <c r="U25">
        <v>37.840000000000003</v>
      </c>
      <c r="V25">
        <v>51.35</v>
      </c>
      <c r="W25" s="17">
        <v>1116.0812000000001</v>
      </c>
      <c r="X25" s="83" t="s">
        <v>734</v>
      </c>
    </row>
    <row r="26" spans="7:25" x14ac:dyDescent="0.15">
      <c r="G26" s="11">
        <v>25</v>
      </c>
      <c r="H26" t="s">
        <v>103</v>
      </c>
      <c r="I26" t="s">
        <v>24</v>
      </c>
      <c r="J26" t="s">
        <v>368</v>
      </c>
      <c r="K26" s="43">
        <v>3.0999999999999999E-3</v>
      </c>
      <c r="L26" s="39">
        <v>1.0500000000000001E-2</v>
      </c>
      <c r="M26" s="39">
        <v>-1.5800000000000002E-2</v>
      </c>
      <c r="N26" s="43">
        <v>-4.0500000000000001E-2</v>
      </c>
      <c r="O26" s="39">
        <v>-5.6099999999999997E-2</v>
      </c>
      <c r="P26" s="39">
        <v>0.2591</v>
      </c>
      <c r="Q26" s="39">
        <v>0.20469999999999999</v>
      </c>
      <c r="R26" s="39">
        <v>0.90769999999999995</v>
      </c>
      <c r="S26" s="39">
        <v>0.92079999999999995</v>
      </c>
      <c r="T26">
        <v>35.14</v>
      </c>
      <c r="U26">
        <v>29.73</v>
      </c>
      <c r="V26">
        <v>56.76</v>
      </c>
      <c r="W26" s="17">
        <v>6846.7632099999992</v>
      </c>
      <c r="X26" s="83" t="s">
        <v>734</v>
      </c>
    </row>
    <row r="27" spans="7:25" x14ac:dyDescent="0.15">
      <c r="G27" s="11">
        <v>26</v>
      </c>
      <c r="H27" t="s">
        <v>202</v>
      </c>
      <c r="I27" t="s">
        <v>391</v>
      </c>
      <c r="J27" t="s">
        <v>15</v>
      </c>
      <c r="K27" s="43">
        <v>2.0000000000000001E-4</v>
      </c>
      <c r="L27" s="39">
        <v>-4.5600000000000002E-2</v>
      </c>
      <c r="M27" s="39">
        <v>-7.0000000000000007E-2</v>
      </c>
      <c r="N27" s="43">
        <v>-6.7599999999999993E-2</v>
      </c>
      <c r="O27" s="39">
        <v>-0.1159</v>
      </c>
      <c r="P27" s="39">
        <v>-4.7100000000000003E-2</v>
      </c>
      <c r="Q27" s="39">
        <v>-4.0000000000000002E-4</v>
      </c>
      <c r="R27" s="39">
        <v>-0.32440000000000002</v>
      </c>
      <c r="S27" s="39">
        <v>-0.44109999999999999</v>
      </c>
      <c r="T27">
        <v>32.43</v>
      </c>
      <c r="U27">
        <v>13.51</v>
      </c>
      <c r="V27">
        <v>67.569999999999993</v>
      </c>
      <c r="W27" s="17">
        <v>189.26638</v>
      </c>
      <c r="X27" s="83" t="s">
        <v>734</v>
      </c>
    </row>
    <row r="28" spans="7:25" x14ac:dyDescent="0.15">
      <c r="G28" s="11">
        <v>27</v>
      </c>
      <c r="H28" t="s">
        <v>185</v>
      </c>
      <c r="I28" t="s">
        <v>383</v>
      </c>
      <c r="J28" t="s">
        <v>15</v>
      </c>
      <c r="K28" s="43">
        <v>2.3999999999999998E-3</v>
      </c>
      <c r="L28" s="39">
        <v>-2.9100000000000001E-2</v>
      </c>
      <c r="M28" s="39">
        <v>-7.1900000000000006E-2</v>
      </c>
      <c r="N28" s="43">
        <v>-5.8700000000000002E-2</v>
      </c>
      <c r="O28" s="39">
        <v>-9.6000000000000002E-2</v>
      </c>
      <c r="P28" s="39">
        <v>-0.14710000000000001</v>
      </c>
      <c r="Q28" s="39">
        <v>-0.1007</v>
      </c>
      <c r="R28" s="39">
        <v>-0.22020000000000001</v>
      </c>
      <c r="S28" s="39">
        <v>-0.2445</v>
      </c>
      <c r="T28">
        <v>29.73</v>
      </c>
      <c r="U28">
        <v>18.920000000000002</v>
      </c>
      <c r="V28">
        <v>59.46</v>
      </c>
      <c r="W28" s="17">
        <v>22398.7588</v>
      </c>
    </row>
    <row r="29" spans="7:25" x14ac:dyDescent="0.15">
      <c r="G29" s="11">
        <v>28</v>
      </c>
      <c r="H29" t="s">
        <v>83</v>
      </c>
      <c r="I29" t="s">
        <v>21</v>
      </c>
      <c r="J29" t="s">
        <v>15</v>
      </c>
      <c r="K29" s="43">
        <v>7.9000000000000008E-3</v>
      </c>
      <c r="L29" s="39">
        <v>-4.8000000000000001E-2</v>
      </c>
      <c r="M29" s="39">
        <v>-5.5399999999999998E-2</v>
      </c>
      <c r="N29" s="43">
        <v>-4.3700000000000003E-2</v>
      </c>
      <c r="O29" s="39">
        <v>-0.13919999999999999</v>
      </c>
      <c r="P29" s="39">
        <v>5.0200000000000002E-2</v>
      </c>
      <c r="Q29" s="39">
        <v>-0.12590000000000001</v>
      </c>
      <c r="R29" s="39">
        <v>0.44409999999999999</v>
      </c>
      <c r="S29" s="39">
        <v>1.9395</v>
      </c>
      <c r="T29">
        <v>27.03</v>
      </c>
      <c r="U29">
        <v>27.03</v>
      </c>
      <c r="V29">
        <v>29.73</v>
      </c>
      <c r="W29" s="17">
        <v>7569.6633900000006</v>
      </c>
      <c r="X29" s="83" t="s">
        <v>734</v>
      </c>
    </row>
    <row r="30" spans="7:25" x14ac:dyDescent="0.15">
      <c r="G30" s="11">
        <v>29</v>
      </c>
      <c r="H30" t="s">
        <v>1184</v>
      </c>
      <c r="I30" t="s">
        <v>1183</v>
      </c>
      <c r="J30" t="s">
        <v>15</v>
      </c>
      <c r="K30" s="43">
        <v>1.1299999999999999E-2</v>
      </c>
      <c r="L30" s="39">
        <v>-1.12E-2</v>
      </c>
      <c r="M30" s="39">
        <v>-1.12E-2</v>
      </c>
      <c r="N30" s="43">
        <v>-1.12E-2</v>
      </c>
      <c r="O30" s="39">
        <v>-1.12E-2</v>
      </c>
      <c r="P30" s="39">
        <v>-1.12E-2</v>
      </c>
      <c r="Q30" s="39">
        <v>-1.12E-2</v>
      </c>
      <c r="R30" s="39">
        <v>-1.12E-2</v>
      </c>
      <c r="S30" s="39">
        <v>-1.12E-2</v>
      </c>
      <c r="T30">
        <v>24.32</v>
      </c>
      <c r="U30">
        <v>43.24</v>
      </c>
      <c r="V30">
        <v>10.81</v>
      </c>
      <c r="W30" s="17">
        <v>2828.9070000000002</v>
      </c>
      <c r="X30" s="83" t="s">
        <v>734</v>
      </c>
    </row>
    <row r="31" spans="7:25" x14ac:dyDescent="0.15">
      <c r="G31" s="11">
        <v>30</v>
      </c>
      <c r="H31" t="s">
        <v>199</v>
      </c>
      <c r="I31" t="s">
        <v>381</v>
      </c>
      <c r="J31" t="s">
        <v>15</v>
      </c>
      <c r="K31" s="43">
        <v>7.0000000000000001E-3</v>
      </c>
      <c r="L31" s="39">
        <v>-3.4799999999999998E-2</v>
      </c>
      <c r="M31" s="39">
        <v>-8.8499999999999995E-2</v>
      </c>
      <c r="N31" s="43">
        <v>-6.3E-2</v>
      </c>
      <c r="O31" s="39">
        <v>-0.15540000000000001</v>
      </c>
      <c r="P31" s="39">
        <v>-0.18290000000000001</v>
      </c>
      <c r="Q31" s="39">
        <v>-0.16819999999999999</v>
      </c>
      <c r="R31" s="39">
        <v>-0.46460000000000001</v>
      </c>
      <c r="S31" s="39">
        <v>-0.64449999999999996</v>
      </c>
      <c r="T31">
        <v>21.62</v>
      </c>
      <c r="U31">
        <v>16.22</v>
      </c>
      <c r="V31">
        <v>35.14</v>
      </c>
      <c r="W31" s="17">
        <v>246513.13690000001</v>
      </c>
    </row>
    <row r="32" spans="7:25" x14ac:dyDescent="0.15">
      <c r="G32" s="11">
        <v>31</v>
      </c>
      <c r="H32" t="s">
        <v>444</v>
      </c>
      <c r="I32" t="s">
        <v>445</v>
      </c>
      <c r="J32" t="s">
        <v>15</v>
      </c>
      <c r="K32" s="43">
        <v>4.4000000000000003E-3</v>
      </c>
      <c r="L32" s="39">
        <v>-9.5299999999999996E-2</v>
      </c>
      <c r="M32" s="39">
        <v>-0.1081</v>
      </c>
      <c r="N32" s="43">
        <v>-0.12470000000000001</v>
      </c>
      <c r="O32" s="39">
        <v>-8.3000000000000001E-3</v>
      </c>
      <c r="P32" s="39">
        <v>-0.1022</v>
      </c>
      <c r="Q32" s="39">
        <v>-0.2311</v>
      </c>
      <c r="R32" s="39">
        <v>-0.22639999999999999</v>
      </c>
      <c r="S32" s="39">
        <v>-0.22639999999999999</v>
      </c>
      <c r="T32">
        <v>18.920000000000002</v>
      </c>
      <c r="U32">
        <v>2.7</v>
      </c>
      <c r="V32">
        <v>48.65</v>
      </c>
      <c r="W32" s="17">
        <v>6486.4003663000003</v>
      </c>
      <c r="X32" s="83" t="s">
        <v>734</v>
      </c>
    </row>
    <row r="33" spans="7:24" x14ac:dyDescent="0.15">
      <c r="G33" s="11">
        <v>32</v>
      </c>
      <c r="H33" t="s">
        <v>198</v>
      </c>
      <c r="I33" t="s">
        <v>379</v>
      </c>
      <c r="J33" t="s">
        <v>15</v>
      </c>
      <c r="K33" s="43">
        <v>8.6E-3</v>
      </c>
      <c r="L33" s="39">
        <v>-3.2800000000000003E-2</v>
      </c>
      <c r="M33" s="39">
        <v>-8.1600000000000006E-2</v>
      </c>
      <c r="N33" s="43">
        <v>-5.7599999999999998E-2</v>
      </c>
      <c r="O33" s="39">
        <v>-0.1047</v>
      </c>
      <c r="P33" s="39">
        <v>-8.8499999999999995E-2</v>
      </c>
      <c r="Q33" s="39">
        <v>-4.36E-2</v>
      </c>
      <c r="R33" s="39">
        <v>-0.37659999999999999</v>
      </c>
      <c r="S33" s="39">
        <v>-0.50229999999999997</v>
      </c>
      <c r="T33">
        <v>16.22</v>
      </c>
      <c r="U33">
        <v>21.62</v>
      </c>
      <c r="V33">
        <v>24.32</v>
      </c>
      <c r="W33" s="17">
        <v>260678.25459999999</v>
      </c>
      <c r="X33" s="83" t="s">
        <v>734</v>
      </c>
    </row>
    <row r="34" spans="7:24" x14ac:dyDescent="0.15">
      <c r="G34" s="11">
        <v>33</v>
      </c>
      <c r="H34" t="s">
        <v>442</v>
      </c>
      <c r="I34" t="s">
        <v>443</v>
      </c>
      <c r="J34" t="s">
        <v>15</v>
      </c>
      <c r="K34" s="43">
        <v>5.7999999999999996E-3</v>
      </c>
      <c r="L34" s="39">
        <v>-9.5699999999999993E-2</v>
      </c>
      <c r="M34" s="39">
        <v>-0.10150000000000001</v>
      </c>
      <c r="N34" s="43">
        <v>-0.12039999999999999</v>
      </c>
      <c r="O34" s="39">
        <v>1.6199999999999999E-2</v>
      </c>
      <c r="P34" s="39">
        <v>-6.2399999999999997E-2</v>
      </c>
      <c r="Q34" s="39">
        <v>-0.1784</v>
      </c>
      <c r="R34" s="39">
        <v>-0.22059999999999999</v>
      </c>
      <c r="S34" s="39">
        <v>-0.22059999999999999</v>
      </c>
      <c r="T34">
        <v>13.51</v>
      </c>
      <c r="U34">
        <v>5.41</v>
      </c>
      <c r="V34">
        <v>37.840000000000003</v>
      </c>
      <c r="W34" s="17">
        <v>148191.74419999999</v>
      </c>
      <c r="X34" s="83" t="s">
        <v>734</v>
      </c>
    </row>
    <row r="35" spans="7:24" x14ac:dyDescent="0.15">
      <c r="G35" s="11">
        <v>34</v>
      </c>
      <c r="H35" t="s">
        <v>205</v>
      </c>
      <c r="I35" t="s">
        <v>380</v>
      </c>
      <c r="J35" t="s">
        <v>15</v>
      </c>
      <c r="K35" s="43">
        <v>1.6199999999999999E-2</v>
      </c>
      <c r="L35" s="39">
        <v>-4.3799999999999999E-2</v>
      </c>
      <c r="M35" s="39">
        <v>-4.58E-2</v>
      </c>
      <c r="N35" s="43">
        <v>-3.2300000000000002E-2</v>
      </c>
      <c r="O35" s="39">
        <v>-0.1045</v>
      </c>
      <c r="P35" s="39">
        <v>8.0799999999999997E-2</v>
      </c>
      <c r="Q35" s="39">
        <v>-0.09</v>
      </c>
      <c r="R35" s="39">
        <v>0.66500000000000004</v>
      </c>
      <c r="S35" s="39">
        <v>2.3090999999999999</v>
      </c>
      <c r="T35">
        <v>10.81</v>
      </c>
      <c r="U35">
        <v>32.43</v>
      </c>
      <c r="V35">
        <v>8.11</v>
      </c>
      <c r="W35" s="17">
        <v>368.0456216</v>
      </c>
    </row>
    <row r="36" spans="7:24" x14ac:dyDescent="0.15">
      <c r="G36" s="11">
        <v>35</v>
      </c>
      <c r="H36" t="s">
        <v>191</v>
      </c>
      <c r="I36" t="s">
        <v>374</v>
      </c>
      <c r="J36" t="s">
        <v>15</v>
      </c>
      <c r="K36" s="43">
        <v>8.9999999999999993E-3</v>
      </c>
      <c r="L36" s="39">
        <v>-2.7300000000000001E-2</v>
      </c>
      <c r="M36" s="39">
        <v>-6.6799999999999998E-2</v>
      </c>
      <c r="N36" s="43">
        <v>-5.5100000000000003E-2</v>
      </c>
      <c r="O36" s="39">
        <v>-0.10100000000000001</v>
      </c>
      <c r="P36" s="39">
        <v>-0.14419999999999999</v>
      </c>
      <c r="Q36" s="39">
        <v>-0.1062</v>
      </c>
      <c r="R36" s="39">
        <v>-0.2445</v>
      </c>
      <c r="S36" s="39">
        <v>-0.29570000000000002</v>
      </c>
      <c r="T36">
        <v>8.11</v>
      </c>
      <c r="U36">
        <v>24.32</v>
      </c>
      <c r="V36">
        <v>16.22</v>
      </c>
      <c r="W36" s="17">
        <v>47183.466810000005</v>
      </c>
    </row>
    <row r="37" spans="7:24" x14ac:dyDescent="0.15">
      <c r="G37" s="11">
        <v>36</v>
      </c>
      <c r="H37" t="s">
        <v>147</v>
      </c>
      <c r="I37" t="s">
        <v>1071</v>
      </c>
      <c r="J37" t="s">
        <v>15</v>
      </c>
      <c r="K37" s="43">
        <v>8.3000000000000001E-3</v>
      </c>
      <c r="L37" s="39">
        <v>-8.6199999999999999E-2</v>
      </c>
      <c r="M37" s="39">
        <v>-0.10199999999999999</v>
      </c>
      <c r="N37" s="43">
        <v>-0.1133</v>
      </c>
      <c r="O37" s="39">
        <v>-2.2499999999999999E-2</v>
      </c>
      <c r="P37" s="39">
        <v>-0.1158</v>
      </c>
      <c r="Q37" s="39">
        <v>-0.23139999999999999</v>
      </c>
      <c r="R37" s="39">
        <v>-0.45789999999999997</v>
      </c>
      <c r="S37" s="39">
        <v>-0.55169999999999997</v>
      </c>
      <c r="T37">
        <v>5.41</v>
      </c>
      <c r="U37">
        <v>8.11</v>
      </c>
      <c r="V37">
        <v>27.03</v>
      </c>
      <c r="W37" s="17">
        <v>119866.2409</v>
      </c>
    </row>
    <row r="38" spans="7:24" x14ac:dyDescent="0.15">
      <c r="G38" s="11">
        <v>37</v>
      </c>
      <c r="H38" t="s">
        <v>207</v>
      </c>
      <c r="I38" t="s">
        <v>384</v>
      </c>
      <c r="J38" t="s">
        <v>15</v>
      </c>
      <c r="K38" s="43">
        <v>3.3799999999999997E-2</v>
      </c>
      <c r="L38" s="39">
        <v>-7.4300000000000005E-2</v>
      </c>
      <c r="M38" s="39">
        <v>-7.8E-2</v>
      </c>
      <c r="N38" s="43">
        <v>-7.2300000000000003E-2</v>
      </c>
      <c r="O38" s="39">
        <v>-0.15310000000000001</v>
      </c>
      <c r="P38" s="39">
        <v>6.2399999999999997E-2</v>
      </c>
      <c r="Q38" s="39">
        <v>-6.4600000000000005E-2</v>
      </c>
      <c r="R38" s="39">
        <v>0.24479999999999999</v>
      </c>
      <c r="S38" s="39">
        <v>1.2154</v>
      </c>
      <c r="T38">
        <v>2.7</v>
      </c>
      <c r="U38">
        <v>10.81</v>
      </c>
      <c r="V38">
        <v>5.41</v>
      </c>
      <c r="W38" s="17">
        <v>1020.2002</v>
      </c>
      <c r="X38" s="83" t="s">
        <v>734</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82</v>
      </c>
      <c r="B1" s="19" t="s">
        <v>476</v>
      </c>
      <c r="C1" s="19" t="s">
        <v>477</v>
      </c>
      <c r="D1" s="19" t="s">
        <v>365</v>
      </c>
      <c r="E1" s="22"/>
      <c r="F1" s="23" t="s">
        <v>208</v>
      </c>
      <c r="G1" s="20"/>
      <c r="H1" s="45" t="s">
        <v>475</v>
      </c>
      <c r="I1" s="19" t="s">
        <v>478</v>
      </c>
      <c r="J1" s="18" t="s">
        <v>479</v>
      </c>
      <c r="K1" s="18" t="s">
        <v>480</v>
      </c>
      <c r="L1" s="18" t="s">
        <v>481</v>
      </c>
      <c r="M1" s="18" t="s">
        <v>482</v>
      </c>
      <c r="N1" s="46" t="s">
        <v>483</v>
      </c>
      <c r="O1" s="18" t="s">
        <v>484</v>
      </c>
      <c r="P1" s="46" t="s">
        <v>485</v>
      </c>
      <c r="Q1" s="18" t="s">
        <v>486</v>
      </c>
      <c r="R1" s="46" t="s">
        <v>487</v>
      </c>
      <c r="S1" s="18" t="s">
        <v>488</v>
      </c>
      <c r="T1" s="18" t="s">
        <v>489</v>
      </c>
      <c r="U1" s="46" t="s">
        <v>490</v>
      </c>
      <c r="V1" s="18" t="s">
        <v>491</v>
      </c>
      <c r="W1" s="46" t="s">
        <v>492</v>
      </c>
      <c r="X1" s="18" t="s">
        <v>28</v>
      </c>
      <c r="Y1" s="18" t="s">
        <v>493</v>
      </c>
      <c r="Z1" s="18" t="s">
        <v>494</v>
      </c>
      <c r="AA1" s="18" t="s">
        <v>495</v>
      </c>
      <c r="AB1" s="18" t="s">
        <v>496</v>
      </c>
      <c r="AC1" s="18" t="s">
        <v>497</v>
      </c>
      <c r="AE1" s="87" t="s">
        <v>659</v>
      </c>
    </row>
    <row r="2" spans="1:31" x14ac:dyDescent="0.15">
      <c r="A2">
        <v>1</v>
      </c>
      <c r="B2">
        <v>14</v>
      </c>
      <c r="C2" t="s">
        <v>628</v>
      </c>
      <c r="D2">
        <f>MATCH(B2,$H$2:$H$4000,0)</f>
        <v>77</v>
      </c>
      <c r="G2" s="11">
        <v>1</v>
      </c>
      <c r="H2" s="44">
        <v>600455</v>
      </c>
      <c r="I2" t="s">
        <v>498</v>
      </c>
      <c r="J2" s="17" t="s">
        <v>499</v>
      </c>
      <c r="K2" t="s">
        <v>500</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658</v>
      </c>
      <c r="D3">
        <f t="shared" ref="D3:D11" si="0">MATCH(B3,$H$2:$H$4000,0)</f>
        <v>38</v>
      </c>
      <c r="G3" s="11">
        <v>2</v>
      </c>
      <c r="H3" s="44">
        <v>603860</v>
      </c>
      <c r="I3" t="s">
        <v>501</v>
      </c>
      <c r="J3" s="17" t="s">
        <v>502</v>
      </c>
      <c r="K3" t="s">
        <v>503</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627</v>
      </c>
      <c r="D4">
        <f t="shared" si="0"/>
        <v>76</v>
      </c>
      <c r="G4" s="11">
        <v>3</v>
      </c>
      <c r="H4" s="44">
        <v>300789</v>
      </c>
      <c r="I4" t="s">
        <v>504</v>
      </c>
      <c r="J4" s="17" t="s">
        <v>238</v>
      </c>
      <c r="K4" t="s">
        <v>505</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599</v>
      </c>
      <c r="D5">
        <f t="shared" si="0"/>
        <v>56</v>
      </c>
      <c r="G5" s="11">
        <v>4</v>
      </c>
      <c r="H5" s="44">
        <v>300899</v>
      </c>
      <c r="I5" t="s">
        <v>506</v>
      </c>
      <c r="J5" s="17" t="s">
        <v>507</v>
      </c>
      <c r="K5" t="s">
        <v>508</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504</v>
      </c>
      <c r="D6">
        <f t="shared" si="0"/>
        <v>3</v>
      </c>
      <c r="G6" s="11">
        <v>5</v>
      </c>
      <c r="H6" s="44">
        <v>300929</v>
      </c>
      <c r="I6" t="s">
        <v>509</v>
      </c>
      <c r="J6" s="17" t="s">
        <v>507</v>
      </c>
      <c r="K6" t="s">
        <v>510</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528</v>
      </c>
      <c r="D7">
        <f t="shared" si="0"/>
        <v>13</v>
      </c>
      <c r="G7" s="11">
        <v>6</v>
      </c>
      <c r="H7" s="44">
        <v>603813</v>
      </c>
      <c r="I7" t="s">
        <v>511</v>
      </c>
      <c r="J7" s="17" t="s">
        <v>512</v>
      </c>
      <c r="K7" t="s">
        <v>513</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542</v>
      </c>
      <c r="D8">
        <f t="shared" si="0"/>
        <v>18</v>
      </c>
      <c r="G8" s="11">
        <v>7</v>
      </c>
      <c r="H8" s="44">
        <v>603269</v>
      </c>
      <c r="I8" t="s">
        <v>514</v>
      </c>
      <c r="J8" s="17" t="s">
        <v>515</v>
      </c>
      <c r="K8" t="s">
        <v>516</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650</v>
      </c>
      <c r="D9">
        <f t="shared" si="0"/>
        <v>95</v>
      </c>
      <c r="G9" s="11">
        <v>8</v>
      </c>
      <c r="H9" s="44">
        <v>1211</v>
      </c>
      <c r="I9" t="s">
        <v>517</v>
      </c>
      <c r="J9" s="17" t="s">
        <v>518</v>
      </c>
      <c r="K9" t="s">
        <v>519</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498</v>
      </c>
      <c r="D10">
        <f t="shared" si="0"/>
        <v>1</v>
      </c>
      <c r="G10" s="11">
        <v>9</v>
      </c>
      <c r="H10" s="44">
        <v>2830</v>
      </c>
      <c r="I10" t="s">
        <v>520</v>
      </c>
      <c r="J10" s="17" t="s">
        <v>502</v>
      </c>
      <c r="K10" t="s">
        <v>521</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522</v>
      </c>
      <c r="D11">
        <f t="shared" si="0"/>
        <v>10</v>
      </c>
      <c r="G11" s="11">
        <v>10</v>
      </c>
      <c r="H11" s="44">
        <v>603037</v>
      </c>
      <c r="I11" t="s">
        <v>522</v>
      </c>
      <c r="J11" s="17" t="s">
        <v>523</v>
      </c>
      <c r="K11" t="s">
        <v>524</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525</v>
      </c>
      <c r="J12" s="17" t="s">
        <v>515</v>
      </c>
      <c r="K12" t="s">
        <v>526</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527</v>
      </c>
      <c r="J13" s="17" t="s">
        <v>515</v>
      </c>
      <c r="K13" t="s">
        <v>516</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528</v>
      </c>
      <c r="J14" s="17" t="s">
        <v>529</v>
      </c>
      <c r="K14" t="s">
        <v>530</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531</v>
      </c>
      <c r="J15" s="17" t="s">
        <v>532</v>
      </c>
      <c r="K15" t="s">
        <v>533</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534</v>
      </c>
      <c r="J16" s="17" t="s">
        <v>515</v>
      </c>
      <c r="K16" t="s">
        <v>535</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536</v>
      </c>
      <c r="J17" s="17" t="s">
        <v>537</v>
      </c>
      <c r="K17" t="s">
        <v>538</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539</v>
      </c>
      <c r="J18" s="17" t="s">
        <v>540</v>
      </c>
      <c r="K18" t="s">
        <v>541</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542</v>
      </c>
      <c r="J19" s="17" t="s">
        <v>543</v>
      </c>
      <c r="K19" t="s">
        <v>543</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544</v>
      </c>
      <c r="J20" s="17" t="s">
        <v>502</v>
      </c>
      <c r="K20" t="s">
        <v>545</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546</v>
      </c>
      <c r="J21" s="17" t="s">
        <v>547</v>
      </c>
      <c r="K21" t="s">
        <v>548</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549</v>
      </c>
      <c r="J22" s="17" t="s">
        <v>507</v>
      </c>
      <c r="K22" t="s">
        <v>508</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550</v>
      </c>
      <c r="J23" s="17" t="s">
        <v>551</v>
      </c>
      <c r="K23" t="s">
        <v>552</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553</v>
      </c>
      <c r="J24" s="17" t="s">
        <v>554</v>
      </c>
      <c r="K24" t="s">
        <v>555</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556</v>
      </c>
      <c r="J25" s="17" t="s">
        <v>515</v>
      </c>
      <c r="K25" t="s">
        <v>526</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557</v>
      </c>
      <c r="J26" s="17" t="s">
        <v>551</v>
      </c>
      <c r="K26" t="s">
        <v>552</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558</v>
      </c>
      <c r="J27" s="17" t="s">
        <v>547</v>
      </c>
      <c r="K27" t="s">
        <v>559</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560</v>
      </c>
      <c r="J28" s="17" t="s">
        <v>547</v>
      </c>
      <c r="K28" t="s">
        <v>548</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561</v>
      </c>
      <c r="J29" s="17" t="s">
        <v>547</v>
      </c>
      <c r="K29" t="s">
        <v>559</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562</v>
      </c>
      <c r="J30" s="17" t="s">
        <v>502</v>
      </c>
      <c r="K30" t="s">
        <v>563</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564</v>
      </c>
      <c r="J31" s="17" t="s">
        <v>515</v>
      </c>
      <c r="K31" t="s">
        <v>516</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565</v>
      </c>
      <c r="J32" s="17" t="s">
        <v>529</v>
      </c>
      <c r="K32" t="s">
        <v>566</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567</v>
      </c>
      <c r="J33" s="17" t="s">
        <v>554</v>
      </c>
      <c r="K33" t="s">
        <v>568</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569</v>
      </c>
      <c r="J34" s="17" t="s">
        <v>529</v>
      </c>
      <c r="K34" t="s">
        <v>570</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571</v>
      </c>
      <c r="J35" s="17" t="s">
        <v>518</v>
      </c>
      <c r="K35" t="s">
        <v>519</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572</v>
      </c>
      <c r="J36" s="17" t="s">
        <v>502</v>
      </c>
      <c r="K36" t="s">
        <v>563</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573</v>
      </c>
      <c r="J37" s="17" t="s">
        <v>515</v>
      </c>
      <c r="K37" t="s">
        <v>516</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574</v>
      </c>
      <c r="J38" s="17" t="s">
        <v>515</v>
      </c>
      <c r="K38" t="s">
        <v>516</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575</v>
      </c>
      <c r="J39" s="17" t="s">
        <v>518</v>
      </c>
      <c r="K39" t="s">
        <v>576</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577</v>
      </c>
      <c r="J40" s="17" t="s">
        <v>554</v>
      </c>
      <c r="K40" t="s">
        <v>568</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578</v>
      </c>
      <c r="J41" s="17" t="s">
        <v>512</v>
      </c>
      <c r="K41" t="s">
        <v>579</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580</v>
      </c>
      <c r="J42" s="17" t="s">
        <v>554</v>
      </c>
      <c r="K42" t="s">
        <v>568</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581</v>
      </c>
      <c r="J43" s="17" t="s">
        <v>515</v>
      </c>
      <c r="K43" t="s">
        <v>516</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582</v>
      </c>
      <c r="J44" s="17" t="s">
        <v>515</v>
      </c>
      <c r="K44" t="s">
        <v>535</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583</v>
      </c>
      <c r="J45" s="17" t="s">
        <v>515</v>
      </c>
      <c r="K45" t="s">
        <v>584</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585</v>
      </c>
      <c r="J46" s="17" t="s">
        <v>502</v>
      </c>
      <c r="K46" t="s">
        <v>563</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586</v>
      </c>
      <c r="J47" s="17" t="s">
        <v>502</v>
      </c>
      <c r="K47" t="s">
        <v>563</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587</v>
      </c>
      <c r="J48" s="17" t="s">
        <v>515</v>
      </c>
      <c r="K48" t="s">
        <v>516</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588</v>
      </c>
      <c r="J49" s="17" t="s">
        <v>238</v>
      </c>
      <c r="K49" t="s">
        <v>589</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590</v>
      </c>
      <c r="J50" s="17" t="s">
        <v>518</v>
      </c>
      <c r="K50" t="s">
        <v>519</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591</v>
      </c>
      <c r="J51" s="17" t="s">
        <v>515</v>
      </c>
      <c r="K51" t="s">
        <v>516</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592</v>
      </c>
      <c r="J52" s="17" t="s">
        <v>547</v>
      </c>
      <c r="K52" t="s">
        <v>559</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593</v>
      </c>
      <c r="J53" s="17" t="s">
        <v>551</v>
      </c>
      <c r="K53" t="s">
        <v>594</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595</v>
      </c>
      <c r="J54" s="17" t="s">
        <v>554</v>
      </c>
      <c r="K54" t="s">
        <v>555</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596</v>
      </c>
      <c r="J55" s="17" t="s">
        <v>507</v>
      </c>
      <c r="K55" t="s">
        <v>597</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598</v>
      </c>
      <c r="J56" s="17" t="s">
        <v>515</v>
      </c>
      <c r="K56" t="s">
        <v>526</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599</v>
      </c>
      <c r="J57" s="17" t="s">
        <v>502</v>
      </c>
      <c r="K57" t="s">
        <v>600</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601</v>
      </c>
      <c r="J58" s="17" t="s">
        <v>238</v>
      </c>
      <c r="K58" t="s">
        <v>589</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602</v>
      </c>
      <c r="J59" s="17" t="s">
        <v>507</v>
      </c>
      <c r="K59" t="s">
        <v>603</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604</v>
      </c>
      <c r="J60" s="17" t="s">
        <v>523</v>
      </c>
      <c r="K60" t="s">
        <v>524</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605</v>
      </c>
      <c r="J61" s="17" t="s">
        <v>551</v>
      </c>
      <c r="K61" t="s">
        <v>606</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607</v>
      </c>
      <c r="J62" s="17" t="s">
        <v>502</v>
      </c>
      <c r="K62" t="s">
        <v>600</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608</v>
      </c>
      <c r="J63" s="17" t="s">
        <v>554</v>
      </c>
      <c r="K63" t="s">
        <v>555</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609</v>
      </c>
      <c r="J64" s="17" t="s">
        <v>610</v>
      </c>
      <c r="K64" t="s">
        <v>611</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612</v>
      </c>
      <c r="J65" s="17" t="s">
        <v>554</v>
      </c>
      <c r="K65" t="s">
        <v>555</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613</v>
      </c>
      <c r="J66" s="17" t="s">
        <v>547</v>
      </c>
      <c r="K66" t="s">
        <v>548</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614</v>
      </c>
      <c r="J67" s="17" t="s">
        <v>554</v>
      </c>
      <c r="K67" t="s">
        <v>555</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615</v>
      </c>
      <c r="J68" s="17" t="s">
        <v>523</v>
      </c>
      <c r="K68" t="s">
        <v>524</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616</v>
      </c>
      <c r="J69" s="17" t="s">
        <v>502</v>
      </c>
      <c r="K69" t="s">
        <v>521</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617</v>
      </c>
      <c r="J70" s="17" t="s">
        <v>499</v>
      </c>
      <c r="K70" t="s">
        <v>500</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618</v>
      </c>
      <c r="J71" s="17" t="s">
        <v>554</v>
      </c>
      <c r="K71" t="s">
        <v>555</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619</v>
      </c>
      <c r="J72" s="17" t="s">
        <v>523</v>
      </c>
      <c r="K72" t="s">
        <v>524</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620</v>
      </c>
      <c r="J73" s="17" t="s">
        <v>515</v>
      </c>
      <c r="K73" t="s">
        <v>526</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621</v>
      </c>
      <c r="J74" s="17" t="s">
        <v>622</v>
      </c>
      <c r="K74" t="s">
        <v>623</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624</v>
      </c>
      <c r="J75" s="17" t="s">
        <v>532</v>
      </c>
      <c r="K75" t="s">
        <v>625</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626</v>
      </c>
      <c r="J76" s="17" t="s">
        <v>499</v>
      </c>
      <c r="K76" t="s">
        <v>500</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627</v>
      </c>
      <c r="J77" s="17" t="s">
        <v>515</v>
      </c>
      <c r="K77" t="s">
        <v>584</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628</v>
      </c>
      <c r="J78" s="17" t="s">
        <v>540</v>
      </c>
      <c r="K78" t="s">
        <v>541</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629</v>
      </c>
      <c r="J79" s="17" t="s">
        <v>228</v>
      </c>
      <c r="K79" t="s">
        <v>630</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631</v>
      </c>
      <c r="J80" s="17" t="s">
        <v>515</v>
      </c>
      <c r="K80" t="s">
        <v>535</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632</v>
      </c>
      <c r="J81" s="17" t="s">
        <v>532</v>
      </c>
      <c r="K81" t="s">
        <v>625</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633</v>
      </c>
      <c r="J82" s="17" t="s">
        <v>547</v>
      </c>
      <c r="K82" t="s">
        <v>548</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634</v>
      </c>
      <c r="J83" s="17" t="s">
        <v>502</v>
      </c>
      <c r="K83" t="s">
        <v>545</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635</v>
      </c>
      <c r="J84" s="17" t="s">
        <v>610</v>
      </c>
      <c r="K84" t="s">
        <v>636</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637</v>
      </c>
      <c r="J85" s="17" t="s">
        <v>502</v>
      </c>
      <c r="K85" t="s">
        <v>600</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638</v>
      </c>
      <c r="J86" s="17" t="s">
        <v>554</v>
      </c>
      <c r="K86" t="s">
        <v>568</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639</v>
      </c>
      <c r="J87" s="17" t="s">
        <v>554</v>
      </c>
      <c r="K87" t="s">
        <v>568</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640</v>
      </c>
      <c r="J88" s="17" t="s">
        <v>622</v>
      </c>
      <c r="K88" t="s">
        <v>623</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641</v>
      </c>
      <c r="J89" s="17" t="s">
        <v>502</v>
      </c>
      <c r="K89" t="s">
        <v>545</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642</v>
      </c>
      <c r="J90" s="17" t="s">
        <v>529</v>
      </c>
      <c r="K90" t="s">
        <v>530</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643</v>
      </c>
      <c r="J91" s="17" t="s">
        <v>554</v>
      </c>
      <c r="K91" t="s">
        <v>644</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645</v>
      </c>
      <c r="J92" s="17" t="s">
        <v>554</v>
      </c>
      <c r="K92" t="s">
        <v>555</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646</v>
      </c>
      <c r="J93" s="17" t="s">
        <v>622</v>
      </c>
      <c r="K93" t="s">
        <v>647</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648</v>
      </c>
      <c r="J94" s="17" t="s">
        <v>523</v>
      </c>
      <c r="K94" t="s">
        <v>524</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649</v>
      </c>
      <c r="J95" s="17" t="s">
        <v>515</v>
      </c>
      <c r="K95" t="s">
        <v>535</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650</v>
      </c>
      <c r="J96" s="17" t="s">
        <v>554</v>
      </c>
      <c r="K96" t="s">
        <v>644</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651</v>
      </c>
      <c r="J97" s="17" t="s">
        <v>622</v>
      </c>
      <c r="K97" t="s">
        <v>652</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653</v>
      </c>
      <c r="J98" s="17" t="s">
        <v>537</v>
      </c>
      <c r="K98" t="s">
        <v>538</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654</v>
      </c>
      <c r="J99" s="17" t="s">
        <v>622</v>
      </c>
      <c r="K99" t="s">
        <v>623</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655</v>
      </c>
      <c r="J100" s="17" t="s">
        <v>610</v>
      </c>
      <c r="K100" t="s">
        <v>656</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657</v>
      </c>
      <c r="J101" s="17" t="s">
        <v>507</v>
      </c>
      <c r="K101" t="s">
        <v>603</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773</v>
      </c>
      <c r="P1" s="86" t="s">
        <v>774</v>
      </c>
      <c r="Q1" s="86" t="s">
        <v>489</v>
      </c>
      <c r="R1" s="86" t="s">
        <v>775</v>
      </c>
      <c r="S1" s="86" t="s">
        <v>776</v>
      </c>
      <c r="T1" s="86" t="s">
        <v>777</v>
      </c>
      <c r="U1" s="86" t="s">
        <v>778</v>
      </c>
      <c r="V1" s="86" t="s">
        <v>28</v>
      </c>
      <c r="W1" s="86" t="s">
        <v>779</v>
      </c>
      <c r="X1" s="86" t="s">
        <v>780</v>
      </c>
      <c r="Y1" s="18" t="s">
        <v>497</v>
      </c>
      <c r="AA1" s="87" t="s">
        <v>772</v>
      </c>
    </row>
    <row r="2" spans="1:27" x14ac:dyDescent="0.15">
      <c r="A2">
        <v>1</v>
      </c>
      <c r="B2">
        <v>600704</v>
      </c>
      <c r="C2" t="s">
        <v>925</v>
      </c>
      <c r="D2" t="e">
        <f t="shared" ref="D2:D11" si="0">MATCH(B2,$H$2:$H$3898,0)</f>
        <v>#N/A</v>
      </c>
      <c r="G2" s="11">
        <v>1</v>
      </c>
      <c r="H2" s="84">
        <v>603071</v>
      </c>
      <c r="I2" s="84" t="s">
        <v>781</v>
      </c>
      <c r="J2" s="84" t="s">
        <v>507</v>
      </c>
      <c r="K2" s="84" t="s">
        <v>603</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798</v>
      </c>
      <c r="D3">
        <f t="shared" si="0"/>
        <v>13</v>
      </c>
      <c r="G3" s="11">
        <v>2</v>
      </c>
      <c r="H3" s="84">
        <v>600998</v>
      </c>
      <c r="I3" s="84" t="s">
        <v>782</v>
      </c>
      <c r="J3" s="84" t="s">
        <v>783</v>
      </c>
      <c r="K3" s="84" t="s">
        <v>784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793</v>
      </c>
      <c r="D4">
        <f t="shared" si="0"/>
        <v>8</v>
      </c>
      <c r="G4" s="11">
        <v>3</v>
      </c>
      <c r="H4" s="84">
        <v>600073</v>
      </c>
      <c r="I4" s="84" t="s">
        <v>785</v>
      </c>
      <c r="J4" s="84" t="s">
        <v>786</v>
      </c>
      <c r="K4" s="84" t="s">
        <v>787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794</v>
      </c>
      <c r="D5">
        <f t="shared" si="0"/>
        <v>9</v>
      </c>
      <c r="G5" s="11">
        <v>4</v>
      </c>
      <c r="H5" s="84">
        <v>600362</v>
      </c>
      <c r="I5" s="84" t="s">
        <v>788</v>
      </c>
      <c r="J5" s="84" t="s">
        <v>228</v>
      </c>
      <c r="K5" s="84" t="s">
        <v>630</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788</v>
      </c>
      <c r="D6">
        <f t="shared" si="0"/>
        <v>4</v>
      </c>
      <c r="G6" s="11">
        <v>5</v>
      </c>
      <c r="H6" s="84">
        <v>600820</v>
      </c>
      <c r="I6" s="84" t="s">
        <v>789</v>
      </c>
      <c r="J6" s="84" t="s">
        <v>502</v>
      </c>
      <c r="K6" s="84" t="s">
        <v>503</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926</v>
      </c>
      <c r="D7" t="e">
        <f t="shared" si="0"/>
        <v>#N/A</v>
      </c>
      <c r="G7" s="11">
        <v>6</v>
      </c>
      <c r="H7" s="84">
        <v>601607</v>
      </c>
      <c r="I7" s="84" t="s">
        <v>790</v>
      </c>
      <c r="J7" s="84" t="s">
        <v>783</v>
      </c>
      <c r="K7" s="84" t="s">
        <v>784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795</v>
      </c>
      <c r="D8">
        <f t="shared" si="0"/>
        <v>10</v>
      </c>
      <c r="G8" s="11">
        <v>7</v>
      </c>
      <c r="H8" s="84">
        <v>600755</v>
      </c>
      <c r="I8" s="84" t="s">
        <v>791</v>
      </c>
      <c r="J8" s="84" t="s">
        <v>610</v>
      </c>
      <c r="K8" s="84" t="s">
        <v>792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813</v>
      </c>
      <c r="D9">
        <f t="shared" si="0"/>
        <v>23</v>
      </c>
      <c r="G9" s="11">
        <v>8</v>
      </c>
      <c r="H9" s="84">
        <v>601618</v>
      </c>
      <c r="I9" s="84" t="s">
        <v>793</v>
      </c>
      <c r="J9" s="84" t="s">
        <v>502</v>
      </c>
      <c r="K9" s="84" t="s">
        <v>545</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781</v>
      </c>
      <c r="D10">
        <f t="shared" si="0"/>
        <v>1</v>
      </c>
      <c r="G10" s="11">
        <v>9</v>
      </c>
      <c r="H10" s="84">
        <v>600713</v>
      </c>
      <c r="I10" s="84" t="s">
        <v>794</v>
      </c>
      <c r="J10" s="84" t="s">
        <v>783</v>
      </c>
      <c r="K10" s="84" t="s">
        <v>784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789</v>
      </c>
      <c r="D11">
        <f t="shared" si="0"/>
        <v>5</v>
      </c>
      <c r="G11" s="11">
        <v>10</v>
      </c>
      <c r="H11" s="84">
        <v>600710</v>
      </c>
      <c r="I11" s="84" t="s">
        <v>795</v>
      </c>
      <c r="J11" s="84" t="s">
        <v>610</v>
      </c>
      <c r="K11" s="84" t="s">
        <v>792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796</v>
      </c>
      <c r="J12" s="84" t="s">
        <v>502</v>
      </c>
      <c r="K12" s="84" t="s">
        <v>503</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797</v>
      </c>
      <c r="J13" s="84" t="s">
        <v>783</v>
      </c>
      <c r="K13" s="84" t="s">
        <v>784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798</v>
      </c>
      <c r="J14" s="84" t="s">
        <v>799</v>
      </c>
      <c r="K14" s="84" t="s">
        <v>800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801</v>
      </c>
      <c r="J15" s="84" t="s">
        <v>523</v>
      </c>
      <c r="K15" s="84" t="s">
        <v>524</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802</v>
      </c>
      <c r="J16" s="84" t="s">
        <v>228</v>
      </c>
      <c r="K16" s="84" t="s">
        <v>630</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803</v>
      </c>
      <c r="J17" s="84" t="s">
        <v>512</v>
      </c>
      <c r="K17" s="84" t="s">
        <v>513</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804</v>
      </c>
      <c r="J18" s="84" t="s">
        <v>518</v>
      </c>
      <c r="K18" s="84" t="s">
        <v>519</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805</v>
      </c>
      <c r="J19" s="84" t="s">
        <v>806</v>
      </c>
      <c r="K19" s="84" t="s">
        <v>807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808</v>
      </c>
      <c r="J20" s="84" t="s">
        <v>512</v>
      </c>
      <c r="K20" s="84" t="s">
        <v>513</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809</v>
      </c>
      <c r="J21" s="84" t="s">
        <v>515</v>
      </c>
      <c r="K21" s="84" t="s">
        <v>535</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810</v>
      </c>
      <c r="J22" s="84" t="s">
        <v>811</v>
      </c>
      <c r="K22" s="84" t="s">
        <v>811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812</v>
      </c>
      <c r="J23" s="84" t="s">
        <v>811</v>
      </c>
      <c r="K23" s="84" t="s">
        <v>811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813</v>
      </c>
      <c r="J24" s="84" t="s">
        <v>502</v>
      </c>
      <c r="K24" s="84" t="s">
        <v>503</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814</v>
      </c>
      <c r="J25" s="84" t="s">
        <v>507</v>
      </c>
      <c r="K25" s="84" t="s">
        <v>603</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815</v>
      </c>
      <c r="J26" s="84" t="s">
        <v>518</v>
      </c>
      <c r="K26" s="84" t="s">
        <v>519</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816</v>
      </c>
      <c r="J27" s="84" t="s">
        <v>610</v>
      </c>
      <c r="K27" s="84" t="s">
        <v>792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817</v>
      </c>
      <c r="J28" s="84" t="s">
        <v>515</v>
      </c>
      <c r="K28" s="84" t="s">
        <v>526</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818</v>
      </c>
      <c r="J29" s="84" t="s">
        <v>512</v>
      </c>
      <c r="K29" s="84" t="s">
        <v>513</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819</v>
      </c>
      <c r="J30" s="84" t="s">
        <v>820</v>
      </c>
      <c r="K30" s="84" t="s">
        <v>821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822</v>
      </c>
      <c r="J31" s="84" t="s">
        <v>529</v>
      </c>
      <c r="K31" s="84" t="s">
        <v>566</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823</v>
      </c>
      <c r="J32" s="84" t="s">
        <v>622</v>
      </c>
      <c r="K32" s="84" t="s">
        <v>623</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824</v>
      </c>
      <c r="J33" s="84" t="s">
        <v>811</v>
      </c>
      <c r="K33" s="84" t="s">
        <v>811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825</v>
      </c>
      <c r="J34" s="84" t="s">
        <v>507</v>
      </c>
      <c r="K34" s="84" t="s">
        <v>510</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826</v>
      </c>
      <c r="J35" s="84" t="s">
        <v>610</v>
      </c>
      <c r="K35" s="84" t="s">
        <v>611</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827</v>
      </c>
      <c r="J36" s="84" t="s">
        <v>554</v>
      </c>
      <c r="K36" s="84" t="s">
        <v>568</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828</v>
      </c>
      <c r="J37" s="84" t="s">
        <v>512</v>
      </c>
      <c r="K37" s="84" t="s">
        <v>513</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829</v>
      </c>
      <c r="J38" s="84" t="s">
        <v>502</v>
      </c>
      <c r="K38" s="84" t="s">
        <v>503</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830</v>
      </c>
      <c r="J39" s="84" t="s">
        <v>515</v>
      </c>
      <c r="K39" s="84" t="s">
        <v>526</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831</v>
      </c>
      <c r="J40" s="84" t="s">
        <v>507</v>
      </c>
      <c r="K40" s="84" t="s">
        <v>597</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832</v>
      </c>
      <c r="J41" s="84" t="s">
        <v>502</v>
      </c>
      <c r="K41" s="84" t="s">
        <v>503</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833</v>
      </c>
      <c r="J42" s="84" t="s">
        <v>820</v>
      </c>
      <c r="K42" s="84" t="s">
        <v>834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835</v>
      </c>
      <c r="J43" s="84" t="s">
        <v>502</v>
      </c>
      <c r="K43" s="84" t="s">
        <v>521</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836</v>
      </c>
      <c r="J44" s="84" t="s">
        <v>554</v>
      </c>
      <c r="K44" s="84" t="s">
        <v>555</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837</v>
      </c>
      <c r="J45" s="84" t="s">
        <v>783</v>
      </c>
      <c r="K45" s="84" t="s">
        <v>784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838</v>
      </c>
      <c r="J46" s="84" t="s">
        <v>507</v>
      </c>
      <c r="K46" s="84" t="s">
        <v>508</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839</v>
      </c>
      <c r="J47" s="84" t="s">
        <v>799</v>
      </c>
      <c r="K47" s="84" t="s">
        <v>800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840</v>
      </c>
      <c r="J48" s="84" t="s">
        <v>811</v>
      </c>
      <c r="K48" s="84" t="s">
        <v>811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841</v>
      </c>
      <c r="J49" s="84" t="s">
        <v>811</v>
      </c>
      <c r="K49" s="84" t="s">
        <v>811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842</v>
      </c>
      <c r="J50" s="84" t="s">
        <v>507</v>
      </c>
      <c r="K50" s="84" t="s">
        <v>603</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843</v>
      </c>
      <c r="J51" s="84" t="s">
        <v>507</v>
      </c>
      <c r="K51" s="84" t="s">
        <v>510</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844</v>
      </c>
      <c r="J52" s="84" t="s">
        <v>507</v>
      </c>
      <c r="K52" s="84" t="s">
        <v>603</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845</v>
      </c>
      <c r="J53" s="84" t="s">
        <v>811</v>
      </c>
      <c r="K53" s="84" t="s">
        <v>811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846</v>
      </c>
      <c r="J54" s="84" t="s">
        <v>518</v>
      </c>
      <c r="K54" s="84" t="s">
        <v>519</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847</v>
      </c>
      <c r="J55" s="84" t="s">
        <v>502</v>
      </c>
      <c r="K55" s="84" t="s">
        <v>503</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848</v>
      </c>
      <c r="J56" s="84" t="s">
        <v>786</v>
      </c>
      <c r="K56" s="84" t="s">
        <v>787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849</v>
      </c>
      <c r="J57" s="84" t="s">
        <v>551</v>
      </c>
      <c r="K57" s="84" t="s">
        <v>552</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850</v>
      </c>
      <c r="J58" s="84" t="s">
        <v>811</v>
      </c>
      <c r="K58" s="84" t="s">
        <v>811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851</v>
      </c>
      <c r="J59" s="84" t="s">
        <v>547</v>
      </c>
      <c r="K59" s="84" t="s">
        <v>559</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852</v>
      </c>
      <c r="J60" s="84" t="s">
        <v>811</v>
      </c>
      <c r="K60" s="84" t="s">
        <v>811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853</v>
      </c>
      <c r="J61" s="84" t="s">
        <v>811</v>
      </c>
      <c r="K61" s="84" t="s">
        <v>811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854</v>
      </c>
      <c r="J62" s="84" t="s">
        <v>518</v>
      </c>
      <c r="K62" s="84" t="s">
        <v>519</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855</v>
      </c>
      <c r="J63" s="84" t="s">
        <v>554</v>
      </c>
      <c r="K63" s="84" t="s">
        <v>856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857</v>
      </c>
      <c r="J64" s="84" t="s">
        <v>502</v>
      </c>
      <c r="K64" s="84" t="s">
        <v>545</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858</v>
      </c>
      <c r="J65" s="84" t="s">
        <v>551</v>
      </c>
      <c r="K65" s="84" t="s">
        <v>594</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859</v>
      </c>
      <c r="J66" s="84" t="s">
        <v>820</v>
      </c>
      <c r="K66" s="84" t="s">
        <v>860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861</v>
      </c>
      <c r="J67" s="84" t="s">
        <v>783</v>
      </c>
      <c r="K67" s="84" t="s">
        <v>246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862</v>
      </c>
      <c r="J68" s="84" t="s">
        <v>507</v>
      </c>
      <c r="K68" s="84" t="s">
        <v>597</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863</v>
      </c>
      <c r="J69" s="84" t="s">
        <v>502</v>
      </c>
      <c r="K69" s="84" t="s">
        <v>503</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864</v>
      </c>
      <c r="J70" s="84" t="s">
        <v>551</v>
      </c>
      <c r="K70" s="84" t="s">
        <v>594</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865</v>
      </c>
      <c r="J71" s="84" t="s">
        <v>502</v>
      </c>
      <c r="K71" s="84" t="s">
        <v>503</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866</v>
      </c>
      <c r="J72" s="84" t="s">
        <v>502</v>
      </c>
      <c r="K72" s="84" t="s">
        <v>503</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867</v>
      </c>
      <c r="J73" s="84" t="s">
        <v>554</v>
      </c>
      <c r="K73" s="84" t="s">
        <v>568</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868</v>
      </c>
      <c r="J74" s="84" t="s">
        <v>540</v>
      </c>
      <c r="K74" s="84" t="s">
        <v>541</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869</v>
      </c>
      <c r="J75" s="84" t="s">
        <v>518</v>
      </c>
      <c r="K75" s="84" t="s">
        <v>870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871</v>
      </c>
      <c r="J76" s="84" t="s">
        <v>622</v>
      </c>
      <c r="K76" s="84" t="s">
        <v>647</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872</v>
      </c>
      <c r="J77" s="84" t="s">
        <v>518</v>
      </c>
      <c r="K77" s="84" t="s">
        <v>576</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873</v>
      </c>
      <c r="J78" s="84" t="s">
        <v>529</v>
      </c>
      <c r="K78" s="84" t="s">
        <v>874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875</v>
      </c>
      <c r="J79" s="84" t="s">
        <v>228</v>
      </c>
      <c r="K79" s="84" t="s">
        <v>630</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876</v>
      </c>
      <c r="J80" s="84" t="s">
        <v>554</v>
      </c>
      <c r="K80" s="84" t="s">
        <v>568</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877</v>
      </c>
      <c r="J81" s="84" t="s">
        <v>811</v>
      </c>
      <c r="K81" s="84" t="s">
        <v>811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878</v>
      </c>
      <c r="J82" s="84" t="s">
        <v>783</v>
      </c>
      <c r="K82" s="84" t="s">
        <v>879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880</v>
      </c>
      <c r="J83" s="84" t="s">
        <v>554</v>
      </c>
      <c r="K83" s="84" t="s">
        <v>856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881</v>
      </c>
      <c r="J84" s="84" t="s">
        <v>882</v>
      </c>
      <c r="K84" s="84" t="s">
        <v>883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884</v>
      </c>
      <c r="J85" s="84" t="s">
        <v>820</v>
      </c>
      <c r="K85" s="84" t="s">
        <v>834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885</v>
      </c>
      <c r="J86" s="84" t="s">
        <v>811</v>
      </c>
      <c r="K86" s="84" t="s">
        <v>811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886</v>
      </c>
      <c r="J87" s="84" t="s">
        <v>811</v>
      </c>
      <c r="K87" s="84" t="s">
        <v>811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887</v>
      </c>
      <c r="J88" s="84" t="s">
        <v>811</v>
      </c>
      <c r="K88" s="84" t="s">
        <v>811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888</v>
      </c>
      <c r="J89" s="84" t="s">
        <v>783</v>
      </c>
      <c r="K89" s="84" t="s">
        <v>246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889</v>
      </c>
      <c r="J90" s="84" t="s">
        <v>529</v>
      </c>
      <c r="K90" s="84" t="s">
        <v>874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890</v>
      </c>
      <c r="J91" s="84" t="s">
        <v>499</v>
      </c>
      <c r="K91" s="84" t="s">
        <v>500</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891</v>
      </c>
      <c r="J92" s="84" t="s">
        <v>551</v>
      </c>
      <c r="K92" s="84" t="s">
        <v>594</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892</v>
      </c>
      <c r="J93" s="84" t="s">
        <v>507</v>
      </c>
      <c r="K93" s="84" t="s">
        <v>597</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893</v>
      </c>
      <c r="J94" s="84" t="s">
        <v>537</v>
      </c>
      <c r="K94" s="84" t="s">
        <v>894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895</v>
      </c>
      <c r="J95" s="84" t="s">
        <v>554</v>
      </c>
      <c r="K95" s="84" t="s">
        <v>568</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896</v>
      </c>
      <c r="J96" s="84" t="s">
        <v>547</v>
      </c>
      <c r="K96" s="84" t="s">
        <v>559</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897</v>
      </c>
      <c r="J97" s="84" t="s">
        <v>622</v>
      </c>
      <c r="K97" s="84" t="s">
        <v>623</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898</v>
      </c>
      <c r="J98" s="84" t="s">
        <v>547</v>
      </c>
      <c r="K98" s="84" t="s">
        <v>548</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899</v>
      </c>
      <c r="J99" s="84" t="s">
        <v>515</v>
      </c>
      <c r="K99" s="84" t="s">
        <v>526</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900</v>
      </c>
      <c r="J100" s="84" t="s">
        <v>515</v>
      </c>
      <c r="K100" s="84" t="s">
        <v>526</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901</v>
      </c>
      <c r="J101" s="84" t="s">
        <v>811</v>
      </c>
      <c r="K101" s="84" t="s">
        <v>811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928</v>
      </c>
      <c r="P1" s="86" t="s">
        <v>929</v>
      </c>
      <c r="Q1" s="86" t="s">
        <v>930</v>
      </c>
      <c r="R1" s="86" t="s">
        <v>931</v>
      </c>
      <c r="S1" s="86" t="s">
        <v>932</v>
      </c>
      <c r="T1" s="86" t="s">
        <v>778</v>
      </c>
      <c r="U1" s="86" t="s">
        <v>933</v>
      </c>
      <c r="V1" s="86" t="s">
        <v>28</v>
      </c>
      <c r="W1" s="86" t="s">
        <v>780</v>
      </c>
      <c r="X1" s="86" t="s">
        <v>934</v>
      </c>
      <c r="Y1" s="18" t="s">
        <v>497</v>
      </c>
      <c r="AA1" s="87" t="s">
        <v>927</v>
      </c>
    </row>
    <row r="2" spans="1:27" x14ac:dyDescent="0.15">
      <c r="A2">
        <v>1</v>
      </c>
      <c r="B2">
        <v>895</v>
      </c>
      <c r="C2" t="s">
        <v>848</v>
      </c>
      <c r="D2">
        <f t="shared" ref="D2:D11" si="0">MATCH(B2,$H$2:$H$3879,0)</f>
        <v>1</v>
      </c>
      <c r="G2" s="11">
        <v>1</v>
      </c>
      <c r="H2" s="85">
        <v>895</v>
      </c>
      <c r="I2" s="85" t="s">
        <v>848</v>
      </c>
      <c r="J2" s="85" t="s">
        <v>786</v>
      </c>
      <c r="K2" s="85" t="s">
        <v>787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956</v>
      </c>
      <c r="D3">
        <f t="shared" si="0"/>
        <v>31</v>
      </c>
      <c r="G3" s="11">
        <v>2</v>
      </c>
      <c r="H3" s="85">
        <v>601156</v>
      </c>
      <c r="I3" s="85" t="s">
        <v>935</v>
      </c>
      <c r="J3" s="85" t="s">
        <v>512</v>
      </c>
      <c r="K3" s="85" t="s">
        <v>513</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815</v>
      </c>
      <c r="D4">
        <f t="shared" si="0"/>
        <v>88</v>
      </c>
      <c r="G4" s="11">
        <v>3</v>
      </c>
      <c r="H4" s="85">
        <v>429</v>
      </c>
      <c r="I4" s="85" t="s">
        <v>936</v>
      </c>
      <c r="J4" s="85" t="s">
        <v>512</v>
      </c>
      <c r="K4" s="85" t="s">
        <v>937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963</v>
      </c>
      <c r="D5">
        <f t="shared" si="0"/>
        <v>47</v>
      </c>
      <c r="G5" s="11">
        <v>4</v>
      </c>
      <c r="H5" s="85">
        <v>600179</v>
      </c>
      <c r="I5" s="85" t="s">
        <v>938</v>
      </c>
      <c r="J5" s="85" t="s">
        <v>512</v>
      </c>
      <c r="K5" s="85" t="s">
        <v>513</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915</v>
      </c>
      <c r="D6">
        <f t="shared" si="0"/>
        <v>23</v>
      </c>
      <c r="G6" s="11">
        <v>5</v>
      </c>
      <c r="H6" s="85">
        <v>603071</v>
      </c>
      <c r="I6" s="85" t="s">
        <v>781</v>
      </c>
      <c r="J6" s="85" t="s">
        <v>507</v>
      </c>
      <c r="K6" s="85" t="s">
        <v>603</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936</v>
      </c>
      <c r="D7">
        <f t="shared" si="0"/>
        <v>3</v>
      </c>
      <c r="G7" s="11">
        <v>6</v>
      </c>
      <c r="H7" s="85">
        <v>600519</v>
      </c>
      <c r="I7" s="85" t="s">
        <v>939</v>
      </c>
      <c r="J7" s="85" t="s">
        <v>786</v>
      </c>
      <c r="K7" s="85" t="s">
        <v>919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939</v>
      </c>
      <c r="D8">
        <f t="shared" si="0"/>
        <v>6</v>
      </c>
      <c r="G8" s="11">
        <v>7</v>
      </c>
      <c r="H8" s="85">
        <v>600039</v>
      </c>
      <c r="I8" s="85" t="s">
        <v>865</v>
      </c>
      <c r="J8" s="85" t="s">
        <v>502</v>
      </c>
      <c r="K8" s="85" t="s">
        <v>503</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959</v>
      </c>
      <c r="D9">
        <f t="shared" si="0"/>
        <v>37</v>
      </c>
      <c r="G9" s="11">
        <v>8</v>
      </c>
      <c r="H9" s="85">
        <v>600064</v>
      </c>
      <c r="I9" s="85" t="s">
        <v>940</v>
      </c>
      <c r="J9" s="85" t="s">
        <v>540</v>
      </c>
      <c r="K9" s="85" t="s">
        <v>941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938</v>
      </c>
      <c r="D10">
        <f t="shared" si="0"/>
        <v>4</v>
      </c>
      <c r="G10" s="11">
        <v>9</v>
      </c>
      <c r="H10" s="85">
        <v>600461</v>
      </c>
      <c r="I10" s="85" t="s">
        <v>942</v>
      </c>
      <c r="J10" s="85" t="s">
        <v>507</v>
      </c>
      <c r="K10" s="85" t="s">
        <v>510</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854</v>
      </c>
      <c r="D11">
        <f t="shared" si="0"/>
        <v>24</v>
      </c>
      <c r="G11" s="11">
        <v>10</v>
      </c>
      <c r="H11" s="85">
        <v>600598</v>
      </c>
      <c r="I11" s="85" t="s">
        <v>943</v>
      </c>
      <c r="J11" s="85" t="s">
        <v>529</v>
      </c>
      <c r="K11" s="85" t="s">
        <v>530</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944</v>
      </c>
      <c r="J12" s="85" t="s">
        <v>512</v>
      </c>
      <c r="K12" s="85" t="s">
        <v>945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913</v>
      </c>
      <c r="J13" s="85" t="s">
        <v>811</v>
      </c>
      <c r="K13" s="85" t="s">
        <v>811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921</v>
      </c>
      <c r="J14" s="85" t="s">
        <v>507</v>
      </c>
      <c r="K14" s="85" t="s">
        <v>508</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946</v>
      </c>
      <c r="J15" s="85" t="s">
        <v>610</v>
      </c>
      <c r="K15" s="85" t="s">
        <v>636</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947</v>
      </c>
      <c r="J16" s="85" t="s">
        <v>610</v>
      </c>
      <c r="K16" s="85" t="s">
        <v>656</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948</v>
      </c>
      <c r="J17" s="85" t="s">
        <v>529</v>
      </c>
      <c r="K17" s="85" t="s">
        <v>874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949</v>
      </c>
      <c r="J18" s="85" t="s">
        <v>811</v>
      </c>
      <c r="K18" s="85" t="s">
        <v>811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903</v>
      </c>
      <c r="J19" s="85" t="s">
        <v>811</v>
      </c>
      <c r="K19" s="85" t="s">
        <v>811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914</v>
      </c>
      <c r="J20" s="85" t="s">
        <v>554</v>
      </c>
      <c r="K20" s="85" t="s">
        <v>568</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804</v>
      </c>
      <c r="J21" s="85" t="s">
        <v>518</v>
      </c>
      <c r="K21" s="85" t="s">
        <v>519</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900</v>
      </c>
      <c r="J22" s="85" t="s">
        <v>515</v>
      </c>
      <c r="K22" s="85" t="s">
        <v>526</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911</v>
      </c>
      <c r="J23" s="85" t="s">
        <v>811</v>
      </c>
      <c r="K23" s="85" t="s">
        <v>811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915</v>
      </c>
      <c r="J24" s="85" t="s">
        <v>882</v>
      </c>
      <c r="K24" s="85" t="s">
        <v>902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854</v>
      </c>
      <c r="J25" s="85" t="s">
        <v>518</v>
      </c>
      <c r="K25" s="85" t="s">
        <v>519</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950</v>
      </c>
      <c r="J26" s="85" t="s">
        <v>507</v>
      </c>
      <c r="K26" s="85" t="s">
        <v>510</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951</v>
      </c>
      <c r="J27" s="85" t="s">
        <v>507</v>
      </c>
      <c r="K27" s="85" t="s">
        <v>508</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905</v>
      </c>
      <c r="J28" s="85" t="s">
        <v>786</v>
      </c>
      <c r="K28" s="85" t="s">
        <v>787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952</v>
      </c>
      <c r="J29" s="85" t="s">
        <v>554</v>
      </c>
      <c r="K29" s="85" t="s">
        <v>568</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953</v>
      </c>
      <c r="J30" s="85" t="s">
        <v>554</v>
      </c>
      <c r="K30" s="85" t="s">
        <v>568</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954</v>
      </c>
      <c r="J31" s="85" t="s">
        <v>512</v>
      </c>
      <c r="K31" s="85" t="s">
        <v>955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956</v>
      </c>
      <c r="J32" s="85" t="s">
        <v>783</v>
      </c>
      <c r="K32" s="85" t="s">
        <v>957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912</v>
      </c>
      <c r="J33" s="85" t="s">
        <v>811</v>
      </c>
      <c r="K33" s="85" t="s">
        <v>811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925</v>
      </c>
      <c r="J34" s="85" t="s">
        <v>512</v>
      </c>
      <c r="K34" s="85" t="s">
        <v>513</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907</v>
      </c>
      <c r="J35" s="85" t="s">
        <v>811</v>
      </c>
      <c r="K35" s="85" t="s">
        <v>811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958</v>
      </c>
      <c r="J36" s="85" t="s">
        <v>512</v>
      </c>
      <c r="K36" s="85" t="s">
        <v>945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824</v>
      </c>
      <c r="J37" s="85" t="s">
        <v>811</v>
      </c>
      <c r="K37" s="85" t="s">
        <v>811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959</v>
      </c>
      <c r="J38" s="85" t="s">
        <v>783</v>
      </c>
      <c r="K38" s="85" t="s">
        <v>246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825</v>
      </c>
      <c r="J39" s="85" t="s">
        <v>507</v>
      </c>
      <c r="K39" s="85" t="s">
        <v>510</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960</v>
      </c>
      <c r="J40" s="85" t="s">
        <v>786</v>
      </c>
      <c r="K40" s="85" t="s">
        <v>919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922</v>
      </c>
      <c r="J41" s="85" t="s">
        <v>799</v>
      </c>
      <c r="K41" s="85" t="s">
        <v>923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961</v>
      </c>
      <c r="J42" s="85" t="s">
        <v>507</v>
      </c>
      <c r="K42" s="85" t="s">
        <v>510</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840</v>
      </c>
      <c r="J43" s="85" t="s">
        <v>811</v>
      </c>
      <c r="K43" s="85" t="s">
        <v>811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850</v>
      </c>
      <c r="J44" s="85" t="s">
        <v>811</v>
      </c>
      <c r="K44" s="85" t="s">
        <v>811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901</v>
      </c>
      <c r="J45" s="85" t="s">
        <v>811</v>
      </c>
      <c r="K45" s="85" t="s">
        <v>811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892</v>
      </c>
      <c r="J46" s="85" t="s">
        <v>507</v>
      </c>
      <c r="K46" s="85" t="s">
        <v>597</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962</v>
      </c>
      <c r="J47" s="85" t="s">
        <v>811</v>
      </c>
      <c r="K47" s="85" t="s">
        <v>811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963</v>
      </c>
      <c r="J48" s="85" t="s">
        <v>540</v>
      </c>
      <c r="K48" s="85" t="s">
        <v>541</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964</v>
      </c>
      <c r="J49" s="85" t="s">
        <v>507</v>
      </c>
      <c r="K49" s="85" t="s">
        <v>603</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965</v>
      </c>
      <c r="J50" s="85" t="s">
        <v>882</v>
      </c>
      <c r="K50" s="85" t="s">
        <v>902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966</v>
      </c>
      <c r="J51" s="85" t="s">
        <v>523</v>
      </c>
      <c r="K51" s="85" t="s">
        <v>524</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967</v>
      </c>
      <c r="J52" s="85" t="s">
        <v>507</v>
      </c>
      <c r="K52" s="85" t="s">
        <v>508</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917</v>
      </c>
      <c r="J53" s="85" t="s">
        <v>811</v>
      </c>
      <c r="K53" s="85" t="s">
        <v>811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968</v>
      </c>
      <c r="J54" s="85" t="s">
        <v>512</v>
      </c>
      <c r="K54" s="85" t="s">
        <v>937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906</v>
      </c>
      <c r="J55" s="85" t="s">
        <v>811</v>
      </c>
      <c r="K55" s="85" t="s">
        <v>811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877</v>
      </c>
      <c r="J56" s="85" t="s">
        <v>811</v>
      </c>
      <c r="K56" s="85" t="s">
        <v>811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969</v>
      </c>
      <c r="J57" s="85" t="s">
        <v>507</v>
      </c>
      <c r="K57" s="85" t="s">
        <v>603</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970</v>
      </c>
      <c r="J58" s="85" t="s">
        <v>882</v>
      </c>
      <c r="K58" s="85" t="s">
        <v>902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971</v>
      </c>
      <c r="J59" s="85" t="s">
        <v>507</v>
      </c>
      <c r="K59" s="85" t="s">
        <v>603</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918</v>
      </c>
      <c r="J60" s="85" t="s">
        <v>786</v>
      </c>
      <c r="K60" s="85" t="s">
        <v>919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924</v>
      </c>
      <c r="J61" s="85" t="s">
        <v>811</v>
      </c>
      <c r="K61" s="85" t="s">
        <v>811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886</v>
      </c>
      <c r="J62" s="85" t="s">
        <v>811</v>
      </c>
      <c r="K62" s="85" t="s">
        <v>811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972</v>
      </c>
      <c r="J63" s="85" t="s">
        <v>547</v>
      </c>
      <c r="K63" s="85" t="s">
        <v>559</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973</v>
      </c>
      <c r="J64" s="85" t="s">
        <v>507</v>
      </c>
      <c r="K64" s="85" t="s">
        <v>597</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904</v>
      </c>
      <c r="J65" s="85" t="s">
        <v>811</v>
      </c>
      <c r="K65" s="85" t="s">
        <v>811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974</v>
      </c>
      <c r="J66" s="85" t="s">
        <v>820</v>
      </c>
      <c r="K66" s="85" t="s">
        <v>834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910</v>
      </c>
      <c r="J67" s="85" t="s">
        <v>811</v>
      </c>
      <c r="K67" s="85" t="s">
        <v>811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975</v>
      </c>
      <c r="J68" s="85" t="s">
        <v>610</v>
      </c>
      <c r="K68" s="85" t="s">
        <v>656</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976</v>
      </c>
      <c r="J69" s="85" t="s">
        <v>512</v>
      </c>
      <c r="K69" s="85" t="s">
        <v>977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852</v>
      </c>
      <c r="J70" s="85" t="s">
        <v>811</v>
      </c>
      <c r="K70" s="85" t="s">
        <v>811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978</v>
      </c>
      <c r="J71" s="85" t="s">
        <v>507</v>
      </c>
      <c r="K71" s="85" t="s">
        <v>603</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908</v>
      </c>
      <c r="J72" s="85" t="s">
        <v>811</v>
      </c>
      <c r="K72" s="85" t="s">
        <v>811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887</v>
      </c>
      <c r="J73" s="85" t="s">
        <v>811</v>
      </c>
      <c r="K73" s="85" t="s">
        <v>811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979</v>
      </c>
      <c r="J74" s="85" t="s">
        <v>507</v>
      </c>
      <c r="K74" s="85" t="s">
        <v>603</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980</v>
      </c>
      <c r="J75" s="85" t="s">
        <v>554</v>
      </c>
      <c r="K75" s="85" t="s">
        <v>568</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909</v>
      </c>
      <c r="J76" s="85" t="s">
        <v>811</v>
      </c>
      <c r="K76" s="85" t="s">
        <v>811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981</v>
      </c>
      <c r="J77" s="85" t="s">
        <v>806</v>
      </c>
      <c r="K77" s="85" t="s">
        <v>982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983</v>
      </c>
      <c r="J78" s="85" t="s">
        <v>518</v>
      </c>
      <c r="K78" s="85" t="s">
        <v>576</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984</v>
      </c>
      <c r="J79" s="85" t="s">
        <v>507</v>
      </c>
      <c r="K79" s="85" t="s">
        <v>603</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985</v>
      </c>
      <c r="J80" s="85" t="s">
        <v>540</v>
      </c>
      <c r="K80" s="85" t="s">
        <v>541</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986</v>
      </c>
      <c r="J81" s="85" t="s">
        <v>547</v>
      </c>
      <c r="K81" s="85" t="s">
        <v>559</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987</v>
      </c>
      <c r="J82" s="85" t="s">
        <v>518</v>
      </c>
      <c r="K82" s="85" t="s">
        <v>519</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988</v>
      </c>
      <c r="J83" s="85" t="s">
        <v>811</v>
      </c>
      <c r="K83" s="85" t="s">
        <v>811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876</v>
      </c>
      <c r="J84" s="85" t="s">
        <v>554</v>
      </c>
      <c r="K84" s="85" t="s">
        <v>568</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845</v>
      </c>
      <c r="J85" s="85" t="s">
        <v>811</v>
      </c>
      <c r="K85" s="85" t="s">
        <v>811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798</v>
      </c>
      <c r="J86" s="85" t="s">
        <v>799</v>
      </c>
      <c r="K86" s="85" t="s">
        <v>800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989</v>
      </c>
      <c r="J87" s="85" t="s">
        <v>512</v>
      </c>
      <c r="K87" s="85" t="s">
        <v>937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990</v>
      </c>
      <c r="J88" s="85" t="s">
        <v>554</v>
      </c>
      <c r="K88" s="85" t="s">
        <v>568</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815</v>
      </c>
      <c r="J89" s="85" t="s">
        <v>518</v>
      </c>
      <c r="K89" s="85" t="s">
        <v>519</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812</v>
      </c>
      <c r="J90" s="85" t="s">
        <v>811</v>
      </c>
      <c r="K90" s="85" t="s">
        <v>811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991</v>
      </c>
      <c r="J91" s="85" t="s">
        <v>507</v>
      </c>
      <c r="K91" s="85" t="s">
        <v>603</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992</v>
      </c>
      <c r="J92" s="85" t="s">
        <v>547</v>
      </c>
      <c r="K92" s="85" t="s">
        <v>559</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993</v>
      </c>
      <c r="J93" s="85" t="s">
        <v>507</v>
      </c>
      <c r="K93" s="85" t="s">
        <v>508</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994</v>
      </c>
      <c r="J94" s="85" t="s">
        <v>554</v>
      </c>
      <c r="K94" s="85" t="s">
        <v>568</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995</v>
      </c>
      <c r="J95" s="85" t="s">
        <v>540</v>
      </c>
      <c r="K95" s="85" t="s">
        <v>541</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916</v>
      </c>
      <c r="J96" s="85" t="s">
        <v>554</v>
      </c>
      <c r="K96" s="85" t="s">
        <v>568</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531</v>
      </c>
      <c r="J97" s="85" t="s">
        <v>532</v>
      </c>
      <c r="K97" s="85" t="s">
        <v>533</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996</v>
      </c>
      <c r="J98" s="85" t="s">
        <v>997</v>
      </c>
      <c r="K98" s="85" t="s">
        <v>997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885</v>
      </c>
      <c r="J99" s="85" t="s">
        <v>811</v>
      </c>
      <c r="K99" s="85" t="s">
        <v>811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998</v>
      </c>
      <c r="J100" s="85" t="s">
        <v>507</v>
      </c>
      <c r="K100" s="85" t="s">
        <v>603</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920</v>
      </c>
      <c r="J101" s="85" t="s">
        <v>507</v>
      </c>
      <c r="K101" s="85" t="s">
        <v>510</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wbb任我行的资产配置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2023-12-10T03:34:13Z</dcterms:modified>
</cp:coreProperties>
</file>