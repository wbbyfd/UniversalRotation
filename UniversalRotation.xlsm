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D:\wbb\UniversalRotation\"/>
    </mc:Choice>
  </mc:AlternateContent>
  <bookViews>
    <workbookView xWindow="-105" yWindow="-105" windowWidth="12810" windowHeight="5460" tabRatio="733" activeTab="5"/>
  </bookViews>
  <sheets>
    <sheet name="Readme" sheetId="14" r:id="rId1"/>
    <sheet name="wbb渐入佳境的资产配置" sheetId="19" r:id="rId2"/>
    <sheet name="可转债实时数据" sheetId="15" r:id="rId3"/>
    <sheet name="低溢价可转债轮动" sheetId="6" r:id="rId4"/>
    <sheet name="双低可转债轮动" sheetId="9" r:id="rId5"/>
    <sheet name="20天净值增长率和溢价率轮动LOF、ETF和封基" sheetId="4" r:id="rId6"/>
    <sheet name="20天净值增长率和溢价率轮动债券和境外基金" sheetId="3" r:id="rId7"/>
    <sheet name="低估优质小盘" sheetId="16" r:id="rId8"/>
    <sheet name="高股息红利" sheetId="17" r:id="rId9"/>
    <sheet name="低估白马" sheetId="18" r:id="rId10"/>
    <sheet name="_xlwings.conf" sheetId="2" r:id="rId11"/>
  </sheets>
  <functionGroups builtInGroupCount="18">
    <functionGroup name="Commands"/>
    <functionGroup name="xlwings"/>
  </functionGroups>
  <definedNames>
    <definedName name="_xlnm._FilterDatabase" localSheetId="5" hidden="1">'20天净值增长率和溢价率轮动LOF、ETF和封基'!$F$1:$Y$147</definedName>
    <definedName name="_xlnm._FilterDatabase" localSheetId="6" hidden="1">'20天净值增长率和溢价率轮动债券和境外基金'!$F$1:$Y$37</definedName>
    <definedName name="_xlnm._FilterDatabase" localSheetId="9" hidden="1">低估白马!$G$1:$Y$101</definedName>
    <definedName name="_xlnm._FilterDatabase" localSheetId="7" hidden="1">低估优质小盘!$G$1:$AC$101</definedName>
    <definedName name="_xlnm._FilterDatabase" localSheetId="3" hidden="1">低溢价可转债轮动!$A$2:$W$43</definedName>
    <definedName name="_xlnm._FilterDatabase" localSheetId="8" hidden="1">高股息红利!$G$1:$Y$101</definedName>
    <definedName name="_xlnm._FilterDatabase" localSheetId="2" hidden="1">可转债实时数据!$A$7:$T$94</definedName>
    <definedName name="_xlnm._FilterDatabase" localSheetId="4"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E24" i="6" l="1"/>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24" i="9"/>
  <c r="C25" i="9"/>
  <c r="C26" i="9"/>
  <c r="C27" i="9"/>
  <c r="C28" i="9"/>
  <c r="C29" i="9"/>
  <c r="C30" i="9"/>
  <c r="C31" i="9"/>
  <c r="C32" i="9"/>
  <c r="C33" i="9"/>
  <c r="C34" i="9"/>
  <c r="C35" i="9"/>
  <c r="C36" i="9"/>
  <c r="C37" i="9"/>
  <c r="C38" i="9"/>
  <c r="C39" i="9"/>
  <c r="C40" i="9"/>
  <c r="C41" i="9"/>
  <c r="C42" i="9"/>
  <c r="C43" i="9"/>
  <c r="C44" i="9"/>
  <c r="E24" i="9"/>
  <c r="E25" i="9"/>
  <c r="E26" i="9"/>
  <c r="E27" i="9"/>
  <c r="E28" i="9"/>
  <c r="E29" i="9"/>
  <c r="E30" i="9"/>
  <c r="E31" i="9"/>
  <c r="E32" i="9"/>
  <c r="E33" i="9"/>
  <c r="E34" i="9"/>
  <c r="E35" i="9"/>
  <c r="E36" i="9"/>
  <c r="E37" i="9"/>
  <c r="E38" i="9"/>
  <c r="E39" i="9"/>
  <c r="E40" i="9"/>
  <c r="E41" i="9"/>
  <c r="E42" i="9"/>
  <c r="E43" i="9"/>
  <c r="E44" i="9"/>
  <c r="D24" i="9"/>
  <c r="D25" i="9"/>
  <c r="D26" i="9"/>
  <c r="D27" i="9"/>
  <c r="D28" i="9"/>
  <c r="D29" i="9"/>
  <c r="D30" i="9"/>
  <c r="D31" i="9"/>
  <c r="D32" i="9"/>
  <c r="D33" i="9"/>
  <c r="D34" i="9"/>
  <c r="D35" i="9"/>
  <c r="D36" i="9"/>
  <c r="D37" i="9"/>
  <c r="D38" i="9"/>
  <c r="D39" i="9"/>
  <c r="D40" i="9"/>
  <c r="D41" i="9"/>
  <c r="D42" i="9"/>
  <c r="D43" i="9"/>
  <c r="D44" i="9"/>
  <c r="C3" i="6"/>
  <c r="C4" i="6"/>
  <c r="C5" i="6"/>
  <c r="C6" i="6"/>
  <c r="C7" i="6"/>
  <c r="C8" i="6"/>
  <c r="C9" i="6"/>
  <c r="C10" i="6"/>
  <c r="C11" i="6"/>
  <c r="C12" i="6"/>
  <c r="C13" i="6"/>
  <c r="C14" i="6"/>
  <c r="C15" i="6"/>
  <c r="C16" i="6"/>
  <c r="C17" i="6"/>
  <c r="C18" i="6"/>
  <c r="C19" i="6"/>
  <c r="C20" i="6"/>
  <c r="C21" i="6"/>
  <c r="C22" i="6"/>
  <c r="C23" i="6"/>
  <c r="C3" i="9"/>
  <c r="C4" i="9"/>
  <c r="C5" i="9"/>
  <c r="C6" i="9"/>
  <c r="C7" i="9"/>
  <c r="C8" i="9"/>
  <c r="C9" i="9"/>
  <c r="C10" i="9"/>
  <c r="C11" i="9"/>
  <c r="C12" i="9"/>
  <c r="C13" i="9"/>
  <c r="C14" i="9"/>
  <c r="C15" i="9"/>
  <c r="C16" i="9"/>
  <c r="C17" i="9"/>
  <c r="C18" i="9"/>
  <c r="C19" i="9"/>
  <c r="C20" i="9"/>
  <c r="C21" i="9"/>
  <c r="C22" i="9"/>
  <c r="C23" i="9"/>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17" i="9"/>
  <c r="E18" i="9"/>
  <c r="E19" i="9"/>
  <c r="E20" i="9"/>
  <c r="E21" i="9"/>
  <c r="E22" i="9"/>
  <c r="E23" i="9"/>
  <c r="D17" i="9"/>
  <c r="D18" i="9"/>
  <c r="D19" i="9"/>
  <c r="D20" i="9"/>
  <c r="D21" i="9"/>
  <c r="D22" i="9"/>
  <c r="D23" i="9"/>
  <c r="X29" i="9"/>
  <c r="X30" i="9"/>
  <c r="X31" i="9"/>
  <c r="X32" i="9"/>
  <c r="X33" i="9"/>
  <c r="X34" i="9"/>
  <c r="X35" i="9"/>
  <c r="X36" i="9"/>
  <c r="X37" i="9"/>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<sst xmlns="http://schemas.openxmlformats.org/spreadsheetml/2006/main" count="2282" uniqueCount="1074">
  <si>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</si>
  <si>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</si>
  <si>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</si>
  <si>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</si>
  <si>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</si>
  <si>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</si>
  <si>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</si>
  <si>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</si>
  <si>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</si>
  <si>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</si>
  <si>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</si>
  <si>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</si>
  <si>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</si>
  <si>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</si>
  <si>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</si>
  <si>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</si>
  <si>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博时可转债ETF</t>
  </si>
  <si>
    <t>银华通胀</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</si>
  <si>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</si>
  <si>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</si>
  <si>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</si>
  <si>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</si>
  <si>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</si>
  <si>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</si>
  <si>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</si>
  <si>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</si>
  <si>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</si>
  <si>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</si>
  <si>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</si>
  <si>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</si>
  <si>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</si>
  <si>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</si>
  <si>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</si>
  <si>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</si>
  <si>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</si>
  <si>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华钰转债</t>
  </si>
  <si>
    <t>海波转债</t>
  </si>
  <si>
    <t>证券名称</t>
  </si>
  <si>
    <t>证券代码</t>
  </si>
  <si>
    <t>英特转债</t>
  </si>
  <si>
    <t>迪贝转债</t>
  </si>
  <si>
    <t>法兰转债</t>
  </si>
  <si>
    <t>孚日转债</t>
  </si>
  <si>
    <t>金轮转债</t>
  </si>
  <si>
    <t>联泰转债</t>
  </si>
  <si>
    <t>锦鸡转债</t>
  </si>
  <si>
    <t>是否已买</t>
  </si>
  <si>
    <t>建信港股通ETF</t>
  </si>
  <si>
    <t>最新低溢价排名</t>
    <phoneticPr fontId="2" type="noConversion"/>
  </si>
  <si>
    <t>贵燃转债</t>
  </si>
  <si>
    <t>我的低溢价可转债持仓</t>
  </si>
  <si>
    <t>我的双低可转债持仓</t>
    <phoneticPr fontId="2" type="noConversion"/>
  </si>
  <si>
    <t>我的持仓</t>
    <phoneticPr fontId="2" type="noConversion"/>
  </si>
  <si>
    <t>SZ162411</t>
  </si>
  <si>
    <t>SZ159981</t>
  </si>
  <si>
    <t>SZ159980</t>
  </si>
  <si>
    <t>SZ159972</t>
  </si>
  <si>
    <t>SZ159816</t>
  </si>
  <si>
    <t>SH511020</t>
  </si>
  <si>
    <t>SH511270</t>
  </si>
  <si>
    <t>SH515220</t>
  </si>
  <si>
    <t>SZ159992</t>
  </si>
  <si>
    <t>SH511060</t>
  </si>
  <si>
    <t>SH511260</t>
  </si>
  <si>
    <t>SZ159930</t>
  </si>
  <si>
    <t>SH516910</t>
  </si>
  <si>
    <t>SH515790</t>
  </si>
  <si>
    <t>SZ159861</t>
  </si>
  <si>
    <t>SH511010</t>
  </si>
  <si>
    <t>SH518880</t>
  </si>
  <si>
    <t>SH512400</t>
  </si>
  <si>
    <t>SH510150</t>
  </si>
  <si>
    <t>SZ159937</t>
  </si>
  <si>
    <t>SZ159985</t>
  </si>
  <si>
    <t>SZ159806</t>
  </si>
  <si>
    <t>SZ159755</t>
  </si>
  <si>
    <t>SH510760</t>
  </si>
  <si>
    <t>SH515100</t>
  </si>
  <si>
    <t>SH511360</t>
  </si>
  <si>
    <t>SZ159898</t>
  </si>
  <si>
    <t>SH510410</t>
  </si>
  <si>
    <t>SH512010</t>
  </si>
  <si>
    <t>SH512660</t>
  </si>
  <si>
    <t>SH516150</t>
  </si>
  <si>
    <t>SH512100</t>
  </si>
  <si>
    <t>SZ159886</t>
  </si>
  <si>
    <t>SH512480</t>
  </si>
  <si>
    <t>SH515910</t>
  </si>
  <si>
    <t>SH515030</t>
  </si>
  <si>
    <t>SH511030</t>
  </si>
  <si>
    <t>SZ159997</t>
  </si>
  <si>
    <t>SH512950</t>
  </si>
  <si>
    <t>SH512170</t>
  </si>
  <si>
    <t>SH512670</t>
  </si>
  <si>
    <t>SZ159995</t>
  </si>
  <si>
    <t>SH515210</t>
  </si>
  <si>
    <t>SH511220</t>
  </si>
  <si>
    <t>SZ159828</t>
  </si>
  <si>
    <t>SH511180</t>
  </si>
  <si>
    <t>SZ159928</t>
  </si>
  <si>
    <t>SH515080</t>
  </si>
  <si>
    <t>SH515700</t>
  </si>
  <si>
    <t>SH512960</t>
  </si>
  <si>
    <t>SH515260</t>
  </si>
  <si>
    <t>SH516510</t>
  </si>
  <si>
    <t>SZ159819</t>
  </si>
  <si>
    <t>SZ159825</t>
  </si>
  <si>
    <t>SZ159845</t>
  </si>
  <si>
    <t>SZ159843</t>
  </si>
  <si>
    <t>SH511380</t>
  </si>
  <si>
    <t>SZ159915</t>
  </si>
  <si>
    <t>SZ159967</t>
  </si>
  <si>
    <t>SH588000</t>
  </si>
  <si>
    <t>SH515800</t>
  </si>
  <si>
    <t>SH515170</t>
  </si>
  <si>
    <t>SH512690</t>
  </si>
  <si>
    <t>SH516970</t>
  </si>
  <si>
    <t>SH513060</t>
  </si>
  <si>
    <t>SH510230</t>
  </si>
  <si>
    <t>SZ159601</t>
  </si>
  <si>
    <t>SH510180</t>
  </si>
  <si>
    <t>SH515320</t>
  </si>
  <si>
    <t>SH515710</t>
  </si>
  <si>
    <t>SZ159745</t>
  </si>
  <si>
    <t>SZ159939</t>
  </si>
  <si>
    <t>SH512910</t>
  </si>
  <si>
    <t>SZ159901</t>
  </si>
  <si>
    <t>SZ159852</t>
  </si>
  <si>
    <t>SZ159941</t>
  </si>
  <si>
    <t>SH510210</t>
  </si>
  <si>
    <t>SH516110</t>
  </si>
  <si>
    <t>SH515880</t>
  </si>
  <si>
    <t>SH515250</t>
  </si>
  <si>
    <t>SH510500</t>
  </si>
  <si>
    <t>SH515650</t>
  </si>
  <si>
    <t>SZ159865</t>
  </si>
  <si>
    <t>SH515900</t>
  </si>
  <si>
    <t>SZ159766</t>
  </si>
  <si>
    <t>SH560050</t>
  </si>
  <si>
    <t>SH563000</t>
  </si>
  <si>
    <t>SH513500</t>
  </si>
  <si>
    <t>SH512980</t>
  </si>
  <si>
    <t>SH515050</t>
  </si>
  <si>
    <t>SZ159996</t>
  </si>
  <si>
    <t>SH510050</t>
  </si>
  <si>
    <t>SZ159870</t>
  </si>
  <si>
    <t>SH512040</t>
  </si>
  <si>
    <t>SH512800</t>
  </si>
  <si>
    <t>SH515400</t>
  </si>
  <si>
    <t>SZ159905</t>
  </si>
  <si>
    <t>SH510300</t>
  </si>
  <si>
    <t>SZ159998</t>
  </si>
  <si>
    <t>SH512070</t>
  </si>
  <si>
    <t>SZ164906</t>
  </si>
  <si>
    <t>SH512200</t>
  </si>
  <si>
    <t>SH513660</t>
  </si>
  <si>
    <t>SZ159851</t>
  </si>
  <si>
    <t>SH512880</t>
  </si>
  <si>
    <t>SZ159805</t>
  </si>
  <si>
    <t>SZ159869</t>
  </si>
  <si>
    <t>SH512000</t>
  </si>
  <si>
    <t>SZ159920</t>
  </si>
  <si>
    <t>SH513600</t>
  </si>
  <si>
    <t>SH513520</t>
  </si>
  <si>
    <t>SZ159842</t>
  </si>
  <si>
    <t>SH510900</t>
  </si>
  <si>
    <t>SH513030</t>
  </si>
  <si>
    <t>SH513090</t>
  </si>
  <si>
    <t>SH513180</t>
  </si>
  <si>
    <t>SH513330</t>
  </si>
  <si>
    <t>SZ159605</t>
  </si>
  <si>
    <t>SH513360</t>
  </si>
  <si>
    <t>SZ159822</t>
  </si>
  <si>
    <t>SH513080</t>
  </si>
  <si>
    <t>SZ164824</t>
  </si>
  <si>
    <t>SZ162719</t>
  </si>
  <si>
    <t>SZ161127</t>
  </si>
  <si>
    <t>SH501018</t>
  </si>
  <si>
    <t>最新排名</t>
    <phoneticPr fontId="2" type="noConversion"/>
  </si>
  <si>
    <t>宏丰转债</t>
  </si>
  <si>
    <t>最新VIP排名</t>
    <phoneticPr fontId="2" type="noConversion"/>
  </si>
  <si>
    <t>日经ETF</t>
  </si>
  <si>
    <t>有色ETF</t>
  </si>
  <si>
    <t>能源化工</t>
  </si>
  <si>
    <t>恒生科技</t>
  </si>
  <si>
    <t>指数ETF</t>
  </si>
  <si>
    <t>金融ETF</t>
  </si>
  <si>
    <t>央企改革ETF</t>
  </si>
  <si>
    <t>有色金属</t>
  </si>
  <si>
    <t>质量ETF</t>
  </si>
  <si>
    <t>化工ETF</t>
  </si>
  <si>
    <t>电子ETF</t>
  </si>
  <si>
    <t>养殖ETF</t>
  </si>
  <si>
    <t>资源ETF</t>
  </si>
  <si>
    <t>金科ETF</t>
  </si>
  <si>
    <t>农业ETF</t>
  </si>
  <si>
    <t>软件ETF</t>
  </si>
  <si>
    <t>计算机</t>
  </si>
  <si>
    <t>中证100ETF</t>
  </si>
  <si>
    <t>电子50ETF</t>
  </si>
  <si>
    <t>传媒ETF</t>
  </si>
  <si>
    <t>环保ETF</t>
  </si>
  <si>
    <t>价值100ETF</t>
  </si>
  <si>
    <t>大数据ETF</t>
  </si>
  <si>
    <t>医疗器械</t>
  </si>
  <si>
    <t>云计算ETF</t>
  </si>
  <si>
    <t>能源ETF</t>
  </si>
  <si>
    <t>800ETF</t>
  </si>
  <si>
    <t>汽车ETF</t>
  </si>
  <si>
    <t>消费ETF</t>
  </si>
  <si>
    <t>医药ETF</t>
  </si>
  <si>
    <t>物流ETF</t>
  </si>
  <si>
    <t>券商ETF</t>
  </si>
  <si>
    <t>通信ETF</t>
  </si>
  <si>
    <t>5GETF</t>
  </si>
  <si>
    <t>上证综指ETF</t>
  </si>
  <si>
    <t>新能车</t>
  </si>
  <si>
    <t>中证1000</t>
  </si>
  <si>
    <t>信息技术</t>
  </si>
  <si>
    <t>医疗ETF</t>
  </si>
  <si>
    <t>豆粕ETF</t>
  </si>
  <si>
    <t>银行ETF</t>
  </si>
  <si>
    <t>游戏ETF</t>
  </si>
  <si>
    <t>中证红利ETF</t>
  </si>
  <si>
    <t>智能汽车ETF</t>
  </si>
  <si>
    <t>消费50ETF</t>
  </si>
  <si>
    <t>建材ETF</t>
  </si>
  <si>
    <t>上证180ETF</t>
  </si>
  <si>
    <t>深红利</t>
  </si>
  <si>
    <t>稀土ETF基金</t>
  </si>
  <si>
    <t>光伏ETF</t>
  </si>
  <si>
    <t>食品饮料ETF</t>
  </si>
  <si>
    <t>深100ETF</t>
  </si>
  <si>
    <t>创新药</t>
  </si>
  <si>
    <t>国防ETF</t>
  </si>
  <si>
    <t>电池ETF</t>
  </si>
  <si>
    <t>有色金属ETF</t>
  </si>
  <si>
    <t>钢铁ETF</t>
  </si>
  <si>
    <t>国债ETF</t>
  </si>
  <si>
    <t>家电ETF</t>
  </si>
  <si>
    <t>证券ETF</t>
  </si>
  <si>
    <t>创成长</t>
  </si>
  <si>
    <t>十年国债ETF</t>
  </si>
  <si>
    <t>旅游ETF</t>
  </si>
  <si>
    <t>中证1000ETF</t>
  </si>
  <si>
    <t>证券保险ETF</t>
  </si>
  <si>
    <t>新能车ETF</t>
  </si>
  <si>
    <t>煤炭ETF</t>
  </si>
  <si>
    <t>芯片ETF</t>
  </si>
  <si>
    <t>房地产ETF</t>
  </si>
  <si>
    <t>军工ETF</t>
  </si>
  <si>
    <t>半导体ETF</t>
  </si>
  <si>
    <t>香港证券ETF</t>
  </si>
  <si>
    <t>酒ETF</t>
  </si>
  <si>
    <t>基建50ETF</t>
  </si>
  <si>
    <t>新能源车ETF</t>
  </si>
  <si>
    <t>MSCI中国A50ETF</t>
  </si>
  <si>
    <t>H股ETF</t>
  </si>
  <si>
    <t>A50</t>
  </si>
  <si>
    <t>科创50ETF</t>
  </si>
  <si>
    <t>中国A50ETF</t>
  </si>
  <si>
    <t>创业板</t>
  </si>
  <si>
    <t>中证500ETF</t>
  </si>
  <si>
    <t>上证50ETF</t>
  </si>
  <si>
    <t>沪深300ETF</t>
  </si>
  <si>
    <t>黄金ETF</t>
  </si>
  <si>
    <t>欧美指数</t>
  </si>
  <si>
    <t>互联中概</t>
  </si>
  <si>
    <t>中国互联</t>
  </si>
  <si>
    <t>印度基金</t>
  </si>
  <si>
    <t>标普500</t>
  </si>
  <si>
    <t>纳指ETF</t>
  </si>
  <si>
    <t>教育ETF</t>
  </si>
  <si>
    <t>商品</t>
  </si>
  <si>
    <t>华宝油气</t>
  </si>
  <si>
    <t>德国ETF</t>
  </si>
  <si>
    <t>亚洲指数</t>
  </si>
  <si>
    <t>恒指ETF</t>
  </si>
  <si>
    <t>恒生医疗</t>
  </si>
  <si>
    <t>恒生互联</t>
  </si>
  <si>
    <t>SH516620</t>
  </si>
  <si>
    <t>国泰中证影视主题ETF</t>
  </si>
  <si>
    <t>鹏华0-4年地方政府债ETF</t>
  </si>
  <si>
    <t>鹏华中证5年地债ETF</t>
  </si>
  <si>
    <t>SZ159611</t>
  </si>
  <si>
    <t>广发中证全指电力公用事业ETF</t>
  </si>
  <si>
    <t>SH516750</t>
  </si>
  <si>
    <t>富国中证全指建筑材料ETF</t>
  </si>
  <si>
    <t>SZ159790</t>
  </si>
  <si>
    <t>华夏中证内地低碳经济主题ETF</t>
  </si>
  <si>
    <t>平安中证5-10年国债活跃券ETF</t>
  </si>
  <si>
    <t>SZ159761</t>
  </si>
  <si>
    <t>国泰中证新材料主题ETF</t>
  </si>
  <si>
    <t>海富通上证城投债ETF</t>
  </si>
  <si>
    <t>SZ159736</t>
  </si>
  <si>
    <t>天弘中证食品饮料ETF</t>
  </si>
  <si>
    <t>海富通上证投资级可转债ETF</t>
  </si>
  <si>
    <t>海富通中证短融ETF</t>
  </si>
  <si>
    <t>平安中债债利差因子ETF</t>
  </si>
  <si>
    <t>SH517180</t>
  </si>
  <si>
    <t>SH513530</t>
  </si>
  <si>
    <t>SH562800</t>
  </si>
  <si>
    <t>嘉实中证稀有金属主题ETF</t>
  </si>
  <si>
    <t>SH561130</t>
  </si>
  <si>
    <t>富国中证新华社民族品牌工程ETF</t>
  </si>
  <si>
    <t>SH561120</t>
  </si>
  <si>
    <t>富国中证全指家用电器ETF</t>
  </si>
  <si>
    <t>SH561550</t>
  </si>
  <si>
    <t>华泰柏瑞中证500增强策略ETF</t>
  </si>
  <si>
    <t>SH562500</t>
  </si>
  <si>
    <t>华夏中证机器人ETF</t>
  </si>
  <si>
    <t>SH561990</t>
  </si>
  <si>
    <t>SH560800</t>
  </si>
  <si>
    <t>鹏扬中证数字经济主题ETF</t>
  </si>
  <si>
    <t>SH561100</t>
  </si>
  <si>
    <t>富国中证消费电子主题ETF</t>
  </si>
  <si>
    <t>SH560880</t>
  </si>
  <si>
    <t>广发中证全指家用电器ETF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</si>
  <si>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</si>
  <si>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</si>
  <si>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</si>
  <si>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</si>
  <si>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</si>
  <si>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</si>
  <si>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</si>
  <si>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债券型</t>
  </si>
  <si>
    <t>其他型</t>
  </si>
  <si>
    <t>海富通10年地债ETF</t>
  </si>
  <si>
    <t>海富通5年地债ETF</t>
  </si>
  <si>
    <t>鹏华5年地债ETF</t>
  </si>
  <si>
    <t>国泰10年国债ETF</t>
  </si>
  <si>
    <t>鹏华0-4年地债ETF</t>
  </si>
  <si>
    <t>华夏恒生ETF</t>
  </si>
  <si>
    <t>华夏225ETF</t>
  </si>
  <si>
    <t>国泰国债ETF</t>
  </si>
  <si>
    <t>黄金</t>
  </si>
  <si>
    <t>华安黄金易ETF</t>
  </si>
  <si>
    <t>华夏恒生科技ETF</t>
  </si>
  <si>
    <t>广发美国石油A</t>
  </si>
  <si>
    <t>华夏互联网ETF</t>
  </si>
  <si>
    <t>海富通城投ETF</t>
  </si>
  <si>
    <t>华夏沪港通ETF</t>
  </si>
  <si>
    <t>南方原油A</t>
  </si>
  <si>
    <t>博时中国教育ETF</t>
  </si>
  <si>
    <t>平安中债ETF</t>
  </si>
  <si>
    <t>SZ161716</t>
  </si>
  <si>
    <t>招商双债C</t>
  </si>
  <si>
    <t>华安法国ETF</t>
  </si>
  <si>
    <t>华安德国30ETF</t>
  </si>
  <si>
    <t>银华新经济ETF</t>
  </si>
  <si>
    <t>博时标普500ETF</t>
  </si>
  <si>
    <t>SZ161226</t>
  </si>
  <si>
    <t>国投白银</t>
  </si>
  <si>
    <t>广发纳指100ETF</t>
  </si>
  <si>
    <t>工银印度</t>
  </si>
  <si>
    <t>易方达标普生物A</t>
  </si>
  <si>
    <t>当前价</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</si>
  <si>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</si>
  <si>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</si>
  <si>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</si>
  <si>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</si>
  <si>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</si>
  <si>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</si>
  <si>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</si>
  <si>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</si>
  <si>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</si>
  <si>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</si>
  <si>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</si>
  <si>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</si>
  <si>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</si>
  <si>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</si>
  <si>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</si>
  <si>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</si>
  <si>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</si>
  <si>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</si>
  <si>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</si>
  <si>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</si>
  <si>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</si>
  <si>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</si>
  <si>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</si>
  <si>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</si>
  <si>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</si>
  <si>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</si>
  <si>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</si>
  <si>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</si>
  <si>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</si>
  <si>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</si>
  <si>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</si>
  <si>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</si>
  <si>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</si>
  <si>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</si>
  <si>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</si>
  <si>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</si>
  <si>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</si>
  <si>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wbb低溢价可转债ZH3128720</t>
  </si>
  <si>
    <t>SH513120</t>
  </si>
  <si>
    <t>广发香港创新药ETF</t>
  </si>
  <si>
    <t>SZ159615</t>
  </si>
  <si>
    <t>南方生物科技ETF</t>
  </si>
  <si>
    <t>60天净值增长率</t>
  </si>
  <si>
    <t>120天净值增长率</t>
  </si>
  <si>
    <t>250天净值增长率</t>
  </si>
  <si>
    <t>500天净值增长率</t>
  </si>
  <si>
    <t>场内ETF</t>
  </si>
  <si>
    <t>SZ159959</t>
  </si>
  <si>
    <t>银华中证央企结构调整ETF</t>
  </si>
  <si>
    <t>SH562000</t>
  </si>
  <si>
    <t>华宝中证100ETF</t>
  </si>
  <si>
    <t>SZ159647</t>
  </si>
  <si>
    <t>鹏华中证中药ETF</t>
  </si>
  <si>
    <t>广发中证香港创新药ETF(QDII)</t>
  </si>
  <si>
    <t>SZ159628</t>
  </si>
  <si>
    <t>万家国证2000ETF</t>
  </si>
  <si>
    <t>SH562990</t>
  </si>
  <si>
    <t>易方达中证上海环交所碳中和ETF</t>
  </si>
  <si>
    <t>SZ159638</t>
  </si>
  <si>
    <t>嘉实中证高端装备细分50ETF</t>
  </si>
  <si>
    <t>750天净值增长率</t>
  </si>
  <si>
    <t>原贴地址：https://www.jisilu.cn/question/457389</t>
    <phoneticPr fontId="2" type="noConversion"/>
  </si>
  <si>
    <t>项目地址：https://github.com/wbbyfd/UniversalRotation</t>
    <phoneticPr fontId="2" type="noConversion"/>
  </si>
  <si>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</si>
  <si>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</si>
  <si>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</si>
  <si>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</si>
  <si>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</si>
  <si>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</si>
  <si>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</si>
  <si>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</si>
  <si>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</si>
  <si>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</si>
  <si>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</si>
  <si>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</si>
  <si>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</si>
  <si>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</si>
  <si>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</si>
  <si>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</si>
  <si>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</si>
  <si>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</si>
  <si>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</si>
  <si>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</si>
  <si>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</si>
  <si>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</si>
  <si>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</si>
  <si>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</si>
  <si>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</si>
  <si>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</si>
  <si>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</si>
  <si>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</si>
  <si>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</si>
  <si>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</si>
  <si>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</si>
  <si>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</si>
  <si>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</si>
  <si>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</si>
  <si>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</si>
  <si>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</si>
  <si>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</si>
  <si>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</si>
  <si>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</si>
  <si>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</si>
  <si>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</si>
  <si>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</si>
  <si>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</si>
  <si>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</si>
  <si>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</si>
  <si>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</si>
  <si>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</si>
  <si>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</si>
  <si>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</si>
  <si>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</si>
  <si>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</si>
  <si>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</si>
  <si>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</si>
  <si>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</si>
  <si>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</si>
  <si>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</si>
  <si>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</si>
  <si>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</si>
  <si>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</si>
  <si>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</si>
  <si>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</si>
  <si>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</si>
  <si>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</si>
  <si>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</si>
  <si>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</si>
  <si>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</si>
  <si>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</si>
  <si>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</si>
  <si>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</si>
  <si>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</si>
  <si>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</si>
  <si>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</si>
  <si>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</si>
  <si>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</si>
  <si>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</si>
  <si>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</si>
  <si>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</si>
  <si>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</si>
  <si>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</si>
  <si>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</si>
  <si>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</si>
  <si>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</si>
  <si>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</si>
  <si>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</si>
  <si>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</si>
  <si>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</si>
  <si>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</si>
  <si>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</si>
  <si>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</si>
  <si>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</si>
  <si>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</si>
  <si>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</si>
  <si>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</si>
  <si>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</si>
  <si>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</si>
  <si>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</si>
  <si>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</si>
  <si>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</si>
  <si>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</si>
  <si>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</si>
  <si>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</si>
  <si>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</si>
  <si>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</si>
  <si>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</si>
  <si>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</si>
  <si>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</si>
  <si>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</si>
  <si>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</si>
  <si>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</si>
  <si>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</si>
  <si>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</si>
  <si>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</si>
  <si>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</si>
  <si>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</si>
  <si>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</si>
  <si>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</si>
  <si>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</si>
  <si>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</si>
  <si>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</si>
  <si>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</si>
  <si>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</si>
  <si>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</si>
  <si>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</si>
  <si>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</si>
  <si>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</si>
  <si>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</si>
  <si>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</si>
  <si>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</si>
  <si>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</si>
  <si>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</si>
  <si>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</si>
  <si>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</si>
  <si>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</si>
  <si>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</si>
  <si>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</si>
  <si>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</si>
  <si>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</si>
  <si>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</si>
  <si>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</si>
  <si>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</si>
  <si>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</si>
  <si>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</si>
  <si>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</si>
  <si>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</si>
  <si>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</si>
  <si>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</si>
  <si>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</si>
  <si>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</si>
  <si>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</si>
  <si>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</si>
  <si>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</si>
  <si>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</si>
  <si>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</si>
  <si>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</si>
  <si>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</si>
  <si>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</si>
  <si>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</si>
  <si>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</si>
  <si>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</si>
  <si>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</si>
  <si>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</si>
  <si>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</si>
  <si>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</si>
  <si>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</si>
  <si>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</si>
  <si>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</si>
  <si>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</si>
  <si>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</si>
  <si>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</si>
  <si>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</si>
  <si>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</si>
  <si>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</si>
  <si>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</si>
  <si>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</si>
  <si>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</si>
  <si>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</si>
  <si>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</si>
  <si>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</si>
  <si>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</si>
  <si>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</si>
  <si>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</si>
  <si>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</si>
  <si>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</si>
  <si>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</si>
  <si>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</si>
  <si>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贵广转债</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</si>
  <si>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</si>
  <si>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</si>
  <si>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</si>
  <si>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</si>
  <si>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</si>
  <si>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</si>
  <si>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</si>
  <si>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</si>
  <si>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</si>
  <si>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</si>
  <si>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</si>
  <si>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华翔转债</t>
  </si>
  <si>
    <t>沿浦转债</t>
  </si>
  <si>
    <t>松霖转债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</si>
  <si>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</si>
  <si>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</si>
  <si>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</si>
  <si>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</si>
  <si>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</si>
  <si>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</si>
  <si>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</si>
  <si>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</si>
  <si>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</si>
  <si>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</si>
  <si>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</si>
  <si>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</si>
  <si>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</si>
  <si>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</si>
  <si>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丝路转债!</t>
  </si>
  <si>
    <t>奥飞转债!</t>
  </si>
  <si>
    <t>金沃转债!</t>
  </si>
  <si>
    <t>银轮转债!!</t>
  </si>
  <si>
    <t>Mark</t>
  </si>
  <si>
    <t>Favorite</t>
  </si>
  <si>
    <t>大成有色金属期货ETF</t>
  </si>
  <si>
    <t>大元转债</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</si>
  <si>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</si>
  <si>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</si>
  <si>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</si>
  <si>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福新转债</t>
  </si>
  <si>
    <t>招商沪深300增强策略ETF</t>
  </si>
  <si>
    <t>中国国企开放共赢ETF</t>
  </si>
  <si>
    <t>港股通红利ETF</t>
  </si>
  <si>
    <t>声迅转债</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</si>
  <si>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</si>
  <si>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</si>
  <si>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</si>
  <si>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</si>
  <si>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</si>
  <si>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</si>
  <si>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</si>
  <si>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</si>
  <si>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</si>
  <si>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</si>
  <si>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</si>
  <si>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</si>
  <si>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</si>
  <si>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</si>
  <si>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</si>
  <si>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</si>
  <si>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</si>
  <si>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</si>
  <si>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</si>
  <si>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</si>
  <si>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</si>
  <si>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</si>
  <si>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</si>
  <si>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</si>
  <si>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</si>
  <si>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</si>
  <si>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</si>
  <si>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</si>
  <si>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</si>
  <si>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</si>
  <si>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</si>
  <si>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</si>
  <si>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</si>
  <si>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</si>
  <si>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</si>
  <si>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</si>
  <si>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</si>
  <si>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</si>
  <si>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</si>
  <si>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</si>
  <si>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</si>
  <si>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</si>
  <si>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</si>
  <si>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</si>
  <si>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</si>
  <si>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</si>
  <si>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</si>
  <si>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</si>
  <si>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</si>
  <si>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</si>
  <si>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</si>
  <si>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</si>
  <si>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</si>
  <si>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</si>
  <si>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</si>
  <si>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</si>
  <si>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</si>
  <si>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</si>
  <si>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</si>
  <si>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</si>
  <si>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</si>
  <si>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</si>
  <si>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</si>
  <si>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</si>
  <si>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</si>
  <si>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</si>
  <si>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</si>
  <si>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</si>
  <si>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</si>
  <si>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</si>
  <si>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</si>
  <si>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</si>
  <si>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</si>
  <si>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</si>
  <si>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</si>
  <si>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</si>
  <si>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</si>
  <si>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</si>
  <si>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</si>
  <si>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</si>
  <si>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</si>
  <si>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</si>
  <si>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</si>
  <si>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</si>
  <si>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</si>
  <si>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</si>
  <si>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</si>
  <si>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</si>
  <si>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</si>
  <si>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</si>
  <si>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</si>
  <si>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</si>
  <si>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</si>
  <si>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</si>
  <si>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</si>
  <si>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</si>
  <si>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</si>
  <si>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</si>
  <si>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</si>
  <si>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</si>
  <si>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</si>
  <si>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</si>
  <si>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</si>
  <si>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</si>
  <si>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</si>
  <si>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</si>
  <si>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</si>
  <si>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</si>
  <si>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</si>
  <si>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</si>
  <si>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</si>
  <si>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</si>
  <si>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</si>
  <si>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</si>
  <si>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</si>
  <si>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</si>
  <si>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</si>
  <si>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</si>
  <si>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</si>
  <si>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</si>
  <si>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</si>
  <si>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</si>
  <si>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</si>
  <si>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</si>
  <si>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</si>
  <si>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</si>
  <si>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</si>
  <si>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</si>
  <si>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</si>
  <si>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</si>
  <si>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</si>
  <si>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</si>
  <si>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</si>
  <si>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</si>
  <si>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</si>
  <si>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</si>
  <si>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</si>
  <si>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</si>
  <si>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</si>
  <si>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</si>
  <si>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</si>
  <si>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</si>
  <si>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</si>
  <si>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</si>
  <si>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</si>
  <si>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</si>
  <si>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</si>
  <si>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</si>
  <si>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</si>
  <si>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</si>
  <si>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</si>
  <si>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</si>
  <si>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</si>
  <si>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</si>
  <si>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</si>
  <si>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</si>
  <si>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</si>
  <si>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</si>
  <si>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</si>
  <si>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</si>
  <si>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</si>
  <si>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</si>
  <si>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</si>
  <si>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</si>
  <si>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</si>
  <si>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</si>
  <si>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</si>
  <si>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</si>
  <si>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</si>
  <si>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</si>
  <si>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</si>
  <si>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</si>
  <si>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</si>
  <si>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</si>
  <si>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</si>
  <si>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</si>
  <si>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</si>
  <si>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</si>
  <si>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</si>
  <si>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</si>
  <si>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</si>
  <si>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</si>
  <si>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</si>
  <si>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</si>
  <si>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</si>
  <si>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</si>
  <si>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</si>
  <si>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</si>
  <si>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</si>
  <si>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</si>
  <si>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</si>
  <si>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</si>
  <si>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</si>
  <si>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</si>
  <si>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</si>
  <si>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</si>
  <si>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</si>
  <si>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</si>
  <si>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</si>
  <si>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</si>
  <si>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</si>
  <si>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</si>
  <si>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</si>
  <si>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</si>
  <si>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</si>
  <si>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</si>
  <si>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</si>
  <si>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</si>
  <si>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</si>
  <si>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</si>
  <si>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</si>
  <si>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</si>
  <si>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</si>
  <si>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</si>
  <si>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</si>
  <si>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</si>
  <si>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</si>
  <si>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</si>
  <si>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</si>
  <si>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</si>
  <si>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</si>
  <si>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</si>
  <si>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</si>
  <si>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</si>
  <si>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</si>
  <si>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</si>
  <si>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</si>
  <si>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</si>
  <si>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</si>
  <si>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</si>
  <si>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</si>
  <si>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</si>
  <si>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</si>
  <si>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</si>
  <si>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</si>
  <si>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如果想讨论该tool的用法或者新需求，以及量化轮动策略等相关的内容，请按照下面的操作步骤执行程序，并将成功更新数据后的截图（包含更新按钮下方的更新日期）发给微信小助手wangbaobaodzsf加入用户交流群，共同学习和进步！</t>
    <phoneticPr fontId="2" type="noConversion"/>
  </si>
  <si>
    <t>晨丰转债</t>
  </si>
  <si>
    <t>漱玉转债</t>
  </si>
  <si>
    <t>SZ159513</t>
  </si>
  <si>
    <t>纳斯达克100指数ETF</t>
  </si>
  <si>
    <t>北方转债!!</t>
  </si>
  <si>
    <t>天壕转债!</t>
  </si>
  <si>
    <t>纽泰转债</t>
  </si>
  <si>
    <t>祥源转债</t>
  </si>
  <si>
    <t>东亚转债</t>
  </si>
  <si>
    <t>金丹转债</t>
  </si>
  <si>
    <t>赫达转债</t>
  </si>
  <si>
    <t>双箭转债</t>
  </si>
  <si>
    <t>星球转债</t>
  </si>
  <si>
    <t>冠中转债</t>
  </si>
  <si>
    <t>开能转债</t>
  </si>
  <si>
    <t>广联转债!</t>
  </si>
  <si>
    <t>锋龙转债</t>
  </si>
  <si>
    <t>聚飞转债</t>
  </si>
  <si>
    <t>红利低波100ETF</t>
  </si>
  <si>
    <t>医疗器械指数ETF</t>
  </si>
  <si>
    <t>海富通上证10年期地方债ETF</t>
  </si>
  <si>
    <t>海富通上证5年期地方债ETF</t>
  </si>
  <si>
    <t>易方达中证人工智能主题ETF</t>
  </si>
  <si>
    <t>永和转债</t>
  </si>
  <si>
    <t>力诺转债</t>
  </si>
  <si>
    <t>宇瞳转债</t>
  </si>
  <si>
    <t>精装转债!</t>
  </si>
  <si>
    <t>博时恒生医疗保健ETF</t>
  </si>
  <si>
    <t>能源化工期货ETF</t>
  </si>
  <si>
    <t>1. 安装Python3：https://www.python.org/ftp/python/3.8.7/python-3.8.7-amd64.exe</t>
  </si>
  <si>
    <t>2. 打开cmd窗口输入：pip install schedule xlwings pandas requests pysnowball browser-cookie3 chinese_calendar</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</si>
  <si>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</si>
  <si>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</si>
  <si>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</si>
  <si>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设置Firefox(强烈推荐)或Chrome(我用的版本是108.0.5359.125，建议使用最新版，因为太多网友因为版本太低导致无法使用browser-cookie3)或Opera或Edge或Chromium为默认浏览器，使用他们的任意一个访问任意一个雪球网站以便获取token（不需要登录雪球账号）。</t>
  </si>
  <si>
    <t>由于我们在Python调用雪球API前需要设置xq_a_token，但它大约只有20天的有效期，之前都是使用F12各种查找xq_a_token然后复制粘贴到我们的Python程序，</t>
  </si>
  <si>
    <t>比较繁琐，所以现在改用browser-cookie3工具库来自动化获取电脑浏览器已缓存的cookies（当然啦，浏览器的cookies肯定也会过期，我们只需要坚持每20天左右使用电脑浏览器访问任意一个雪球网站即可刷新电脑浏览器的cookies）。</t>
  </si>
  <si>
    <t>但是我发现网友经常遇到Chrome浏览器无法使用browser-cookie3的问题，是因为Chrome浏览器的版本太低导致的。所以建议大家使用Firefox为默认浏览器或者更新到最新版Chrome浏览器。</t>
  </si>
  <si>
    <t>SH513290</t>
  </si>
  <si>
    <t>纳指生物科技ETF</t>
  </si>
  <si>
    <t>国投白银期货LOF</t>
  </si>
  <si>
    <t>指数LOF</t>
  </si>
  <si>
    <t>策略/品种：</t>
    <phoneticPr fontId="2" type="noConversion"/>
  </si>
  <si>
    <t>小市值</t>
    <phoneticPr fontId="2" type="noConversion"/>
  </si>
  <si>
    <t>其他（套利/周期/动量/反转）</t>
    <phoneticPr fontId="2" type="noConversion"/>
  </si>
  <si>
    <t>仓位：</t>
    <phoneticPr fontId="2" type="noConversion"/>
  </si>
  <si>
    <t>全球资产配置</t>
    <phoneticPr fontId="2" type="noConversion"/>
  </si>
  <si>
    <t>稳定价值/高股息</t>
    <phoneticPr fontId="2" type="noConversion"/>
  </si>
  <si>
    <t>稳定价值</t>
    <phoneticPr fontId="2" type="noConversion"/>
  </si>
  <si>
    <t>高股息</t>
    <phoneticPr fontId="2" type="noConversion"/>
  </si>
  <si>
    <t>法国CAC40ETF</t>
  </si>
  <si>
    <t>多因子可转债</t>
    <phoneticPr fontId="2" type="noConversion"/>
  </si>
  <si>
    <t>会通转债</t>
  </si>
  <si>
    <t>中贝转债</t>
  </si>
  <si>
    <t>红墙转债</t>
  </si>
  <si>
    <t>翔丰转债</t>
  </si>
  <si>
    <t>运机转债</t>
  </si>
  <si>
    <t>博俊转债</t>
  </si>
  <si>
    <t>煜邦转债!</t>
  </si>
  <si>
    <t>岱美转债</t>
  </si>
  <si>
    <t>百洋转债!</t>
  </si>
  <si>
    <t>天阳转债</t>
  </si>
  <si>
    <t>泰林转债</t>
  </si>
  <si>
    <t>金盘转债</t>
  </si>
  <si>
    <t>思创转债</t>
  </si>
  <si>
    <t>皖天转债</t>
  </si>
  <si>
    <t>锦鸡转债!</t>
  </si>
  <si>
    <t>联得转债!</t>
  </si>
  <si>
    <t>润达转债!</t>
  </si>
  <si>
    <t>思特转债!</t>
  </si>
  <si>
    <t>东南亚科技ETF</t>
  </si>
  <si>
    <t>SH513730</t>
  </si>
  <si>
    <t>巨星转债!!</t>
  </si>
  <si>
    <t>欧晶转债</t>
  </si>
  <si>
    <t>蓝晓转02!</t>
  </si>
  <si>
    <t>超达转债</t>
  </si>
  <si>
    <t>新致转债!</t>
  </si>
  <si>
    <t>小熊转债</t>
  </si>
  <si>
    <t>耐普转债!</t>
  </si>
  <si>
    <t>翔港转债</t>
  </si>
  <si>
    <t>国光转债!</t>
  </si>
  <si>
    <t>华统转债!</t>
  </si>
  <si>
    <t>正裕转债</t>
  </si>
  <si>
    <t>文灿转债!!</t>
  </si>
  <si>
    <t>中旗转债</t>
  </si>
  <si>
    <t>家联转债</t>
  </si>
  <si>
    <t>亿田转债</t>
  </si>
  <si>
    <t>诺泰转债</t>
  </si>
  <si>
    <t>智尚转债</t>
  </si>
  <si>
    <t>新天转债!</t>
  </si>
  <si>
    <t>海环转债</t>
  </si>
  <si>
    <t>SZ159607</t>
  </si>
  <si>
    <t>中概互联网ETF</t>
  </si>
  <si>
    <t>SH511090</t>
  </si>
  <si>
    <t>30年国债ETF</t>
  </si>
  <si>
    <t>联得转债</t>
  </si>
  <si>
    <t>思特转债</t>
  </si>
  <si>
    <t>温氏转债</t>
  </si>
  <si>
    <t>百洋转债</t>
  </si>
  <si>
    <t>招路转债</t>
  </si>
  <si>
    <t>宏川转债</t>
  </si>
  <si>
    <t>国光转债</t>
  </si>
  <si>
    <t>拓普转债</t>
  </si>
  <si>
    <t>润达转债</t>
  </si>
  <si>
    <t>央企结构调整ETF</t>
  </si>
  <si>
    <t>央企创新驱动ETF</t>
  </si>
  <si>
    <t>洪城转债!</t>
  </si>
  <si>
    <t>正丹转债!</t>
  </si>
  <si>
    <t>九典转02!</t>
  </si>
  <si>
    <t>科思转债!</t>
  </si>
  <si>
    <t>蓝天转债!</t>
  </si>
  <si>
    <t>水羊转债!</t>
  </si>
  <si>
    <t>华钰转债!</t>
  </si>
  <si>
    <t>广泰转债!</t>
  </si>
  <si>
    <t>姚记转债</t>
  </si>
  <si>
    <t>卡倍转02</t>
  </si>
  <si>
    <t>冠盛转债!</t>
  </si>
  <si>
    <t>艾录转债!</t>
  </si>
  <si>
    <t>大叶转债</t>
  </si>
  <si>
    <t>宏昌转债!</t>
  </si>
  <si>
    <t>福蓉转债!</t>
  </si>
  <si>
    <t>海泰转债!</t>
  </si>
  <si>
    <t>精达转债!!</t>
  </si>
  <si>
    <t>红相转债</t>
  </si>
  <si>
    <t>锋工转债!</t>
  </si>
  <si>
    <t>赛特转债!</t>
  </si>
  <si>
    <t>章鼓转债!</t>
  </si>
  <si>
    <t>聚隆转债!</t>
  </si>
  <si>
    <t>武进转债!</t>
  </si>
  <si>
    <t>泰福转债!</t>
  </si>
  <si>
    <t>永吉转债!</t>
  </si>
  <si>
    <t>华设转债</t>
  </si>
  <si>
    <t>测绘转债</t>
  </si>
  <si>
    <t>优彩转债!</t>
  </si>
  <si>
    <t>奇正转债</t>
  </si>
  <si>
    <t>金钟转债!</t>
  </si>
  <si>
    <t>阳谷转债!</t>
  </si>
  <si>
    <t>信测转债!</t>
  </si>
  <si>
    <t>荣23转债!</t>
  </si>
  <si>
    <t>天源转债!</t>
  </si>
  <si>
    <t>盛航转债!</t>
  </si>
  <si>
    <t>豪美转债</t>
  </si>
  <si>
    <t>嘉泽转债!</t>
  </si>
  <si>
    <t>神通转债!</t>
  </si>
  <si>
    <t>中宠转2!</t>
  </si>
  <si>
    <t>镇洋转债!</t>
  </si>
  <si>
    <t>泰坦转债!</t>
  </si>
  <si>
    <t>东宝转债!</t>
  </si>
  <si>
    <t>宏微转债!</t>
  </si>
  <si>
    <t>特纸转债!</t>
  </si>
  <si>
    <t>珀莱转债</t>
  </si>
  <si>
    <t>中能转债!</t>
  </si>
  <si>
    <t>兴瑞转债</t>
  </si>
  <si>
    <t>博汇转债!</t>
  </si>
  <si>
    <t>微芯转债</t>
  </si>
  <si>
    <t>联诚转债</t>
  </si>
  <si>
    <t>凯盛转债!</t>
  </si>
  <si>
    <t>丽岛转债!</t>
  </si>
  <si>
    <t>立中转债</t>
  </si>
  <si>
    <t>恒锋转债!</t>
  </si>
  <si>
    <t>博实转债!</t>
  </si>
  <si>
    <t>星帅转2!</t>
  </si>
  <si>
    <t>光力转债!</t>
  </si>
  <si>
    <t>龙星转债!</t>
  </si>
  <si>
    <t>春23转债!</t>
  </si>
  <si>
    <t>三羊转债!</t>
  </si>
  <si>
    <t>宇邦转债</t>
  </si>
  <si>
    <t>润禾转债!</t>
  </si>
  <si>
    <t>胜蓝转债!</t>
  </si>
  <si>
    <t>山河转债</t>
  </si>
  <si>
    <t>楚天转债</t>
  </si>
  <si>
    <t>雅创转债!</t>
  </si>
  <si>
    <t>新化转债!</t>
  </si>
  <si>
    <t>明电转02!</t>
  </si>
  <si>
    <t>齐翔转2!</t>
  </si>
  <si>
    <t>新港转债!</t>
  </si>
  <si>
    <t>百川转2</t>
  </si>
  <si>
    <t>富仕转债!</t>
  </si>
  <si>
    <t>聚合转债!</t>
  </si>
  <si>
    <t>SH513170</t>
  </si>
  <si>
    <t>恒生央企ETF</t>
  </si>
  <si>
    <t>停牌</t>
  </si>
  <si>
    <t>更新时间:2024-05-29__07.36.53</t>
    <phoneticPr fontId="2" type="noConversion"/>
  </si>
  <si>
    <t>更新时间:2024-05-29__07.39.49</t>
    <phoneticPr fontId="2" type="noConversion"/>
  </si>
  <si>
    <t>更新时间:2024-05-29__07.40.41</t>
    <phoneticPr fontId="2" type="noConversion"/>
  </si>
  <si>
    <t>SH560280</t>
  </si>
  <si>
    <t>工程机械ETF</t>
  </si>
  <si>
    <t>机械设备ETF</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</si>
</sst>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94">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0" fillId="0" borderId="1" xfId="0" applyBorder="1"/>
    <xf numFmtId="9" fontId="0" fillId="0" borderId="1" xfId="0" applyNumberFormat="1" applyBorder="1"/>
    <xf numFmtId="0" fontId="4" fillId="0" borderId="1" xfId="0" applyFont="1" applyBorder="1"/>
    <xf numFmtId="0" fontId="4" fillId="0" borderId="0" xfId="0" applyFont="1"/>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5</xdr:col>
      <xdr:colOff>219075</xdr:colOff>
      <xdr:row>24</xdr:row>
      <xdr:rowOff>147130</xdr:rowOff>
    </xdr:to>
    <xdr:pic>
      <xdr:nvPicPr>
        <xdr:cNvPr id="3" name="图片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04875"/>
          <a:ext cx="3648075" cy="35856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xdr:colOff>
      <xdr:row>4</xdr:row>
      <xdr:rowOff>28575</xdr:rowOff>
    </xdr:from>
    <xdr:to>
      <xdr:col>2</xdr:col>
      <xdr:colOff>66405</xdr:colOff>
      <xdr:row>16</xdr:row>
      <xdr:rowOff>85446</xdr:rowOff>
    </xdr:to>
    <xdr:pic>
      <xdr:nvPicPr>
        <xdr:cNvPr id="2" name="图片 1"/>
        <xdr:cNvPicPr>
          <a:picLocks noChangeAspect="1"/>
        </xdr:cNvPicPr>
      </xdr:nvPicPr>
      <xdr:blipFill>
        <a:blip xmlns:r="http://schemas.openxmlformats.org/officeDocument/2006/relationships" r:embed="rId1"/>
        <a:stretch>
          <a:fillRect/>
        </a:stretch>
      </xdr:blipFill>
      <xdr:spPr>
        <a:xfrm>
          <a:off x="9525" y="752475"/>
          <a:ext cx="2161905" cy="2228571"/>
        </a:xfrm>
        <a:prstGeom prst="rect">
          <a:avLst/>
        </a:prstGeom>
      </xdr:spPr>
    </xdr:pic>
    <xdr:clientData/>
  </xdr:twoCellAnchor>
  <xdr:twoCellAnchor editAs="oneCell">
    <xdr:from>
      <xdr:col>0</xdr:col>
      <xdr:colOff>57150</xdr:colOff>
      <xdr:row>19</xdr:row>
      <xdr:rowOff>28575</xdr:rowOff>
    </xdr:from>
    <xdr:to>
      <xdr:col>1</xdr:col>
      <xdr:colOff>485589</xdr:colOff>
      <xdr:row>24</xdr:row>
      <xdr:rowOff>180843</xdr:rowOff>
    </xdr:to>
    <xdr:pic>
      <xdr:nvPicPr>
        <xdr:cNvPr id="5" name="图片 4"/>
        <xdr:cNvPicPr>
          <a:picLocks noChangeAspect="1"/>
        </xdr:cNvPicPr>
      </xdr:nvPicPr>
      <xdr:blipFill>
        <a:blip xmlns:r="http://schemas.openxmlformats.org/officeDocument/2006/relationships" r:embed="rId2"/>
        <a:stretch>
          <a:fillRect/>
        </a:stretch>
      </xdr:blipFill>
      <xdr:spPr>
        <a:xfrm>
          <a:off x="57150" y="3467100"/>
          <a:ext cx="1485714" cy="1057143"/>
        </a:xfrm>
        <a:prstGeom prst="rect">
          <a:avLst/>
        </a:prstGeom>
      </xdr:spPr>
    </xdr:pic>
    <xdr:clientData/>
  </xdr:twoCellAnchor>
  <xdr:twoCellAnchor editAs="oneCell">
    <xdr:from>
      <xdr:col>0</xdr:col>
      <xdr:colOff>28575</xdr:colOff>
      <xdr:row>27</xdr:row>
      <xdr:rowOff>38100</xdr:rowOff>
    </xdr:from>
    <xdr:to>
      <xdr:col>1</xdr:col>
      <xdr:colOff>561776</xdr:colOff>
      <xdr:row>34</xdr:row>
      <xdr:rowOff>18894</xdr:rowOff>
    </xdr:to>
    <xdr:pic>
      <xdr:nvPicPr>
        <xdr:cNvPr id="9" name="图片 8"/>
        <xdr:cNvPicPr>
          <a:picLocks noChangeAspect="1"/>
        </xdr:cNvPicPr>
      </xdr:nvPicPr>
      <xdr:blipFill>
        <a:blip xmlns:r="http://schemas.openxmlformats.org/officeDocument/2006/relationships" r:embed="rId3"/>
        <a:stretch>
          <a:fillRect/>
        </a:stretch>
      </xdr:blipFill>
      <xdr:spPr>
        <a:xfrm>
          <a:off x="28575" y="4924425"/>
          <a:ext cx="1590476" cy="1247619"/>
        </a:xfrm>
        <a:prstGeom prst="rect">
          <a:avLst/>
        </a:prstGeom>
      </xdr:spPr>
    </xdr:pic>
    <xdr:clientData/>
  </xdr:twoCellAnchor>
  <xdr:twoCellAnchor editAs="oneCell">
    <xdr:from>
      <xdr:col>6</xdr:col>
      <xdr:colOff>333375</xdr:colOff>
      <xdr:row>0</xdr:row>
      <xdr:rowOff>171450</xdr:rowOff>
    </xdr:from>
    <xdr:to>
      <xdr:col>20</xdr:col>
      <xdr:colOff>8365</xdr:colOff>
      <xdr:row>40</xdr:row>
      <xdr:rowOff>8640</xdr:rowOff>
    </xdr:to>
    <xdr:pic>
      <xdr:nvPicPr>
        <xdr:cNvPr id="3" name="图片 2"/>
        <xdr:cNvPicPr>
          <a:picLocks noChangeAspect="1"/>
        </xdr:cNvPicPr>
      </xdr:nvPicPr>
      <xdr:blipFill>
        <a:blip xmlns:r="http://schemas.openxmlformats.org/officeDocument/2006/relationships" r:embed="rId4"/>
        <a:stretch>
          <a:fillRect/>
        </a:stretch>
      </xdr:blipFill>
      <xdr:spPr>
        <a:xfrm>
          <a:off x="8362950" y="171450"/>
          <a:ext cx="9276190" cy="707619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123825</xdr:colOff>
          <xdr:row>1</xdr:row>
          <xdr:rowOff>123825</xdr:rowOff>
        </xdr:from>
        <xdr:to>
          <xdr:col>27</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171450</xdr:colOff>
          <xdr:row>1</xdr:row>
          <xdr:rowOff>133350</xdr:rowOff>
        </xdr:from>
        <xdr:to>
          <xdr:col>27</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2"/>
  <sheetViews>
    <sheetView topLeftCell="A43" workbookViewId="0">
      <selection activeCell="E43" sqref="E43"/>
    </sheetView>
  </sheetViews>
  <sheetFormatPr defaultRowHeight="14.25" x14ac:dyDescent="0.15"/>
  <cols>
    <col min="1" max="16384" width="9" style="76"/>
  </cols>
  <sheetData>
    <row r="1" spans="1:10" x14ac:dyDescent="0.15">
      <c r="A1" s="92" t="s">
        <v>418</v>
      </c>
      <c r="B1" s="92"/>
      <c r="C1" s="92"/>
      <c r="D1" s="92"/>
      <c r="E1" s="92"/>
      <c r="F1" s="92"/>
    </row>
    <row r="2" spans="1:10" x14ac:dyDescent="0.15">
      <c r="A2" s="93" t="s">
        <v>419</v>
      </c>
      <c r="B2" s="93"/>
      <c r="C2" s="93"/>
      <c r="D2" s="93"/>
      <c r="E2" s="93"/>
      <c r="F2" s="93"/>
    </row>
    <row r="4" spans="1:10" x14ac:dyDescent="0.15">
      <c r="A4" s="77" t="s">
        <v>379</v>
      </c>
    </row>
    <row r="5" spans="1:10" s="79" customFormat="1" x14ac:dyDescent="0.15">
      <c r="A5" s="78" t="s">
        <v>885</v>
      </c>
      <c r="B5" s="78"/>
      <c r="C5" s="78"/>
      <c r="D5" s="78"/>
      <c r="E5" s="78"/>
      <c r="F5" s="78"/>
      <c r="G5" s="78"/>
      <c r="H5" s="78"/>
      <c r="I5" s="78"/>
      <c r="J5" s="78"/>
    </row>
    <row r="26" spans="1:1" s="77" customFormat="1" x14ac:dyDescent="0.15">
      <c r="A26" s="77" t="s">
        <v>384</v>
      </c>
    </row>
    <row r="27" spans="1:1" x14ac:dyDescent="0.15">
      <c r="A27" s="78" t="s">
        <v>915</v>
      </c>
    </row>
    <row r="28" spans="1:1" x14ac:dyDescent="0.15">
      <c r="A28" s="76" t="s">
        <v>916</v>
      </c>
    </row>
    <row r="29" spans="1:1" x14ac:dyDescent="0.15">
      <c r="A29" s="76" t="s">
        <v>917</v>
      </c>
    </row>
    <row r="30" spans="1:1" x14ac:dyDescent="0.15">
      <c r="A30" s="76" t="s">
        <v>918</v>
      </c>
    </row>
    <row r="31" spans="1:1" x14ac:dyDescent="0.15">
      <c r="A31" s="76" t="s">
        <v>919</v>
      </c>
    </row>
    <row r="32" spans="1:1" x14ac:dyDescent="0.15">
      <c r="A32" s="76" t="s">
        <v>920</v>
      </c>
    </row>
    <row r="34" spans="1:1" x14ac:dyDescent="0.15">
      <c r="A34" s="76" t="s">
        <v>385</v>
      </c>
    </row>
    <row r="35" spans="1:1" x14ac:dyDescent="0.15">
      <c r="A35" s="76" t="s">
        <v>386</v>
      </c>
    </row>
    <row r="36" spans="1:1" x14ac:dyDescent="0.15">
      <c r="A36" s="76" t="s">
        <v>921</v>
      </c>
    </row>
    <row r="37" spans="1:1" x14ac:dyDescent="0.15">
      <c r="A37" s="76" t="s">
        <v>922</v>
      </c>
    </row>
    <row r="38" spans="1:1" x14ac:dyDescent="0.15">
      <c r="A38" s="76" t="s">
        <v>923</v>
      </c>
    </row>
    <row r="40" spans="1:1" x14ac:dyDescent="0.15">
      <c r="A40" s="76" t="s">
        <v>642</v>
      </c>
    </row>
    <row r="41" spans="1:1" x14ac:dyDescent="0.15">
      <c r="A41" s="76" t="s">
        <v>644</v>
      </c>
    </row>
    <row r="43" spans="1:1" x14ac:dyDescent="0.15">
      <c r="A43" s="76" t="s">
        <v>643</v>
      </c>
    </row>
    <row r="44" spans="1:1" s="77" customFormat="1" x14ac:dyDescent="0.15"/>
    <row r="46" spans="1:1" s="77" customFormat="1" x14ac:dyDescent="0.15">
      <c r="A46" s="77" t="s">
        <v>387</v>
      </c>
    </row>
    <row r="47" spans="1:1" x14ac:dyDescent="0.15">
      <c r="A47" s="76" t="s">
        <v>633</v>
      </c>
    </row>
    <row r="48" spans="1:1" x14ac:dyDescent="0.15">
      <c r="A48" s="76" t="s">
        <v>380</v>
      </c>
    </row>
    <row r="49" spans="1:1" x14ac:dyDescent="0.15">
      <c r="A49" s="76" t="s">
        <v>620</v>
      </c>
    </row>
    <row r="50" spans="1:1" x14ac:dyDescent="0.15">
      <c r="A50" s="76" t="s">
        <v>388</v>
      </c>
    </row>
    <row r="52" spans="1:1" x14ac:dyDescent="0.15">
      <c r="A52" s="76" t="s">
        <v>389</v>
      </c>
    </row>
    <row r="54" spans="1:1" x14ac:dyDescent="0.15">
      <c r="A54" s="76" t="s">
        <v>621</v>
      </c>
    </row>
    <row r="56" spans="1:1" x14ac:dyDescent="0.15">
      <c r="A56" s="76" t="s">
        <v>390</v>
      </c>
    </row>
    <row r="57" spans="1:1" x14ac:dyDescent="0.15">
      <c r="A57" s="76" t="s">
        <v>381</v>
      </c>
    </row>
    <row r="60" spans="1:1" s="77" customFormat="1" x14ac:dyDescent="0.15">
      <c r="A60" s="77" t="s">
        <v>393</v>
      </c>
    </row>
    <row r="61" spans="1:1" x14ac:dyDescent="0.15">
      <c r="A61" s="76" t="s">
        <v>391</v>
      </c>
    </row>
    <row r="62" spans="1:1" x14ac:dyDescent="0.15">
      <c r="A62" s="76" t="s">
        <v>392</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7"/>
  <sheetViews>
    <sheetView workbookViewId="0">
      <selection activeCell="E23" sqref="E23"/>
    </sheetView>
  </sheetViews>
  <sheetFormatPr defaultRowHeight="14.25" x14ac:dyDescent="0.15"/>
  <cols>
    <col min="1" max="1" width="13.875" bestFit="1" customWidth="1"/>
    <col min="2" max="2" width="13.75" customWidth="1"/>
    <col min="3" max="3" width="11.25" customWidth="1"/>
    <col min="4" max="4" width="15" bestFit="1" customWidth="1"/>
    <col min="5" max="5" width="18.625" bestFit="1" customWidth="1"/>
    <col min="6" max="6" width="32.875" bestFit="1" customWidth="1"/>
    <col min="8" max="8" width="9" customWidth="1"/>
  </cols>
  <sheetData>
    <row r="1" spans="1:6" s="91" customFormat="1" x14ac:dyDescent="0.15">
      <c r="A1" s="90" t="s">
        <v>928</v>
      </c>
      <c r="B1" s="90" t="s">
        <v>937</v>
      </c>
      <c r="C1" s="90" t="s">
        <v>929</v>
      </c>
      <c r="D1" s="90" t="s">
        <v>932</v>
      </c>
      <c r="E1" s="90" t="s">
        <v>933</v>
      </c>
      <c r="F1" s="90" t="s">
        <v>930</v>
      </c>
    </row>
    <row r="2" spans="1:6" x14ac:dyDescent="0.15">
      <c r="A2" s="88" t="s">
        <v>931</v>
      </c>
      <c r="B2" s="89">
        <v>0.3</v>
      </c>
      <c r="C2" s="89">
        <v>0.3</v>
      </c>
      <c r="D2" s="89">
        <v>0.2</v>
      </c>
      <c r="E2" s="89">
        <v>0.1</v>
      </c>
      <c r="F2" s="89">
        <v>0.1</v>
      </c>
    </row>
    <row r="4" spans="1:6" x14ac:dyDescent="0.15">
      <c r="A4" s="90" t="s">
        <v>932</v>
      </c>
    </row>
    <row r="19" spans="1:1" x14ac:dyDescent="0.15">
      <c r="A19" s="90" t="s">
        <v>934</v>
      </c>
    </row>
    <row r="27" spans="1:1" x14ac:dyDescent="0.15">
      <c r="A27" s="90" t="s">
        <v>935</v>
      </c>
    </row>
  </sheetData>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149"/>
  <sheetViews>
    <sheetView workbookViewId="0">
      <pane ySplit="7" topLeftCell="A8" activePane="bottomLeft" state="frozen"/>
      <selection pane="bottomLeft" activeCell="X17" sqref="X17"/>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3" customWidth="1"/>
    <col min="9" max="9" width="9.5" style="57"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5" customWidth="1"/>
    <col min="20" max="20" width="8.625" style="67" customWidth="1"/>
    <col min="21" max="22" width="3.875" style="25" customWidth="1"/>
    <col min="23" max="16384" width="9" style="25"/>
  </cols>
  <sheetData>
    <row r="1" spans="1:24" s="56" customFormat="1" ht="16.5" customHeight="1" x14ac:dyDescent="0.15">
      <c r="A1" s="56" t="s">
        <v>629</v>
      </c>
      <c r="D1" s="56" t="s">
        <v>630</v>
      </c>
      <c r="H1" s="56" t="s">
        <v>631</v>
      </c>
      <c r="I1" s="25"/>
      <c r="J1" s="25"/>
      <c r="L1" s="56" t="s">
        <v>632</v>
      </c>
      <c r="U1" s="25"/>
    </row>
    <row r="2" spans="1:24" x14ac:dyDescent="0.15">
      <c r="A2" s="26" t="s">
        <v>608</v>
      </c>
      <c r="B2" s="58"/>
      <c r="C2" s="58"/>
      <c r="D2" s="58">
        <v>200</v>
      </c>
      <c r="E2" s="59"/>
      <c r="F2" s="58"/>
      <c r="G2" s="58"/>
      <c r="H2" s="72">
        <v>0.5</v>
      </c>
      <c r="I2" s="58"/>
      <c r="J2" s="58"/>
      <c r="K2" s="60"/>
      <c r="L2" s="60">
        <v>11</v>
      </c>
      <c r="M2" s="60"/>
      <c r="N2" s="59"/>
      <c r="O2" s="59"/>
      <c r="P2" s="58"/>
      <c r="Q2" s="58"/>
      <c r="R2" s="58"/>
      <c r="S2" s="58"/>
      <c r="T2" s="58"/>
    </row>
    <row r="3" spans="1:24" x14ac:dyDescent="0.15">
      <c r="A3" s="26" t="s">
        <v>609</v>
      </c>
      <c r="B3" s="61"/>
      <c r="C3" s="61"/>
      <c r="D3" s="61">
        <v>150</v>
      </c>
      <c r="E3" s="62"/>
      <c r="F3" s="61"/>
      <c r="G3" s="61"/>
      <c r="H3" s="73">
        <v>0.5</v>
      </c>
      <c r="I3" s="61"/>
      <c r="J3" s="61"/>
      <c r="K3" s="63"/>
      <c r="L3" s="63">
        <v>4</v>
      </c>
      <c r="M3" s="63"/>
      <c r="N3" s="62"/>
      <c r="O3" s="62"/>
      <c r="P3" s="61"/>
      <c r="Q3" s="61"/>
      <c r="R3" s="61"/>
      <c r="S3" s="61"/>
      <c r="T3" s="61"/>
    </row>
    <row r="4" spans="1:24" s="56" customFormat="1" ht="30" customHeight="1" x14ac:dyDescent="0.15">
      <c r="A4" s="56" t="s">
        <v>610</v>
      </c>
      <c r="D4" s="56" t="s">
        <v>622</v>
      </c>
      <c r="H4" s="56" t="s">
        <v>622</v>
      </c>
      <c r="I4" s="25"/>
      <c r="J4" s="25"/>
      <c r="L4" s="56" t="s">
        <v>622</v>
      </c>
      <c r="U4" s="25"/>
    </row>
    <row r="5" spans="1:24" x14ac:dyDescent="0.15">
      <c r="A5" s="26" t="s">
        <v>612</v>
      </c>
      <c r="B5" s="64"/>
      <c r="C5" s="64"/>
      <c r="D5" s="58" t="s">
        <v>625</v>
      </c>
      <c r="E5" s="68"/>
      <c r="F5" s="64"/>
      <c r="G5" s="64"/>
      <c r="H5" s="74" t="s">
        <v>624</v>
      </c>
      <c r="I5" s="64"/>
      <c r="J5" s="64"/>
      <c r="K5" s="69"/>
      <c r="L5" s="69" t="s">
        <v>623</v>
      </c>
      <c r="M5" s="69"/>
      <c r="N5" s="68"/>
      <c r="O5" s="68"/>
      <c r="P5" s="64"/>
      <c r="Q5" s="64"/>
      <c r="R5" s="64"/>
      <c r="S5" s="64"/>
      <c r="T5" s="64"/>
    </row>
    <row r="6" spans="1:24" x14ac:dyDescent="0.15">
      <c r="A6" s="26" t="s">
        <v>611</v>
      </c>
      <c r="B6" s="66"/>
      <c r="C6" s="66"/>
      <c r="D6" s="66" t="s">
        <v>626</v>
      </c>
      <c r="E6" s="70"/>
      <c r="F6" s="66"/>
      <c r="G6" s="66"/>
      <c r="H6" s="75" t="s">
        <v>627</v>
      </c>
      <c r="I6" s="66"/>
      <c r="J6" s="66"/>
      <c r="K6" s="71"/>
      <c r="L6" s="71" t="s">
        <v>628</v>
      </c>
      <c r="M6" s="71"/>
      <c r="N6" s="70"/>
      <c r="O6" s="70"/>
      <c r="P6" s="66"/>
      <c r="Q6" s="66"/>
      <c r="R6" s="66"/>
      <c r="S6" s="66"/>
      <c r="T6" s="66"/>
    </row>
    <row r="7" spans="1:24" s="52" customFormat="1" ht="36" customHeight="1" x14ac:dyDescent="0.15">
      <c r="A7" s="50"/>
      <c r="B7" s="47" t="s">
        <v>357</v>
      </c>
      <c r="C7" s="47" t="s">
        <v>358</v>
      </c>
      <c r="D7" s="48" t="s">
        <v>356</v>
      </c>
      <c r="E7" s="51" t="s">
        <v>365</v>
      </c>
      <c r="F7" s="52" t="s">
        <v>366</v>
      </c>
      <c r="G7" s="52" t="s">
        <v>367</v>
      </c>
      <c r="H7" s="52" t="s">
        <v>29</v>
      </c>
      <c r="I7" s="52" t="s">
        <v>359</v>
      </c>
      <c r="J7" s="52" t="s">
        <v>368</v>
      </c>
      <c r="K7" s="53" t="s">
        <v>369</v>
      </c>
      <c r="L7" s="54" t="s">
        <v>360</v>
      </c>
      <c r="M7" s="48" t="s">
        <v>370</v>
      </c>
      <c r="N7" s="49" t="s">
        <v>371</v>
      </c>
      <c r="O7" s="55" t="s">
        <v>372</v>
      </c>
      <c r="P7" s="48" t="s">
        <v>373</v>
      </c>
      <c r="Q7" s="48" t="s">
        <v>374</v>
      </c>
      <c r="R7" s="51" t="s">
        <v>375</v>
      </c>
      <c r="S7" s="51" t="s">
        <v>615</v>
      </c>
      <c r="T7" s="51" t="s">
        <v>616</v>
      </c>
    </row>
    <row r="8" spans="1:24" x14ac:dyDescent="0.15">
      <c r="A8" s="26">
        <v>1</v>
      </c>
      <c r="B8" s="25">
        <v>118019</v>
      </c>
      <c r="C8" s="25" t="s">
        <v>949</v>
      </c>
      <c r="D8" s="25">
        <v>161.59899999999999</v>
      </c>
      <c r="E8" s="34">
        <v>0</v>
      </c>
      <c r="F8" s="25">
        <v>34.369999999999997</v>
      </c>
      <c r="G8" s="25">
        <v>180.39</v>
      </c>
      <c r="H8" s="43">
        <v>-0.1042</v>
      </c>
      <c r="I8" s="57">
        <v>151.179</v>
      </c>
      <c r="J8" s="32">
        <v>47012</v>
      </c>
      <c r="K8" s="33">
        <v>4.3040000000000003</v>
      </c>
      <c r="L8" s="33">
        <v>6.0350000000000001E-2</v>
      </c>
      <c r="M8" s="33">
        <v>0</v>
      </c>
      <c r="N8" s="34">
        <v>0</v>
      </c>
      <c r="O8" s="34">
        <v>-7.7667E-2</v>
      </c>
      <c r="R8" s="34" t="s">
        <v>1067</v>
      </c>
    </row>
    <row r="9" spans="1:24" x14ac:dyDescent="0.15">
      <c r="A9" s="26">
        <v>2</v>
      </c>
      <c r="B9" s="25">
        <v>123044</v>
      </c>
      <c r="C9" s="25" t="s">
        <v>1009</v>
      </c>
      <c r="D9" s="25">
        <v>127.601</v>
      </c>
      <c r="E9" s="34">
        <v>1.78E-2</v>
      </c>
      <c r="F9" s="25">
        <v>3.7</v>
      </c>
      <c r="G9" s="25">
        <v>128.11000000000001</v>
      </c>
      <c r="H9" s="43">
        <v>-4.0000000000000001E-3</v>
      </c>
      <c r="I9" s="57">
        <v>127.20099999999999</v>
      </c>
      <c r="J9" s="32">
        <v>46093</v>
      </c>
      <c r="K9" s="33">
        <v>1.784</v>
      </c>
      <c r="L9" s="33">
        <v>4.2898649999999998</v>
      </c>
      <c r="M9" s="33">
        <v>13150.9505625</v>
      </c>
      <c r="N9" s="34">
        <v>0.2402478124075359</v>
      </c>
      <c r="O9" s="34">
        <v>-2.9699E-2</v>
      </c>
      <c r="P9" s="25">
        <v>129.529</v>
      </c>
      <c r="Q9" s="25">
        <v>125.532</v>
      </c>
      <c r="R9" s="34">
        <v>3.1840486887805497E-2</v>
      </c>
      <c r="W9" s="27"/>
      <c r="X9" s="27"/>
    </row>
    <row r="10" spans="1:24" x14ac:dyDescent="0.15">
      <c r="A10" s="26">
        <v>3</v>
      </c>
      <c r="B10" s="25">
        <v>110077</v>
      </c>
      <c r="C10" s="25" t="s">
        <v>992</v>
      </c>
      <c r="D10" s="25">
        <v>197.584</v>
      </c>
      <c r="E10" s="34">
        <v>1.4000000000000002E-3</v>
      </c>
      <c r="F10" s="25">
        <v>5.78</v>
      </c>
      <c r="G10" s="25">
        <v>196.71</v>
      </c>
      <c r="H10" s="43">
        <v>4.4000000000000003E-3</v>
      </c>
      <c r="I10" s="57">
        <v>198.024</v>
      </c>
      <c r="J10" s="32">
        <v>46346</v>
      </c>
      <c r="K10" s="33">
        <v>2.4769999999999999</v>
      </c>
      <c r="L10" s="33">
        <v>9.6367600000000007</v>
      </c>
      <c r="M10" s="33">
        <v>7608.2071999999998</v>
      </c>
      <c r="N10" s="34">
        <v>3.995761104840103E-2</v>
      </c>
      <c r="O10" s="34">
        <v>-0.20549900000000001</v>
      </c>
      <c r="P10" s="25">
        <v>200.357</v>
      </c>
      <c r="Q10" s="25">
        <v>196.047</v>
      </c>
      <c r="R10" s="34">
        <v>2.1984524119216323E-2</v>
      </c>
      <c r="W10" s="27"/>
      <c r="X10" s="27"/>
    </row>
    <row r="11" spans="1:24" x14ac:dyDescent="0.15">
      <c r="A11" s="26">
        <v>4</v>
      </c>
      <c r="B11" s="25">
        <v>127014</v>
      </c>
      <c r="C11" s="25" t="s">
        <v>890</v>
      </c>
      <c r="D11" s="25">
        <v>152.1</v>
      </c>
      <c r="E11" s="34">
        <v>-9.4999999999999998E-3</v>
      </c>
      <c r="F11" s="25">
        <v>7.74</v>
      </c>
      <c r="G11" s="25">
        <v>150.9</v>
      </c>
      <c r="H11" s="43">
        <v>8.0000000000000002E-3</v>
      </c>
      <c r="I11" s="57">
        <v>152.9</v>
      </c>
      <c r="J11" s="32">
        <v>45954</v>
      </c>
      <c r="K11" s="33">
        <v>1.403</v>
      </c>
      <c r="L11" s="33">
        <v>5.3004920000000002</v>
      </c>
      <c r="M11" s="33">
        <v>8856.1914180000003</v>
      </c>
      <c r="N11" s="34">
        <v>0.10985038855259495</v>
      </c>
      <c r="O11" s="34">
        <v>-0.198521</v>
      </c>
      <c r="P11" s="25">
        <v>154.21</v>
      </c>
      <c r="Q11" s="25">
        <v>151.1</v>
      </c>
      <c r="R11" s="34">
        <v>2.058239576439453E-2</v>
      </c>
      <c r="W11" s="27"/>
      <c r="X11" s="27"/>
    </row>
    <row r="12" spans="1:24" x14ac:dyDescent="0.15">
      <c r="A12" s="26">
        <v>5</v>
      </c>
      <c r="B12" s="25">
        <v>128123</v>
      </c>
      <c r="C12" s="25" t="s">
        <v>966</v>
      </c>
      <c r="D12" s="25">
        <v>134.08600000000001</v>
      </c>
      <c r="E12" s="34">
        <v>-1.1000000000000001E-3</v>
      </c>
      <c r="F12" s="25">
        <v>12.31</v>
      </c>
      <c r="G12" s="25">
        <v>131.68</v>
      </c>
      <c r="H12" s="43">
        <v>1.83E-2</v>
      </c>
      <c r="I12" s="57">
        <v>135.91600000000003</v>
      </c>
      <c r="J12" s="32">
        <v>46230</v>
      </c>
      <c r="K12" s="33">
        <v>2.1589999999999998</v>
      </c>
      <c r="L12" s="33">
        <v>3.1302699999999999</v>
      </c>
      <c r="M12" s="33">
        <v>2453.2172170000003</v>
      </c>
      <c r="N12" s="34">
        <v>5.8448150030376914E-2</v>
      </c>
      <c r="O12" s="34">
        <v>-7.3824000000000001E-2</v>
      </c>
      <c r="P12" s="25">
        <v>135.5</v>
      </c>
      <c r="Q12" s="25">
        <v>133.31899999999999</v>
      </c>
      <c r="R12" s="34">
        <v>1.635925862030177E-2</v>
      </c>
      <c r="W12" s="25" t="s">
        <v>1069</v>
      </c>
    </row>
    <row r="13" spans="1:24" x14ac:dyDescent="0.15">
      <c r="A13" s="26">
        <v>6</v>
      </c>
      <c r="B13" s="25">
        <v>127075</v>
      </c>
      <c r="C13" s="25" t="s">
        <v>1062</v>
      </c>
      <c r="D13" s="25">
        <v>120.3</v>
      </c>
      <c r="E13" s="34">
        <v>-5.8700000000000002E-2</v>
      </c>
      <c r="F13" s="25">
        <v>10.31</v>
      </c>
      <c r="G13" s="25">
        <v>116.29</v>
      </c>
      <c r="H13" s="43">
        <v>3.4500000000000003E-2</v>
      </c>
      <c r="I13" s="57">
        <v>123.75</v>
      </c>
      <c r="J13" s="32">
        <v>47045</v>
      </c>
      <c r="K13" s="33">
        <v>4.3920000000000003</v>
      </c>
      <c r="L13" s="33">
        <v>9.6706240000000001</v>
      </c>
      <c r="M13" s="33">
        <v>167083.5098689</v>
      </c>
      <c r="N13" s="34">
        <v>1.4361951786668146</v>
      </c>
      <c r="O13" s="34">
        <v>9.6400000000000001E-4</v>
      </c>
      <c r="P13" s="25">
        <v>131.22999999999999</v>
      </c>
      <c r="Q13" s="25">
        <v>119.44</v>
      </c>
      <c r="R13" s="34">
        <v>9.8710649698593375E-2</v>
      </c>
    </row>
    <row r="14" spans="1:24" x14ac:dyDescent="0.15">
      <c r="A14" s="26">
        <v>7</v>
      </c>
      <c r="B14" s="25">
        <v>123106</v>
      </c>
      <c r="C14" s="25" t="s">
        <v>993</v>
      </c>
      <c r="D14" s="25">
        <v>379.9</v>
      </c>
      <c r="E14" s="34">
        <v>-0.1326</v>
      </c>
      <c r="F14" s="25">
        <v>7.4</v>
      </c>
      <c r="G14" s="25">
        <v>367.03</v>
      </c>
      <c r="H14" s="43">
        <v>3.5099999999999999E-2</v>
      </c>
      <c r="I14" s="57">
        <v>383.40999999999997</v>
      </c>
      <c r="J14" s="32">
        <v>46470</v>
      </c>
      <c r="K14" s="33">
        <v>2.8159999999999998</v>
      </c>
      <c r="L14" s="33">
        <v>1.078298</v>
      </c>
      <c r="M14" s="33">
        <v>876183.82368740009</v>
      </c>
      <c r="N14" s="34">
        <v>21.38883536519117</v>
      </c>
      <c r="O14" s="34">
        <v>-0.33161700000000005</v>
      </c>
      <c r="P14" s="25">
        <v>465</v>
      </c>
      <c r="Q14" s="25">
        <v>360.5</v>
      </c>
      <c r="R14" s="34">
        <v>0.28987517337031898</v>
      </c>
    </row>
    <row r="15" spans="1:24" x14ac:dyDescent="0.15">
      <c r="A15" s="26">
        <v>8</v>
      </c>
      <c r="B15" s="25">
        <v>123127</v>
      </c>
      <c r="C15" s="25" t="s">
        <v>964</v>
      </c>
      <c r="D15" s="25">
        <v>163</v>
      </c>
      <c r="E15" s="34">
        <v>-1.6299999999999999E-2</v>
      </c>
      <c r="F15" s="25">
        <v>17.34</v>
      </c>
      <c r="G15" s="25">
        <v>157.21</v>
      </c>
      <c r="H15" s="43">
        <v>3.6799999999999999E-2</v>
      </c>
      <c r="I15" s="57">
        <v>166.68</v>
      </c>
      <c r="J15" s="32">
        <v>46689</v>
      </c>
      <c r="K15" s="33">
        <v>3.4159999999999999</v>
      </c>
      <c r="L15" s="33">
        <v>2.8521869999999998</v>
      </c>
      <c r="M15" s="33">
        <v>10611.46466</v>
      </c>
      <c r="N15" s="34">
        <v>0.22824944572024586</v>
      </c>
      <c r="O15" s="34">
        <v>-9.849999999999999E-2</v>
      </c>
      <c r="P15" s="25">
        <v>168.148</v>
      </c>
      <c r="Q15" s="25">
        <v>161.5</v>
      </c>
      <c r="R15" s="34">
        <v>4.1164086687306478E-2</v>
      </c>
    </row>
    <row r="16" spans="1:24" x14ac:dyDescent="0.15">
      <c r="A16" s="26">
        <v>9</v>
      </c>
      <c r="B16" s="25">
        <v>123223</v>
      </c>
      <c r="C16" s="25" t="s">
        <v>994</v>
      </c>
      <c r="D16" s="25">
        <v>169.499</v>
      </c>
      <c r="E16" s="34">
        <v>-2.0799999999999999E-2</v>
      </c>
      <c r="F16" s="25">
        <v>15.38</v>
      </c>
      <c r="G16" s="25">
        <v>163.33000000000001</v>
      </c>
      <c r="H16" s="43">
        <v>3.78E-2</v>
      </c>
      <c r="I16" s="57">
        <v>173.279</v>
      </c>
      <c r="J16" s="32">
        <v>47376</v>
      </c>
      <c r="K16" s="33">
        <v>5.2990000000000004</v>
      </c>
      <c r="L16" s="33">
        <v>3.5360119999999999</v>
      </c>
      <c r="M16" s="33">
        <v>4120.3735909999996</v>
      </c>
      <c r="N16" s="34">
        <v>6.8747312379516812E-2</v>
      </c>
      <c r="O16" s="34">
        <v>-6.5956000000000001E-2</v>
      </c>
      <c r="P16" s="25">
        <v>173.75</v>
      </c>
      <c r="Q16" s="25">
        <v>168.5</v>
      </c>
      <c r="R16" s="34">
        <v>3.1157270029673591E-2</v>
      </c>
    </row>
    <row r="17" spans="1:18" x14ac:dyDescent="0.15">
      <c r="A17" s="26">
        <v>10</v>
      </c>
      <c r="B17" s="25">
        <v>123143</v>
      </c>
      <c r="C17" s="25" t="s">
        <v>1054</v>
      </c>
      <c r="D17" s="25">
        <v>148.5</v>
      </c>
      <c r="E17" s="34">
        <v>-7.1900000000000006E-2</v>
      </c>
      <c r="F17" s="25">
        <v>23.27</v>
      </c>
      <c r="G17" s="25">
        <v>142.88999999999999</v>
      </c>
      <c r="H17" s="43">
        <v>3.9300000000000002E-2</v>
      </c>
      <c r="I17" s="57">
        <v>152.43</v>
      </c>
      <c r="J17" s="32">
        <v>46843</v>
      </c>
      <c r="K17" s="33">
        <v>3.8380000000000001</v>
      </c>
      <c r="L17" s="33">
        <v>2.690442</v>
      </c>
      <c r="M17" s="33">
        <v>151115.5350798</v>
      </c>
      <c r="N17" s="34">
        <v>3.7823265873800818</v>
      </c>
      <c r="O17" s="34">
        <v>-6.2240000000000004E-2</v>
      </c>
      <c r="P17" s="25">
        <v>159</v>
      </c>
      <c r="Q17" s="25">
        <v>148.21</v>
      </c>
      <c r="R17" s="34">
        <v>7.2802105121111876E-2</v>
      </c>
    </row>
    <row r="18" spans="1:18" x14ac:dyDescent="0.15">
      <c r="A18" s="26">
        <v>11</v>
      </c>
      <c r="B18" s="25">
        <v>123209</v>
      </c>
      <c r="C18" s="25" t="s">
        <v>1013</v>
      </c>
      <c r="D18" s="25">
        <v>148.30000000000001</v>
      </c>
      <c r="E18" s="34">
        <v>-2.4300000000000002E-2</v>
      </c>
      <c r="F18" s="25">
        <v>18.27</v>
      </c>
      <c r="G18" s="25">
        <v>142.31</v>
      </c>
      <c r="H18" s="43">
        <v>4.2099999999999999E-2</v>
      </c>
      <c r="I18" s="57">
        <v>152.51000000000002</v>
      </c>
      <c r="J18" s="32">
        <v>47325</v>
      </c>
      <c r="K18" s="33">
        <v>5.1589999999999998</v>
      </c>
      <c r="L18" s="33">
        <v>2.1518389999999998</v>
      </c>
      <c r="M18" s="33">
        <v>402847.59932149999</v>
      </c>
      <c r="N18" s="34">
        <v>12.623792707302393</v>
      </c>
      <c r="O18" s="34">
        <v>-4.2834999999999998E-2</v>
      </c>
      <c r="P18" s="25">
        <v>167.548</v>
      </c>
      <c r="Q18" s="25">
        <v>146.5</v>
      </c>
      <c r="R18" s="34">
        <v>0.14367235494880548</v>
      </c>
    </row>
    <row r="19" spans="1:18" x14ac:dyDescent="0.15">
      <c r="A19" s="26">
        <v>12</v>
      </c>
      <c r="B19" s="25">
        <v>111015</v>
      </c>
      <c r="C19" s="25" t="s">
        <v>894</v>
      </c>
      <c r="D19" s="25">
        <v>121.574</v>
      </c>
      <c r="E19" s="34">
        <v>-1.37E-2</v>
      </c>
      <c r="F19" s="25">
        <v>20.6</v>
      </c>
      <c r="G19" s="25">
        <v>116.21</v>
      </c>
      <c r="H19" s="43">
        <v>4.6199999999999998E-2</v>
      </c>
      <c r="I19" s="57">
        <v>126.194</v>
      </c>
      <c r="J19" s="32">
        <v>47305</v>
      </c>
      <c r="K19" s="33">
        <v>5.1040000000000001</v>
      </c>
      <c r="L19" s="33">
        <v>6.6623999999999999</v>
      </c>
      <c r="M19" s="33">
        <v>7152.5163000000002</v>
      </c>
      <c r="N19" s="34">
        <v>8.8305437535725562E-2</v>
      </c>
      <c r="O19" s="34">
        <v>-2.7560000000000002E-3</v>
      </c>
      <c r="P19" s="25">
        <v>123.7</v>
      </c>
      <c r="Q19" s="25">
        <v>121.23</v>
      </c>
      <c r="R19" s="34">
        <v>2.0374494762022591E-2</v>
      </c>
    </row>
    <row r="20" spans="1:18" x14ac:dyDescent="0.15">
      <c r="A20" s="26">
        <v>13</v>
      </c>
      <c r="B20" s="25">
        <v>123205</v>
      </c>
      <c r="C20" s="25" t="s">
        <v>1004</v>
      </c>
      <c r="D20" s="25">
        <v>131.12899999999999</v>
      </c>
      <c r="E20" s="34">
        <v>-2.5399999999999999E-2</v>
      </c>
      <c r="F20" s="25">
        <v>11.19</v>
      </c>
      <c r="G20" s="25">
        <v>125.11</v>
      </c>
      <c r="H20" s="43">
        <v>4.8099999999999997E-2</v>
      </c>
      <c r="I20" s="57">
        <v>135.93899999999999</v>
      </c>
      <c r="J20" s="32">
        <v>47316</v>
      </c>
      <c r="K20" s="33">
        <v>5.1340000000000003</v>
      </c>
      <c r="L20" s="33">
        <v>4.0439749999999997</v>
      </c>
      <c r="M20" s="33">
        <v>22062.8177431</v>
      </c>
      <c r="N20" s="34">
        <v>0.41605789359920081</v>
      </c>
      <c r="O20" s="34">
        <v>-1.9527000000000003E-2</v>
      </c>
      <c r="P20" s="25">
        <v>134.80000000000001</v>
      </c>
      <c r="Q20" s="25">
        <v>130.01</v>
      </c>
      <c r="R20" s="34">
        <v>3.6843319744635186E-2</v>
      </c>
    </row>
    <row r="21" spans="1:18" x14ac:dyDescent="0.15">
      <c r="A21" s="26">
        <v>14</v>
      </c>
      <c r="B21" s="25">
        <v>111017</v>
      </c>
      <c r="C21" s="25" t="s">
        <v>996</v>
      </c>
      <c r="D21" s="25">
        <v>154.02600000000001</v>
      </c>
      <c r="E21" s="34">
        <v>1.3300000000000001E-2</v>
      </c>
      <c r="F21" s="25">
        <v>9.2799999999999994</v>
      </c>
      <c r="G21" s="25">
        <v>146.77000000000001</v>
      </c>
      <c r="H21" s="43">
        <v>4.9400000000000006E-2</v>
      </c>
      <c r="I21" s="57">
        <v>158.96600000000001</v>
      </c>
      <c r="J21" s="32">
        <v>47345</v>
      </c>
      <c r="K21" s="33">
        <v>5.2140000000000004</v>
      </c>
      <c r="L21" s="33">
        <v>8.6962499999999991</v>
      </c>
      <c r="M21" s="33">
        <v>4970.2956999999997</v>
      </c>
      <c r="N21" s="34">
        <v>3.7107028151160432E-2</v>
      </c>
      <c r="O21" s="34">
        <v>-5.5252999999999997E-2</v>
      </c>
      <c r="P21" s="25">
        <v>156.48699999999999</v>
      </c>
      <c r="Q21" s="25">
        <v>152.089</v>
      </c>
      <c r="R21" s="34">
        <v>2.8917278698656682E-2</v>
      </c>
    </row>
    <row r="22" spans="1:18" x14ac:dyDescent="0.15">
      <c r="A22" s="26">
        <v>15</v>
      </c>
      <c r="B22" s="25">
        <v>128106</v>
      </c>
      <c r="C22" s="25" t="s">
        <v>967</v>
      </c>
      <c r="D22" s="25">
        <v>267.02699999999999</v>
      </c>
      <c r="E22" s="34">
        <v>-6.1999999999999998E-3</v>
      </c>
      <c r="F22" s="25">
        <v>8.82</v>
      </c>
      <c r="G22" s="25">
        <v>253.06</v>
      </c>
      <c r="H22" s="43">
        <v>5.5199999999999999E-2</v>
      </c>
      <c r="I22" s="57">
        <v>272.54699999999997</v>
      </c>
      <c r="J22" s="32">
        <v>46122</v>
      </c>
      <c r="K22" s="33">
        <v>1.863</v>
      </c>
      <c r="L22" s="33">
        <v>2.4223249999999998</v>
      </c>
      <c r="M22" s="33">
        <v>14056.3412718</v>
      </c>
      <c r="N22" s="34">
        <v>0.21731249839256711</v>
      </c>
      <c r="O22" s="34">
        <v>-0.38101499999999999</v>
      </c>
      <c r="P22" s="25">
        <v>271.03500000000003</v>
      </c>
      <c r="Q22" s="25">
        <v>261.26100000000002</v>
      </c>
      <c r="R22" s="34">
        <v>3.7410864997071892E-2</v>
      </c>
    </row>
    <row r="23" spans="1:18" x14ac:dyDescent="0.15">
      <c r="A23" s="26">
        <v>16</v>
      </c>
      <c r="B23" s="25">
        <v>128087</v>
      </c>
      <c r="C23" s="25" t="s">
        <v>42</v>
      </c>
      <c r="D23" s="25">
        <v>121.88</v>
      </c>
      <c r="E23" s="34">
        <v>-7.8000000000000005E-3</v>
      </c>
      <c r="F23" s="25">
        <v>4.07</v>
      </c>
      <c r="G23" s="25">
        <v>114.5</v>
      </c>
      <c r="H23" s="43">
        <v>6.4500000000000002E-2</v>
      </c>
      <c r="I23" s="57">
        <v>128.32999999999998</v>
      </c>
      <c r="J23" s="32">
        <v>46008</v>
      </c>
      <c r="K23" s="33">
        <v>1.5509999999999999</v>
      </c>
      <c r="L23" s="33">
        <v>6.4426889999999997</v>
      </c>
      <c r="M23" s="33">
        <v>1807.3107665</v>
      </c>
      <c r="N23" s="34">
        <v>2.3016178791936737E-2</v>
      </c>
      <c r="O23" s="34">
        <v>-6.5631000000000009E-2</v>
      </c>
      <c r="P23" s="25">
        <v>122.517</v>
      </c>
      <c r="Q23" s="25">
        <v>121.455</v>
      </c>
      <c r="R23" s="34">
        <v>8.7439792515746385E-3</v>
      </c>
    </row>
    <row r="24" spans="1:18" x14ac:dyDescent="0.15">
      <c r="A24" s="26">
        <v>17</v>
      </c>
      <c r="B24" s="25">
        <v>113631</v>
      </c>
      <c r="C24" s="25" t="s">
        <v>951</v>
      </c>
      <c r="D24" s="25">
        <v>130.15199999999999</v>
      </c>
      <c r="E24" s="34">
        <v>1.1999999999999999E-3</v>
      </c>
      <c r="F24" s="25">
        <v>7.56</v>
      </c>
      <c r="G24" s="25">
        <v>121.96</v>
      </c>
      <c r="H24" s="43">
        <v>6.7199999999999996E-2</v>
      </c>
      <c r="I24" s="57">
        <v>136.87199999999999</v>
      </c>
      <c r="J24" s="32">
        <v>46699</v>
      </c>
      <c r="K24" s="33">
        <v>3.444</v>
      </c>
      <c r="L24" s="33">
        <v>9.2962299999999995</v>
      </c>
      <c r="M24" s="33">
        <v>2411.6095999999998</v>
      </c>
      <c r="N24" s="34">
        <v>1.993192744978646E-2</v>
      </c>
      <c r="O24" s="34">
        <v>-3.8572999999999996E-2</v>
      </c>
      <c r="P24" s="25">
        <v>130.56299999999999</v>
      </c>
      <c r="Q24" s="25">
        <v>129.30000000000001</v>
      </c>
      <c r="R24" s="34">
        <v>9.7679814385149017E-3</v>
      </c>
    </row>
    <row r="25" spans="1:18" x14ac:dyDescent="0.15">
      <c r="A25" s="26">
        <v>18</v>
      </c>
      <c r="B25" s="25">
        <v>113648</v>
      </c>
      <c r="C25" s="25" t="s">
        <v>958</v>
      </c>
      <c r="D25" s="25">
        <v>142.49600000000001</v>
      </c>
      <c r="E25" s="34">
        <v>-1.9299999999999998E-2</v>
      </c>
      <c r="F25" s="25">
        <v>25.21</v>
      </c>
      <c r="G25" s="25">
        <v>133.44</v>
      </c>
      <c r="H25" s="43">
        <v>6.7900000000000002E-2</v>
      </c>
      <c r="I25" s="57">
        <v>149.286</v>
      </c>
      <c r="J25" s="32">
        <v>46868</v>
      </c>
      <c r="K25" s="33">
        <v>3.907</v>
      </c>
      <c r="L25" s="33">
        <v>8.9978300000000004</v>
      </c>
      <c r="M25" s="33">
        <v>6750.3433999999997</v>
      </c>
      <c r="N25" s="34">
        <v>5.2648428145511239E-2</v>
      </c>
      <c r="O25" s="34">
        <v>-4.9241E-2</v>
      </c>
      <c r="P25" s="25">
        <v>146.19999999999999</v>
      </c>
      <c r="Q25" s="25">
        <v>142.00200000000001</v>
      </c>
      <c r="R25" s="34">
        <v>2.9562963901916726E-2</v>
      </c>
    </row>
    <row r="26" spans="1:18" x14ac:dyDescent="0.15">
      <c r="A26" s="26">
        <v>19</v>
      </c>
      <c r="B26" s="25">
        <v>118021</v>
      </c>
      <c r="C26" s="25" t="s">
        <v>962</v>
      </c>
      <c r="D26" s="25">
        <v>160.23599999999999</v>
      </c>
      <c r="E26" s="34">
        <v>-1.0800000000000001E-2</v>
      </c>
      <c r="F26" s="25">
        <v>10.68</v>
      </c>
      <c r="G26" s="25">
        <v>147.38</v>
      </c>
      <c r="H26" s="43">
        <v>8.72E-2</v>
      </c>
      <c r="I26" s="57">
        <v>168.95599999999999</v>
      </c>
      <c r="J26" s="32">
        <v>47023</v>
      </c>
      <c r="K26" s="33">
        <v>4.3319999999999999</v>
      </c>
      <c r="L26" s="33">
        <v>2.5010400000000002</v>
      </c>
      <c r="M26" s="33">
        <v>11519.085300000001</v>
      </c>
      <c r="N26" s="34">
        <v>0.28743341953451401</v>
      </c>
      <c r="O26" s="34">
        <v>-7.0116999999999999E-2</v>
      </c>
      <c r="P26" s="25">
        <v>164.47900000000001</v>
      </c>
      <c r="Q26" s="25">
        <v>159.70599999999999</v>
      </c>
      <c r="R26" s="34">
        <v>2.9886165829712253E-2</v>
      </c>
    </row>
    <row r="27" spans="1:18" x14ac:dyDescent="0.15">
      <c r="A27" s="26">
        <v>20</v>
      </c>
      <c r="B27" s="25">
        <v>111011</v>
      </c>
      <c r="C27" s="25" t="s">
        <v>1002</v>
      </c>
      <c r="D27" s="25">
        <v>139.01</v>
      </c>
      <c r="E27" s="34">
        <v>-1.11E-2</v>
      </c>
      <c r="F27" s="25">
        <v>17.61</v>
      </c>
      <c r="G27" s="25">
        <v>126.92</v>
      </c>
      <c r="H27" s="43">
        <v>9.5299999999999996E-2</v>
      </c>
      <c r="I27" s="57">
        <v>148.54</v>
      </c>
      <c r="J27" s="32">
        <v>47121</v>
      </c>
      <c r="K27" s="33">
        <v>4.5999999999999996</v>
      </c>
      <c r="L27" s="33">
        <v>4.0325800000000003</v>
      </c>
      <c r="M27" s="33">
        <v>4335.8171000000002</v>
      </c>
      <c r="N27" s="34">
        <v>7.7346723047818186E-2</v>
      </c>
      <c r="O27" s="34">
        <v>-3.2473999999999996E-2</v>
      </c>
      <c r="P27" s="25">
        <v>140.85</v>
      </c>
      <c r="Q27" s="25">
        <v>138.38</v>
      </c>
      <c r="R27" s="34">
        <v>1.7849400202341371E-2</v>
      </c>
    </row>
    <row r="28" spans="1:18" x14ac:dyDescent="0.15">
      <c r="A28" s="26">
        <v>21</v>
      </c>
      <c r="B28" s="25">
        <v>118046</v>
      </c>
      <c r="C28" s="25" t="s">
        <v>973</v>
      </c>
      <c r="D28" s="25">
        <v>145.23599999999999</v>
      </c>
      <c r="E28" s="34">
        <v>-6.8999999999999999E-3</v>
      </c>
      <c r="F28" s="25">
        <v>42.73</v>
      </c>
      <c r="G28" s="25">
        <v>132.46</v>
      </c>
      <c r="H28" s="43">
        <v>9.6500000000000002E-2</v>
      </c>
      <c r="I28" s="57">
        <v>154.886</v>
      </c>
      <c r="J28" s="32">
        <v>47467</v>
      </c>
      <c r="K28" s="33">
        <v>5.548</v>
      </c>
      <c r="L28" s="33">
        <v>4.34</v>
      </c>
      <c r="M28" s="33">
        <v>2577.7755000000002</v>
      </c>
      <c r="N28" s="34">
        <v>4.089602360842097E-2</v>
      </c>
      <c r="O28" s="34">
        <v>-3.4433999999999999E-2</v>
      </c>
      <c r="P28" s="25">
        <v>147</v>
      </c>
      <c r="Q28" s="25">
        <v>144.601</v>
      </c>
      <c r="R28" s="34">
        <v>1.659048001051169E-2</v>
      </c>
    </row>
    <row r="29" spans="1:18" x14ac:dyDescent="0.15">
      <c r="A29" s="26">
        <v>22</v>
      </c>
      <c r="B29" s="25">
        <v>123135</v>
      </c>
      <c r="C29" s="25" t="s">
        <v>948</v>
      </c>
      <c r="D29" s="25">
        <v>137.25</v>
      </c>
      <c r="E29" s="34">
        <v>4.0000000000000002E-4</v>
      </c>
      <c r="F29" s="25">
        <v>16.399999999999999</v>
      </c>
      <c r="G29" s="25">
        <v>124.82</v>
      </c>
      <c r="H29" s="43">
        <v>9.9600000000000008E-2</v>
      </c>
      <c r="I29" s="57">
        <v>147.21</v>
      </c>
      <c r="J29" s="32">
        <v>46749</v>
      </c>
      <c r="K29" s="33">
        <v>3.581</v>
      </c>
      <c r="L29" s="33">
        <v>2.0102009999999999</v>
      </c>
      <c r="M29" s="33">
        <v>10811.126001999999</v>
      </c>
      <c r="N29" s="34">
        <v>0.39184931435718495</v>
      </c>
      <c r="O29" s="34">
        <v>-3.7103000000000004E-2</v>
      </c>
      <c r="P29" s="25">
        <v>138.05000000000001</v>
      </c>
      <c r="Q29" s="25">
        <v>135.435</v>
      </c>
      <c r="R29" s="34">
        <v>1.930815520360327E-2</v>
      </c>
    </row>
    <row r="30" spans="1:18" x14ac:dyDescent="0.15">
      <c r="A30" s="26">
        <v>23</v>
      </c>
      <c r="B30" s="25">
        <v>113546</v>
      </c>
      <c r="C30" s="25" t="s">
        <v>40</v>
      </c>
      <c r="D30" s="25">
        <v>132.012</v>
      </c>
      <c r="E30" s="34">
        <v>6.0999999999999995E-3</v>
      </c>
      <c r="F30" s="25">
        <v>11.93</v>
      </c>
      <c r="G30" s="25">
        <v>120.03</v>
      </c>
      <c r="H30" s="43">
        <v>9.98E-2</v>
      </c>
      <c r="I30" s="57">
        <v>141.99199999999999</v>
      </c>
      <c r="J30" s="32">
        <v>45953</v>
      </c>
      <c r="K30" s="33">
        <v>1.4</v>
      </c>
      <c r="L30" s="33">
        <v>2.29501</v>
      </c>
      <c r="M30" s="33">
        <v>2509.7022999999999</v>
      </c>
      <c r="N30" s="34">
        <v>8.2836972057324848E-2</v>
      </c>
      <c r="O30" s="34">
        <v>-8.3392999999999995E-2</v>
      </c>
      <c r="P30" s="25">
        <v>132.91800000000001</v>
      </c>
      <c r="Q30" s="25">
        <v>130.66399999999999</v>
      </c>
      <c r="R30" s="34">
        <v>1.7250352048001127E-2</v>
      </c>
    </row>
    <row r="31" spans="1:18" x14ac:dyDescent="0.15">
      <c r="A31" s="26">
        <v>24</v>
      </c>
      <c r="B31" s="25">
        <v>123192</v>
      </c>
      <c r="C31" s="25" t="s">
        <v>995</v>
      </c>
      <c r="D31" s="25">
        <v>157.99</v>
      </c>
      <c r="E31" s="34">
        <v>-2.5399999999999999E-2</v>
      </c>
      <c r="F31" s="25">
        <v>25.27</v>
      </c>
      <c r="G31" s="25">
        <v>143.25</v>
      </c>
      <c r="H31" s="43">
        <v>0.10289999999999999</v>
      </c>
      <c r="I31" s="57">
        <v>168.28</v>
      </c>
      <c r="J31" s="32">
        <v>47221</v>
      </c>
      <c r="K31" s="33">
        <v>4.8739999999999997</v>
      </c>
      <c r="L31" s="33">
        <v>7.2387350000000001</v>
      </c>
      <c r="M31" s="33">
        <v>2968.5542682999999</v>
      </c>
      <c r="N31" s="34">
        <v>2.5956893522313288E-2</v>
      </c>
      <c r="O31" s="34">
        <v>-5.5702999999999996E-2</v>
      </c>
      <c r="P31" s="25">
        <v>162.77000000000001</v>
      </c>
      <c r="Q31" s="25">
        <v>157.124</v>
      </c>
      <c r="R31" s="34">
        <v>3.5933402917441098E-2</v>
      </c>
    </row>
    <row r="32" spans="1:18" x14ac:dyDescent="0.15">
      <c r="A32" s="26">
        <v>25</v>
      </c>
      <c r="B32" s="25">
        <v>110074</v>
      </c>
      <c r="C32" s="25" t="s">
        <v>1008</v>
      </c>
      <c r="D32" s="25">
        <v>137.28399999999999</v>
      </c>
      <c r="E32" s="34">
        <v>-1.2E-2</v>
      </c>
      <c r="F32" s="25">
        <v>3.44</v>
      </c>
      <c r="G32" s="25">
        <v>124.13</v>
      </c>
      <c r="H32" s="43">
        <v>0.106</v>
      </c>
      <c r="I32" s="57">
        <v>147.88399999999999</v>
      </c>
      <c r="J32" s="32">
        <v>46253</v>
      </c>
      <c r="K32" s="33">
        <v>2.222</v>
      </c>
      <c r="L32" s="33">
        <v>5.0761500000000002</v>
      </c>
      <c r="M32" s="33">
        <v>3141.6754999999998</v>
      </c>
      <c r="N32" s="34">
        <v>4.5082392281028595E-2</v>
      </c>
      <c r="O32" s="34">
        <v>-7.6745000000000008E-2</v>
      </c>
      <c r="P32" s="25">
        <v>139.899</v>
      </c>
      <c r="Q32" s="25">
        <v>137</v>
      </c>
      <c r="R32" s="34">
        <v>2.1160583941605846E-2</v>
      </c>
    </row>
    <row r="33" spans="1:18" x14ac:dyDescent="0.15">
      <c r="A33" s="26">
        <v>26</v>
      </c>
      <c r="B33" s="25">
        <v>123092</v>
      </c>
      <c r="C33" s="25" t="s">
        <v>891</v>
      </c>
      <c r="D33" s="25">
        <v>129.648</v>
      </c>
      <c r="E33" s="34">
        <v>-5.5000000000000005E-3</v>
      </c>
      <c r="F33" s="25">
        <v>5.04</v>
      </c>
      <c r="G33" s="25">
        <v>116.87</v>
      </c>
      <c r="H33" s="43">
        <v>0.10929999999999999</v>
      </c>
      <c r="I33" s="57">
        <v>140.578</v>
      </c>
      <c r="J33" s="32">
        <v>46380</v>
      </c>
      <c r="K33" s="33">
        <v>2.57</v>
      </c>
      <c r="L33" s="33">
        <v>3.9874019999999994</v>
      </c>
      <c r="M33" s="33">
        <v>1083.1939239999999</v>
      </c>
      <c r="N33" s="34">
        <v>2.0953200623814661E-2</v>
      </c>
      <c r="O33" s="34">
        <v>-3.2745999999999997E-2</v>
      </c>
      <c r="P33" s="25">
        <v>130.6</v>
      </c>
      <c r="Q33" s="25">
        <v>129.28</v>
      </c>
      <c r="R33" s="34">
        <v>1.0210396039603907E-2</v>
      </c>
    </row>
    <row r="34" spans="1:18" x14ac:dyDescent="0.15">
      <c r="A34" s="26">
        <v>27</v>
      </c>
      <c r="B34" s="25">
        <v>123221</v>
      </c>
      <c r="C34" s="25" t="s">
        <v>910</v>
      </c>
      <c r="D34" s="25">
        <v>134.447</v>
      </c>
      <c r="E34" s="34">
        <v>-4.0999999999999995E-3</v>
      </c>
      <c r="F34" s="25">
        <v>14.4</v>
      </c>
      <c r="G34" s="25">
        <v>120.97</v>
      </c>
      <c r="H34" s="43">
        <v>0.1114</v>
      </c>
      <c r="I34" s="57">
        <v>145.58699999999999</v>
      </c>
      <c r="J34" s="32">
        <v>47353</v>
      </c>
      <c r="K34" s="33">
        <v>5.2359999999999998</v>
      </c>
      <c r="L34" s="33">
        <v>4.9942029999999997</v>
      </c>
      <c r="M34" s="33">
        <v>3073.045736</v>
      </c>
      <c r="N34" s="34">
        <v>4.5766923186607543E-2</v>
      </c>
      <c r="O34" s="34">
        <v>-3.3059999999999999E-2</v>
      </c>
      <c r="P34" s="25">
        <v>136.983</v>
      </c>
      <c r="Q34" s="25">
        <v>134.001</v>
      </c>
      <c r="R34" s="34">
        <v>2.2253565271900949E-2</v>
      </c>
    </row>
    <row r="35" spans="1:18" x14ac:dyDescent="0.15">
      <c r="A35" s="26">
        <v>28</v>
      </c>
      <c r="B35" s="25">
        <v>123194</v>
      </c>
      <c r="C35" s="25" t="s">
        <v>946</v>
      </c>
      <c r="D35" s="25">
        <v>132.68899999999999</v>
      </c>
      <c r="E35" s="34">
        <v>-1.5E-3</v>
      </c>
      <c r="F35" s="25">
        <v>26.12</v>
      </c>
      <c r="G35" s="25">
        <v>119.26</v>
      </c>
      <c r="H35" s="43">
        <v>0.11259999999999999</v>
      </c>
      <c r="I35" s="57">
        <v>143.94899999999998</v>
      </c>
      <c r="J35" s="32">
        <v>47222</v>
      </c>
      <c r="K35" s="33">
        <v>4.8769999999999998</v>
      </c>
      <c r="L35" s="33">
        <v>8.4619619999999998</v>
      </c>
      <c r="M35" s="33">
        <v>1491.6044010999999</v>
      </c>
      <c r="N35" s="34">
        <v>1.328457497835794E-2</v>
      </c>
      <c r="O35" s="34">
        <v>-2.4161000000000002E-2</v>
      </c>
      <c r="P35" s="25">
        <v>133.46</v>
      </c>
      <c r="Q35" s="25">
        <v>131.97</v>
      </c>
      <c r="R35" s="34">
        <v>1.1290444798060234E-2</v>
      </c>
    </row>
    <row r="36" spans="1:18" x14ac:dyDescent="0.15">
      <c r="A36" s="26">
        <v>29</v>
      </c>
      <c r="B36" s="25">
        <v>123201</v>
      </c>
      <c r="C36" s="25" t="s">
        <v>892</v>
      </c>
      <c r="D36" s="25">
        <v>124.48</v>
      </c>
      <c r="E36" s="34">
        <v>3.9000000000000003E-3</v>
      </c>
      <c r="F36" s="25">
        <v>21.25</v>
      </c>
      <c r="G36" s="25">
        <v>111.76</v>
      </c>
      <c r="H36" s="43">
        <v>0.11380000000000001</v>
      </c>
      <c r="I36" s="57">
        <v>135.86000000000001</v>
      </c>
      <c r="J36" s="32">
        <v>47296</v>
      </c>
      <c r="K36" s="33">
        <v>5.0789999999999997</v>
      </c>
      <c r="L36" s="33">
        <v>3.4951160000000008</v>
      </c>
      <c r="M36" s="33">
        <v>5447.1683297999998</v>
      </c>
      <c r="N36" s="34">
        <v>0.1252015260232868</v>
      </c>
      <c r="O36" s="34">
        <v>-4.8690000000000001E-3</v>
      </c>
      <c r="P36" s="25">
        <v>124.8</v>
      </c>
      <c r="Q36" s="25">
        <v>123</v>
      </c>
      <c r="R36" s="34">
        <v>1.4634146341463391E-2</v>
      </c>
    </row>
    <row r="37" spans="1:18" x14ac:dyDescent="0.15">
      <c r="A37" s="26">
        <v>30</v>
      </c>
      <c r="B37" s="25">
        <v>113027</v>
      </c>
      <c r="C37" s="25" t="s">
        <v>998</v>
      </c>
      <c r="D37" s="25">
        <v>238.31700000000001</v>
      </c>
      <c r="E37" s="34">
        <v>0.1482</v>
      </c>
      <c r="F37" s="25">
        <v>7.26</v>
      </c>
      <c r="G37" s="25">
        <v>213.91</v>
      </c>
      <c r="H37" s="43">
        <v>0.11410000000000001</v>
      </c>
      <c r="I37" s="57">
        <v>249.727</v>
      </c>
      <c r="J37" s="32">
        <v>45822</v>
      </c>
      <c r="K37" s="33">
        <v>1.0409999999999999</v>
      </c>
      <c r="L37" s="33">
        <v>1.5840000000000001</v>
      </c>
      <c r="M37" s="33">
        <v>592115.97660000005</v>
      </c>
      <c r="N37" s="34">
        <v>15.685435419541149</v>
      </c>
      <c r="O37" s="34">
        <v>-0.51960799999999996</v>
      </c>
      <c r="P37" s="25">
        <v>245</v>
      </c>
      <c r="Q37" s="25">
        <v>210.38900000000001</v>
      </c>
      <c r="R37" s="34">
        <v>0.16450955135487116</v>
      </c>
    </row>
    <row r="38" spans="1:18" x14ac:dyDescent="0.15">
      <c r="A38" s="26">
        <v>31</v>
      </c>
      <c r="B38" s="25">
        <v>123222</v>
      </c>
      <c r="C38" s="25" t="s">
        <v>943</v>
      </c>
      <c r="D38" s="25">
        <v>133.084</v>
      </c>
      <c r="E38" s="34">
        <v>-1.0800000000000001E-2</v>
      </c>
      <c r="F38" s="25">
        <v>16.7</v>
      </c>
      <c r="G38" s="25">
        <v>119.16</v>
      </c>
      <c r="H38" s="43">
        <v>0.11689999999999999</v>
      </c>
      <c r="I38" s="57">
        <v>144.774</v>
      </c>
      <c r="J38" s="32">
        <v>47369</v>
      </c>
      <c r="K38" s="33">
        <v>5.2789999999999999</v>
      </c>
      <c r="L38" s="33">
        <v>4.998869</v>
      </c>
      <c r="M38" s="33">
        <v>2263.2333963000001</v>
      </c>
      <c r="N38" s="34">
        <v>3.4019798856692603E-2</v>
      </c>
      <c r="O38" s="34">
        <v>-1.9871E-2</v>
      </c>
      <c r="P38" s="25">
        <v>134.78800000000001</v>
      </c>
      <c r="Q38" s="25">
        <v>132.63</v>
      </c>
      <c r="R38" s="34">
        <v>1.6270828620975765E-2</v>
      </c>
    </row>
    <row r="39" spans="1:18" x14ac:dyDescent="0.15">
      <c r="A39" s="26">
        <v>32</v>
      </c>
      <c r="B39" s="25">
        <v>127092</v>
      </c>
      <c r="C39" s="25" t="s">
        <v>942</v>
      </c>
      <c r="D39" s="25">
        <v>147.90799999999999</v>
      </c>
      <c r="E39" s="34">
        <v>1E-4</v>
      </c>
      <c r="F39" s="25">
        <v>17.420000000000002</v>
      </c>
      <c r="G39" s="25">
        <v>131.75</v>
      </c>
      <c r="H39" s="43">
        <v>0.1226</v>
      </c>
      <c r="I39" s="57">
        <v>160.16799999999998</v>
      </c>
      <c r="J39" s="32">
        <v>47382</v>
      </c>
      <c r="K39" s="33">
        <v>5.3150000000000004</v>
      </c>
      <c r="L39" s="33">
        <v>7.2994060000000003</v>
      </c>
      <c r="M39" s="33">
        <v>1925.412738</v>
      </c>
      <c r="N39" s="34">
        <v>1.7833831372037971E-2</v>
      </c>
      <c r="O39" s="34">
        <v>-3.7483000000000002E-2</v>
      </c>
      <c r="P39" s="25">
        <v>148.30000000000001</v>
      </c>
      <c r="Q39" s="25">
        <v>145.71100000000001</v>
      </c>
      <c r="R39" s="34">
        <v>1.7768047710879743E-2</v>
      </c>
    </row>
    <row r="40" spans="1:18" x14ac:dyDescent="0.15">
      <c r="A40" s="26">
        <v>33</v>
      </c>
      <c r="B40" s="25">
        <v>127037</v>
      </c>
      <c r="C40" s="25" t="s">
        <v>637</v>
      </c>
      <c r="D40" s="25">
        <v>183.684</v>
      </c>
      <c r="E40" s="34">
        <v>-5.5000000000000005E-3</v>
      </c>
      <c r="F40" s="25">
        <v>10.51</v>
      </c>
      <c r="G40" s="25">
        <v>162.88999999999999</v>
      </c>
      <c r="H40" s="43">
        <v>0.12770000000000001</v>
      </c>
      <c r="I40" s="57">
        <v>196.45400000000001</v>
      </c>
      <c r="J40" s="32">
        <v>46545</v>
      </c>
      <c r="K40" s="33">
        <v>3.0219999999999998</v>
      </c>
      <c r="L40" s="33">
        <v>5.0716130000000001</v>
      </c>
      <c r="M40" s="33">
        <v>4162.6381302</v>
      </c>
      <c r="N40" s="34">
        <v>4.4683915663337487E-2</v>
      </c>
      <c r="O40" s="34">
        <v>-0.147783</v>
      </c>
      <c r="P40" s="25">
        <v>185.50800000000001</v>
      </c>
      <c r="Q40" s="25">
        <v>182.47900000000001</v>
      </c>
      <c r="R40" s="34">
        <v>1.6599170315488337E-2</v>
      </c>
    </row>
    <row r="41" spans="1:18" x14ac:dyDescent="0.15">
      <c r="A41" s="26">
        <v>34</v>
      </c>
      <c r="B41" s="25">
        <v>123204</v>
      </c>
      <c r="C41" s="25" t="s">
        <v>895</v>
      </c>
      <c r="D41" s="25">
        <v>125.798</v>
      </c>
      <c r="E41" s="34">
        <v>-1.0500000000000001E-2</v>
      </c>
      <c r="F41" s="25">
        <v>15.08</v>
      </c>
      <c r="G41" s="25">
        <v>111.54</v>
      </c>
      <c r="H41" s="43">
        <v>0.1278</v>
      </c>
      <c r="I41" s="57">
        <v>138.578</v>
      </c>
      <c r="J41" s="32">
        <v>47312</v>
      </c>
      <c r="K41" s="33">
        <v>5.1230000000000002</v>
      </c>
      <c r="L41" s="33">
        <v>6.1658609999999996</v>
      </c>
      <c r="M41" s="33">
        <v>5287.3405634999999</v>
      </c>
      <c r="N41" s="34">
        <v>6.8166315164998659E-2</v>
      </c>
      <c r="O41" s="34">
        <v>-9.476E-3</v>
      </c>
      <c r="P41" s="25">
        <v>127.432</v>
      </c>
      <c r="Q41" s="25">
        <v>125.004</v>
      </c>
      <c r="R41" s="34">
        <v>1.9423378451889517E-2</v>
      </c>
    </row>
    <row r="42" spans="1:18" x14ac:dyDescent="0.15">
      <c r="A42" s="26">
        <v>35</v>
      </c>
      <c r="B42" s="25">
        <v>113672</v>
      </c>
      <c r="C42" s="25" t="s">
        <v>1006</v>
      </c>
      <c r="D42" s="25">
        <v>132.71799999999999</v>
      </c>
      <c r="E42" s="34">
        <v>-2.8000000000000004E-3</v>
      </c>
      <c r="F42" s="25">
        <v>12.25</v>
      </c>
      <c r="G42" s="25">
        <v>117.31</v>
      </c>
      <c r="H42" s="43">
        <v>0.1313</v>
      </c>
      <c r="I42" s="57">
        <v>145.84799999999998</v>
      </c>
      <c r="J42" s="32">
        <v>47317</v>
      </c>
      <c r="K42" s="33">
        <v>5.1369999999999996</v>
      </c>
      <c r="L42" s="33">
        <v>6.3849400000000003</v>
      </c>
      <c r="M42" s="33">
        <v>21652.025300000001</v>
      </c>
      <c r="N42" s="34">
        <v>0.25551233861875544</v>
      </c>
      <c r="O42" s="34">
        <v>-3.1213999999999999E-2</v>
      </c>
      <c r="P42" s="25">
        <v>135.25200000000001</v>
      </c>
      <c r="Q42" s="25">
        <v>132.405</v>
      </c>
      <c r="R42" s="34">
        <v>2.1502209131075173E-2</v>
      </c>
    </row>
    <row r="43" spans="1:18" x14ac:dyDescent="0.15">
      <c r="A43" s="26">
        <v>36</v>
      </c>
      <c r="B43" s="25">
        <v>123184</v>
      </c>
      <c r="C43" s="25" t="s">
        <v>947</v>
      </c>
      <c r="D43" s="25">
        <v>122.64400000000001</v>
      </c>
      <c r="E43" s="34">
        <v>-4.4000000000000003E-3</v>
      </c>
      <c r="F43" s="25">
        <v>11.83</v>
      </c>
      <c r="G43" s="25">
        <v>107.35</v>
      </c>
      <c r="H43" s="43">
        <v>0.14249999999999999</v>
      </c>
      <c r="I43" s="57">
        <v>136.89400000000001</v>
      </c>
      <c r="J43" s="32">
        <v>47200</v>
      </c>
      <c r="K43" s="33">
        <v>4.8159999999999998</v>
      </c>
      <c r="L43" s="33">
        <v>9.7494750000000003</v>
      </c>
      <c r="M43" s="33">
        <v>2518.7642335999999</v>
      </c>
      <c r="N43" s="34">
        <v>2.1064928106863758E-2</v>
      </c>
      <c r="O43" s="34">
        <v>-4.5850000000000005E-3</v>
      </c>
      <c r="P43" s="25">
        <v>123.60899999999999</v>
      </c>
      <c r="Q43" s="25">
        <v>122.32299999999999</v>
      </c>
      <c r="R43" s="34">
        <v>1.0513149612092586E-2</v>
      </c>
    </row>
    <row r="44" spans="1:18" x14ac:dyDescent="0.15">
      <c r="A44" s="26">
        <v>37</v>
      </c>
      <c r="B44" s="25">
        <v>123188</v>
      </c>
      <c r="C44" s="25" t="s">
        <v>997</v>
      </c>
      <c r="D44" s="25">
        <v>144.87299999999999</v>
      </c>
      <c r="E44" s="34">
        <v>-2.3099999999999999E-2</v>
      </c>
      <c r="F44" s="25">
        <v>13.63</v>
      </c>
      <c r="G44" s="25">
        <v>126.63</v>
      </c>
      <c r="H44" s="43">
        <v>0.14410000000000001</v>
      </c>
      <c r="I44" s="57">
        <v>159.28299999999999</v>
      </c>
      <c r="J44" s="32">
        <v>47212</v>
      </c>
      <c r="K44" s="33">
        <v>4.8490000000000002</v>
      </c>
      <c r="L44" s="33">
        <v>6.948963</v>
      </c>
      <c r="M44" s="33">
        <v>4651.2396920000001</v>
      </c>
      <c r="N44" s="34">
        <v>4.6202052342680912E-2</v>
      </c>
      <c r="O44" s="34">
        <v>-3.6983000000000002E-2</v>
      </c>
      <c r="P44" s="25">
        <v>148.91999999999999</v>
      </c>
      <c r="Q44" s="25">
        <v>144.464</v>
      </c>
      <c r="R44" s="34">
        <v>3.0845054823346915E-2</v>
      </c>
    </row>
    <row r="45" spans="1:18" x14ac:dyDescent="0.15">
      <c r="A45" s="26">
        <v>38</v>
      </c>
      <c r="B45" s="25">
        <v>127028</v>
      </c>
      <c r="C45" s="25" t="s">
        <v>39</v>
      </c>
      <c r="D45" s="25">
        <v>125.11799999999999</v>
      </c>
      <c r="E45" s="34">
        <v>-6.1999999999999998E-3</v>
      </c>
      <c r="F45" s="25">
        <v>9.68</v>
      </c>
      <c r="G45" s="25">
        <v>109.19</v>
      </c>
      <c r="H45" s="43">
        <v>0.1459</v>
      </c>
      <c r="I45" s="57">
        <v>139.708</v>
      </c>
      <c r="J45" s="32">
        <v>46392</v>
      </c>
      <c r="K45" s="33">
        <v>2.6030000000000002</v>
      </c>
      <c r="L45" s="33">
        <v>4.0626689999999996</v>
      </c>
      <c r="M45" s="33">
        <v>2227.7442866000001</v>
      </c>
      <c r="N45" s="34">
        <v>4.382622909903415E-2</v>
      </c>
      <c r="O45" s="34">
        <v>-4.4618999999999999E-2</v>
      </c>
      <c r="P45" s="25">
        <v>126.25</v>
      </c>
      <c r="Q45" s="25">
        <v>124.86</v>
      </c>
      <c r="R45" s="34">
        <v>1.1132468364568321E-2</v>
      </c>
    </row>
    <row r="46" spans="1:18" x14ac:dyDescent="0.15">
      <c r="A46" s="26">
        <v>39</v>
      </c>
      <c r="B46" s="25">
        <v>128133</v>
      </c>
      <c r="C46" s="25" t="s">
        <v>1020</v>
      </c>
      <c r="D46" s="25">
        <v>123.8</v>
      </c>
      <c r="E46" s="34">
        <v>-1.6000000000000001E-3</v>
      </c>
      <c r="F46" s="25">
        <v>20.09</v>
      </c>
      <c r="G46" s="25">
        <v>107.57</v>
      </c>
      <c r="H46" s="43">
        <v>0.15090000000000001</v>
      </c>
      <c r="I46" s="57">
        <v>138.88999999999999</v>
      </c>
      <c r="J46" s="32">
        <v>46287</v>
      </c>
      <c r="K46" s="33">
        <v>2.3149999999999999</v>
      </c>
      <c r="L46" s="33">
        <v>7.9925259999999998</v>
      </c>
      <c r="M46" s="33">
        <v>1187.2824579999999</v>
      </c>
      <c r="N46" s="34">
        <v>1.1999118678240654E-2</v>
      </c>
      <c r="O46" s="34">
        <v>-3.0752999999999999E-2</v>
      </c>
      <c r="P46" s="25">
        <v>124.41800000000001</v>
      </c>
      <c r="Q46" s="25">
        <v>123.18</v>
      </c>
      <c r="R46" s="34">
        <v>1.0050332846241268E-2</v>
      </c>
    </row>
    <row r="47" spans="1:18" x14ac:dyDescent="0.15">
      <c r="A47" s="26">
        <v>40</v>
      </c>
      <c r="B47" s="25">
        <v>127095</v>
      </c>
      <c r="C47" s="25" t="s">
        <v>999</v>
      </c>
      <c r="D47" s="25">
        <v>134.15899999999999</v>
      </c>
      <c r="E47" s="34">
        <v>-1.9299999999999998E-2</v>
      </c>
      <c r="F47" s="25">
        <v>9.4</v>
      </c>
      <c r="G47" s="25">
        <v>116.28</v>
      </c>
      <c r="H47" s="43">
        <v>0.15380000000000002</v>
      </c>
      <c r="I47" s="57">
        <v>149.53899999999999</v>
      </c>
      <c r="J47" s="32">
        <v>47409</v>
      </c>
      <c r="K47" s="33">
        <v>5.3890000000000002</v>
      </c>
      <c r="L47" s="33">
        <v>6.9929969999999999</v>
      </c>
      <c r="M47" s="33">
        <v>5385.7316130999998</v>
      </c>
      <c r="N47" s="34">
        <v>5.7406563945241892E-2</v>
      </c>
      <c r="O47" s="34">
        <v>-2.0937000000000001E-2</v>
      </c>
      <c r="P47" s="25">
        <v>136.71899999999999</v>
      </c>
      <c r="Q47" s="25">
        <v>133.83099999999999</v>
      </c>
      <c r="R47" s="34">
        <v>2.1579454685386835E-2</v>
      </c>
    </row>
    <row r="48" spans="1:18" x14ac:dyDescent="0.15">
      <c r="A48" s="26">
        <v>41</v>
      </c>
      <c r="B48" s="25">
        <v>113039</v>
      </c>
      <c r="C48" s="25" t="s">
        <v>1028</v>
      </c>
      <c r="D48" s="25">
        <v>130.124</v>
      </c>
      <c r="E48" s="34">
        <v>9.4999999999999998E-3</v>
      </c>
      <c r="F48" s="25">
        <v>3.28</v>
      </c>
      <c r="G48" s="25">
        <v>112.5</v>
      </c>
      <c r="H48" s="43">
        <v>0.15670000000000001</v>
      </c>
      <c r="I48" s="57">
        <v>145.79399999999998</v>
      </c>
      <c r="J48" s="32">
        <v>46258</v>
      </c>
      <c r="K48" s="33">
        <v>2.2360000000000002</v>
      </c>
      <c r="L48" s="33">
        <v>2.8769399999999998</v>
      </c>
      <c r="M48" s="33">
        <v>3693.3145</v>
      </c>
      <c r="N48" s="34">
        <v>9.8657040071627677E-2</v>
      </c>
      <c r="O48" s="34">
        <v>-6.8636000000000003E-2</v>
      </c>
      <c r="P48" s="25">
        <v>131.14699999999999</v>
      </c>
      <c r="Q48" s="25">
        <v>128.50299999999999</v>
      </c>
      <c r="R48" s="34">
        <v>2.0575395126962062E-2</v>
      </c>
    </row>
    <row r="49" spans="1:18" x14ac:dyDescent="0.15">
      <c r="A49" s="26">
        <v>42</v>
      </c>
      <c r="B49" s="25">
        <v>123224</v>
      </c>
      <c r="C49" s="25" t="s">
        <v>1052</v>
      </c>
      <c r="D49" s="25">
        <v>122.25</v>
      </c>
      <c r="E49" s="34">
        <v>2E-3</v>
      </c>
      <c r="F49" s="25">
        <v>36.94</v>
      </c>
      <c r="G49" s="25">
        <v>105.68</v>
      </c>
      <c r="H49" s="43">
        <v>0.15679999999999999</v>
      </c>
      <c r="I49" s="57">
        <v>137.93</v>
      </c>
      <c r="J49" s="32">
        <v>47380</v>
      </c>
      <c r="K49" s="33">
        <v>5.31</v>
      </c>
      <c r="L49" s="33">
        <v>4.9996600000000004</v>
      </c>
      <c r="M49" s="33">
        <v>9425.4477828999989</v>
      </c>
      <c r="N49" s="34">
        <v>0.15421004101325925</v>
      </c>
      <c r="O49" s="34">
        <v>-3.0709999999999999E-3</v>
      </c>
      <c r="P49" s="25">
        <v>123.63</v>
      </c>
      <c r="Q49" s="25">
        <v>121.45699999999999</v>
      </c>
      <c r="R49" s="34">
        <v>1.7891105494125509E-2</v>
      </c>
    </row>
    <row r="50" spans="1:18" x14ac:dyDescent="0.15">
      <c r="A50" s="26">
        <v>43</v>
      </c>
      <c r="B50" s="25">
        <v>127069</v>
      </c>
      <c r="C50" s="25" t="s">
        <v>963</v>
      </c>
      <c r="D50" s="25">
        <v>129.97499999999999</v>
      </c>
      <c r="E50" s="34">
        <v>-1.3999999999999999E-2</v>
      </c>
      <c r="F50" s="25">
        <v>54.41</v>
      </c>
      <c r="G50" s="25">
        <v>112.15</v>
      </c>
      <c r="H50" s="43">
        <v>0.15890000000000001</v>
      </c>
      <c r="I50" s="57">
        <v>145.86500000000001</v>
      </c>
      <c r="J50" s="32">
        <v>46977</v>
      </c>
      <c r="K50" s="33">
        <v>4.2050000000000001</v>
      </c>
      <c r="L50" s="33">
        <v>5.0410730000000008</v>
      </c>
      <c r="M50" s="33">
        <v>2385.3002707000001</v>
      </c>
      <c r="N50" s="34">
        <v>3.6404933731694608E-2</v>
      </c>
      <c r="O50" s="34">
        <v>-1.7817E-2</v>
      </c>
      <c r="P50" s="25">
        <v>131.91999999999999</v>
      </c>
      <c r="Q50" s="25">
        <v>129.971</v>
      </c>
      <c r="R50" s="34">
        <v>1.4995652876410767E-2</v>
      </c>
    </row>
    <row r="51" spans="1:18" x14ac:dyDescent="0.15">
      <c r="A51" s="26">
        <v>44</v>
      </c>
      <c r="B51" s="25">
        <v>123213</v>
      </c>
      <c r="C51" s="25" t="s">
        <v>1025</v>
      </c>
      <c r="D51" s="25">
        <v>121.78</v>
      </c>
      <c r="E51" s="34">
        <v>1.06E-2</v>
      </c>
      <c r="F51" s="25">
        <v>10.3</v>
      </c>
      <c r="G51" s="25">
        <v>104.66</v>
      </c>
      <c r="H51" s="43">
        <v>0.1636</v>
      </c>
      <c r="I51" s="57">
        <v>138.13999999999999</v>
      </c>
      <c r="J51" s="32">
        <v>47327</v>
      </c>
      <c r="K51" s="33">
        <v>5.1639999999999997</v>
      </c>
      <c r="L51" s="33">
        <v>9.9997799999999994</v>
      </c>
      <c r="M51" s="33">
        <v>3328.2949291999998</v>
      </c>
      <c r="N51" s="34">
        <v>2.7330991569218036E-2</v>
      </c>
      <c r="O51" s="34">
        <v>-7.3660000000000002E-3</v>
      </c>
      <c r="P51" s="25">
        <v>122.5</v>
      </c>
      <c r="Q51" s="25">
        <v>120.291</v>
      </c>
      <c r="R51" s="34">
        <v>1.8363801115627961E-2</v>
      </c>
    </row>
    <row r="52" spans="1:18" x14ac:dyDescent="0.15">
      <c r="A52" s="26">
        <v>45</v>
      </c>
      <c r="B52" s="25">
        <v>123229</v>
      </c>
      <c r="C52" s="25" t="s">
        <v>1003</v>
      </c>
      <c r="D52" s="25">
        <v>123.26900000000001</v>
      </c>
      <c r="E52" s="34">
        <v>-2.3E-3</v>
      </c>
      <c r="F52" s="25">
        <v>10.15</v>
      </c>
      <c r="G52" s="25">
        <v>105.81</v>
      </c>
      <c r="H52" s="43">
        <v>0.16500000000000001</v>
      </c>
      <c r="I52" s="57">
        <v>139.76900000000001</v>
      </c>
      <c r="J52" s="32">
        <v>47414</v>
      </c>
      <c r="K52" s="33">
        <v>5.4029999999999996</v>
      </c>
      <c r="L52" s="33">
        <v>4.9997299999999996</v>
      </c>
      <c r="M52" s="33">
        <v>1375.4523409999999</v>
      </c>
      <c r="N52" s="34">
        <v>2.2317478351206704E-2</v>
      </c>
      <c r="O52" s="34">
        <v>-3.3430000000000001E-3</v>
      </c>
      <c r="P52" s="25">
        <v>124.572</v>
      </c>
      <c r="Q52" s="25">
        <v>122.935</v>
      </c>
      <c r="R52" s="34">
        <v>1.3315979989425309E-2</v>
      </c>
    </row>
    <row r="53" spans="1:18" x14ac:dyDescent="0.15">
      <c r="A53" s="26">
        <v>46</v>
      </c>
      <c r="B53" s="25">
        <v>123219</v>
      </c>
      <c r="C53" s="25" t="s">
        <v>911</v>
      </c>
      <c r="D53" s="25">
        <v>125.646</v>
      </c>
      <c r="E53" s="34">
        <v>-4.7999999999999996E-3</v>
      </c>
      <c r="F53" s="25">
        <v>12.5</v>
      </c>
      <c r="G53" s="25">
        <v>107.52</v>
      </c>
      <c r="H53" s="43">
        <v>0.1686</v>
      </c>
      <c r="I53" s="57">
        <v>142.506</v>
      </c>
      <c r="J53" s="32">
        <v>47341</v>
      </c>
      <c r="K53" s="33">
        <v>5.2030000000000003</v>
      </c>
      <c r="L53" s="33">
        <v>5.9998149999999999</v>
      </c>
      <c r="M53" s="33">
        <v>1912.643959</v>
      </c>
      <c r="N53" s="34">
        <v>2.5371585433242756E-2</v>
      </c>
      <c r="O53" s="34">
        <v>-1.0912999999999999E-2</v>
      </c>
      <c r="P53" s="25">
        <v>127.051</v>
      </c>
      <c r="Q53" s="25">
        <v>124.504</v>
      </c>
      <c r="R53" s="34">
        <v>2.0457174066696629E-2</v>
      </c>
    </row>
    <row r="54" spans="1:18" x14ac:dyDescent="0.15">
      <c r="A54" s="26">
        <v>47</v>
      </c>
      <c r="B54" s="25">
        <v>123225</v>
      </c>
      <c r="C54" s="25" t="s">
        <v>941</v>
      </c>
      <c r="D54" s="25">
        <v>123.125</v>
      </c>
      <c r="E54" s="34">
        <v>-1.78E-2</v>
      </c>
      <c r="F54" s="25">
        <v>27.48</v>
      </c>
      <c r="G54" s="25">
        <v>105.2</v>
      </c>
      <c r="H54" s="43">
        <v>0.1704</v>
      </c>
      <c r="I54" s="57">
        <v>140.16499999999999</v>
      </c>
      <c r="J54" s="32">
        <v>47401</v>
      </c>
      <c r="K54" s="33">
        <v>5.367</v>
      </c>
      <c r="L54" s="33">
        <v>7.9925579999999998</v>
      </c>
      <c r="M54" s="33">
        <v>6720.4752230000004</v>
      </c>
      <c r="N54" s="34">
        <v>6.8291703209702723E-2</v>
      </c>
      <c r="O54" s="34">
        <v>2.6899999999999998E-4</v>
      </c>
      <c r="P54" s="25">
        <v>125.31</v>
      </c>
      <c r="Q54" s="25">
        <v>122.622</v>
      </c>
      <c r="R54" s="34">
        <v>2.1921025590840162E-2</v>
      </c>
    </row>
    <row r="55" spans="1:18" x14ac:dyDescent="0.15">
      <c r="A55" s="26">
        <v>48</v>
      </c>
      <c r="B55" s="25">
        <v>128091</v>
      </c>
      <c r="C55" s="25" t="s">
        <v>975</v>
      </c>
      <c r="D55" s="25">
        <v>143.27099999999999</v>
      </c>
      <c r="E55" s="34">
        <v>-8.3000000000000001E-3</v>
      </c>
      <c r="F55" s="25">
        <v>8.11</v>
      </c>
      <c r="G55" s="25">
        <v>122.19</v>
      </c>
      <c r="H55" s="43">
        <v>0.17249999999999999</v>
      </c>
      <c r="I55" s="57">
        <v>160.52099999999999</v>
      </c>
      <c r="J55" s="32">
        <v>46021</v>
      </c>
      <c r="K55" s="33">
        <v>1.5860000000000001</v>
      </c>
      <c r="L55" s="33">
        <v>1.5190729999999999</v>
      </c>
      <c r="M55" s="33">
        <v>2376.1598309999999</v>
      </c>
      <c r="N55" s="34">
        <v>0.10917889965663626</v>
      </c>
      <c r="O55" s="34">
        <v>-0.12917100000000001</v>
      </c>
      <c r="P55" s="25">
        <v>144.999</v>
      </c>
      <c r="Q55" s="25">
        <v>142.69999999999999</v>
      </c>
      <c r="R55" s="34">
        <v>1.611072179397342E-2</v>
      </c>
    </row>
    <row r="56" spans="1:18" x14ac:dyDescent="0.15">
      <c r="A56" s="26">
        <v>49</v>
      </c>
      <c r="B56" s="25">
        <v>113634</v>
      </c>
      <c r="C56" s="25" t="s">
        <v>1036</v>
      </c>
      <c r="D56" s="25">
        <v>132.125</v>
      </c>
      <c r="E56" s="34">
        <v>-2.7000000000000001E-3</v>
      </c>
      <c r="F56" s="25">
        <v>98.25</v>
      </c>
      <c r="G56" s="25">
        <v>112.37</v>
      </c>
      <c r="H56" s="43">
        <v>0.17579999999999998</v>
      </c>
      <c r="I56" s="57">
        <v>149.70499999999998</v>
      </c>
      <c r="J56" s="32">
        <v>46729</v>
      </c>
      <c r="K56" s="33">
        <v>3.5259999999999998</v>
      </c>
      <c r="L56" s="33">
        <v>7.5076700000000001</v>
      </c>
      <c r="M56" s="33">
        <v>3131.5270999999998</v>
      </c>
      <c r="N56" s="34">
        <v>3.1569376104665786E-2</v>
      </c>
      <c r="O56" s="34">
        <v>-2.9035000000000002E-2</v>
      </c>
      <c r="P56" s="25">
        <v>133.721</v>
      </c>
      <c r="Q56" s="25">
        <v>131</v>
      </c>
      <c r="R56" s="34">
        <v>2.0770992366412243E-2</v>
      </c>
    </row>
    <row r="57" spans="1:18" x14ac:dyDescent="0.15">
      <c r="A57" s="26">
        <v>50</v>
      </c>
      <c r="B57" s="25">
        <v>110084</v>
      </c>
      <c r="C57" s="25" t="s">
        <v>49</v>
      </c>
      <c r="D57" s="25">
        <v>122.351</v>
      </c>
      <c r="E57" s="34">
        <v>4.0000000000000002E-4</v>
      </c>
      <c r="F57" s="25">
        <v>7.18</v>
      </c>
      <c r="G57" s="25">
        <v>103.76</v>
      </c>
      <c r="H57" s="43">
        <v>0.17920000000000003</v>
      </c>
      <c r="I57" s="57">
        <v>140.27100000000002</v>
      </c>
      <c r="J57" s="32">
        <v>46748</v>
      </c>
      <c r="K57" s="33">
        <v>3.5779999999999998</v>
      </c>
      <c r="L57" s="33">
        <v>9.1513299999999997</v>
      </c>
      <c r="M57" s="33">
        <v>1338.4498000000001</v>
      </c>
      <c r="N57" s="34">
        <v>1.195392006548719E-2</v>
      </c>
      <c r="O57" s="34">
        <v>-1.9184E-2</v>
      </c>
      <c r="P57" s="25">
        <v>123.06100000000001</v>
      </c>
      <c r="Q57" s="25">
        <v>122</v>
      </c>
      <c r="R57" s="34">
        <v>8.696721311475468E-3</v>
      </c>
    </row>
    <row r="58" spans="1:18" x14ac:dyDescent="0.15">
      <c r="A58" s="26">
        <v>51</v>
      </c>
      <c r="B58" s="25">
        <v>113651</v>
      </c>
      <c r="C58" s="25" t="s">
        <v>619</v>
      </c>
      <c r="D58" s="25">
        <v>130.03299999999999</v>
      </c>
      <c r="E58" s="34">
        <v>-8.9999999999999998E-4</v>
      </c>
      <c r="F58" s="25">
        <v>16.13</v>
      </c>
      <c r="G58" s="25">
        <v>110.04</v>
      </c>
      <c r="H58" s="43">
        <v>0.18170000000000003</v>
      </c>
      <c r="I58" s="57">
        <v>148.20299999999997</v>
      </c>
      <c r="J58" s="32">
        <v>46954</v>
      </c>
      <c r="K58" s="33">
        <v>4.1420000000000003</v>
      </c>
      <c r="L58" s="33">
        <v>6.0994000000000002</v>
      </c>
      <c r="M58" s="33">
        <v>2796.4431</v>
      </c>
      <c r="N58" s="34">
        <v>3.5258618298214972E-2</v>
      </c>
      <c r="O58" s="34">
        <v>-2.6063999999999997E-2</v>
      </c>
      <c r="P58" s="25">
        <v>131.03700000000001</v>
      </c>
      <c r="Q58" s="25">
        <v>128.923</v>
      </c>
      <c r="R58" s="34">
        <v>1.6397384485312971E-2</v>
      </c>
    </row>
    <row r="59" spans="1:18" x14ac:dyDescent="0.15">
      <c r="A59" s="26">
        <v>52</v>
      </c>
      <c r="B59" s="25">
        <v>123131</v>
      </c>
      <c r="C59" s="25" t="s">
        <v>635</v>
      </c>
      <c r="D59" s="25">
        <v>130.15100000000001</v>
      </c>
      <c r="E59" s="34">
        <v>-1.3999999999999999E-2</v>
      </c>
      <c r="F59" s="25">
        <v>10.09</v>
      </c>
      <c r="G59" s="25">
        <v>110.11</v>
      </c>
      <c r="H59" s="43">
        <v>0.182</v>
      </c>
      <c r="I59" s="57">
        <v>148.351</v>
      </c>
      <c r="J59" s="32">
        <v>46724</v>
      </c>
      <c r="K59" s="33">
        <v>3.512</v>
      </c>
      <c r="L59" s="33">
        <v>5.2101800000000003</v>
      </c>
      <c r="M59" s="33">
        <v>5699.6969634999996</v>
      </c>
      <c r="N59" s="34">
        <v>8.4052673024515634E-2</v>
      </c>
      <c r="O59" s="34">
        <v>-2.2171E-2</v>
      </c>
      <c r="P59" s="25">
        <v>131.88499999999999</v>
      </c>
      <c r="Q59" s="25">
        <v>129.30000000000001</v>
      </c>
      <c r="R59" s="34">
        <v>1.9992266047950343E-2</v>
      </c>
    </row>
    <row r="60" spans="1:18" x14ac:dyDescent="0.15">
      <c r="A60" s="26">
        <v>53</v>
      </c>
      <c r="B60" s="25">
        <v>113588</v>
      </c>
      <c r="C60" s="25" t="s">
        <v>954</v>
      </c>
      <c r="D60" s="25">
        <v>146.5</v>
      </c>
      <c r="E60" s="34">
        <v>-1.26E-2</v>
      </c>
      <c r="F60" s="25">
        <v>13.1</v>
      </c>
      <c r="G60" s="25">
        <v>122.29</v>
      </c>
      <c r="H60" s="43">
        <v>0.19800000000000001</v>
      </c>
      <c r="I60" s="57">
        <v>166.3</v>
      </c>
      <c r="J60" s="32">
        <v>46190</v>
      </c>
      <c r="K60" s="33">
        <v>2.0489999999999999</v>
      </c>
      <c r="L60" s="33">
        <v>2.96862</v>
      </c>
      <c r="M60" s="33">
        <v>8752.1803</v>
      </c>
      <c r="N60" s="34">
        <v>0.20124450098427735</v>
      </c>
      <c r="O60" s="34">
        <v>-0.123691</v>
      </c>
      <c r="P60" s="25">
        <v>148.90600000000001</v>
      </c>
      <c r="Q60" s="25">
        <v>145.001</v>
      </c>
      <c r="R60" s="34">
        <v>2.6930848752767231E-2</v>
      </c>
    </row>
    <row r="61" spans="1:18" x14ac:dyDescent="0.15">
      <c r="A61" s="26">
        <v>54</v>
      </c>
      <c r="B61" s="25">
        <v>123187</v>
      </c>
      <c r="C61" s="25" t="s">
        <v>961</v>
      </c>
      <c r="D61" s="25">
        <v>119.752</v>
      </c>
      <c r="E61" s="34">
        <v>5.8999999999999999E-3</v>
      </c>
      <c r="F61" s="25">
        <v>32.6</v>
      </c>
      <c r="G61" s="25">
        <v>99.57</v>
      </c>
      <c r="H61" s="43">
        <v>0.20269999999999999</v>
      </c>
      <c r="I61" s="57">
        <v>140.02199999999999</v>
      </c>
      <c r="J61" s="32">
        <v>47212</v>
      </c>
      <c r="K61" s="33">
        <v>4.8490000000000002</v>
      </c>
      <c r="L61" s="33">
        <v>4.5274780000000003</v>
      </c>
      <c r="M61" s="33">
        <v>4300.7216102000002</v>
      </c>
      <c r="N61" s="34">
        <v>7.9323561872179857E-2</v>
      </c>
      <c r="O61" s="34">
        <v>1.658E-3</v>
      </c>
      <c r="P61" s="25">
        <v>121.30500000000001</v>
      </c>
      <c r="Q61" s="25">
        <v>118.961</v>
      </c>
      <c r="R61" s="34">
        <v>1.9703936584258775E-2</v>
      </c>
    </row>
    <row r="62" spans="1:18" x14ac:dyDescent="0.15">
      <c r="A62" s="26">
        <v>55</v>
      </c>
      <c r="B62" s="25">
        <v>113676</v>
      </c>
      <c r="C62" s="25" t="s">
        <v>1024</v>
      </c>
      <c r="D62" s="25">
        <v>120.12</v>
      </c>
      <c r="E62" s="34">
        <v>-5.8999999999999999E-3</v>
      </c>
      <c r="F62" s="25">
        <v>11.58</v>
      </c>
      <c r="G62" s="25">
        <v>99.48</v>
      </c>
      <c r="H62" s="43">
        <v>0.20749999999999999</v>
      </c>
      <c r="I62" s="57">
        <v>140.87</v>
      </c>
      <c r="J62" s="32">
        <v>47348</v>
      </c>
      <c r="K62" s="33">
        <v>5.2220000000000004</v>
      </c>
      <c r="L62" s="33">
        <v>5.7595900000000002</v>
      </c>
      <c r="M62" s="33">
        <v>1623.8412000000001</v>
      </c>
      <c r="N62" s="34">
        <v>2.3471274011677059E-2</v>
      </c>
      <c r="O62" s="34">
        <v>-6.8099999999999996E-4</v>
      </c>
      <c r="P62" s="25">
        <v>121.221</v>
      </c>
      <c r="Q62" s="25">
        <v>119.688</v>
      </c>
      <c r="R62" s="34">
        <v>1.2808301584118718E-2</v>
      </c>
    </row>
    <row r="63" spans="1:18" x14ac:dyDescent="0.15">
      <c r="A63" s="26">
        <v>56</v>
      </c>
      <c r="B63" s="25">
        <v>127054</v>
      </c>
      <c r="C63" s="25" t="s">
        <v>897</v>
      </c>
      <c r="D63" s="25">
        <v>122.81699999999999</v>
      </c>
      <c r="E63" s="34">
        <v>-1.2999999999999999E-3</v>
      </c>
      <c r="F63" s="25">
        <v>7.26</v>
      </c>
      <c r="G63" s="25">
        <v>101.1</v>
      </c>
      <c r="H63" s="43">
        <v>0.21479999999999999</v>
      </c>
      <c r="I63" s="57">
        <v>144.297</v>
      </c>
      <c r="J63" s="32">
        <v>46794</v>
      </c>
      <c r="K63" s="33">
        <v>3.7040000000000002</v>
      </c>
      <c r="L63" s="33">
        <v>5.1360530000000004</v>
      </c>
      <c r="M63" s="33">
        <v>1452.7508802</v>
      </c>
      <c r="N63" s="34">
        <v>2.3030489340630924E-2</v>
      </c>
      <c r="O63" s="34">
        <v>-1.4863999999999999E-2</v>
      </c>
      <c r="P63" s="25">
        <v>123.76</v>
      </c>
      <c r="Q63" s="25">
        <v>122.483</v>
      </c>
      <c r="R63" s="34">
        <v>1.0425936660597806E-2</v>
      </c>
    </row>
    <row r="64" spans="1:18" x14ac:dyDescent="0.15">
      <c r="A64" s="26">
        <v>57</v>
      </c>
      <c r="B64" s="25">
        <v>127055</v>
      </c>
      <c r="C64" s="25" t="s">
        <v>912</v>
      </c>
      <c r="D64" s="25">
        <v>115.09099999999999</v>
      </c>
      <c r="E64" s="34">
        <v>-9.1000000000000004E-3</v>
      </c>
      <c r="F64" s="25">
        <v>18.5</v>
      </c>
      <c r="G64" s="25">
        <v>94.54</v>
      </c>
      <c r="H64" s="43">
        <v>0.21739999999999998</v>
      </c>
      <c r="I64" s="57">
        <v>136.83099999999999</v>
      </c>
      <c r="J64" s="32">
        <v>46805</v>
      </c>
      <c r="K64" s="33">
        <v>3.734</v>
      </c>
      <c r="L64" s="33">
        <v>5.7660080000000002</v>
      </c>
      <c r="M64" s="33">
        <v>2832.7241177999999</v>
      </c>
      <c r="N64" s="34">
        <v>4.268621780000767E-2</v>
      </c>
      <c r="O64" s="34">
        <v>1.0298E-2</v>
      </c>
      <c r="P64" s="25">
        <v>116.313</v>
      </c>
      <c r="Q64" s="25">
        <v>114.5</v>
      </c>
      <c r="R64" s="34">
        <v>1.58340611353712E-2</v>
      </c>
    </row>
    <row r="65" spans="1:18" x14ac:dyDescent="0.15">
      <c r="A65" s="26">
        <v>58</v>
      </c>
      <c r="B65" s="25">
        <v>113674</v>
      </c>
      <c r="C65" s="25" t="s">
        <v>1017</v>
      </c>
      <c r="D65" s="25">
        <v>132</v>
      </c>
      <c r="E65" s="34">
        <v>4.0000000000000002E-4</v>
      </c>
      <c r="F65" s="25">
        <v>8.86</v>
      </c>
      <c r="G65" s="25">
        <v>108.35</v>
      </c>
      <c r="H65" s="43">
        <v>0.21829999999999999</v>
      </c>
      <c r="I65" s="57">
        <v>153.82999999999998</v>
      </c>
      <c r="J65" s="32">
        <v>47320</v>
      </c>
      <c r="K65" s="33">
        <v>5.1449999999999996</v>
      </c>
      <c r="L65" s="33">
        <v>3.9992899999999998</v>
      </c>
      <c r="M65" s="33">
        <v>3460.6653000000001</v>
      </c>
      <c r="N65" s="34">
        <v>6.5554539339823734E-2</v>
      </c>
      <c r="O65" s="34">
        <v>-2.3418000000000001E-2</v>
      </c>
      <c r="P65" s="25">
        <v>132.78399999999999</v>
      </c>
      <c r="Q65" s="25">
        <v>130.50899999999999</v>
      </c>
      <c r="R65" s="34">
        <v>1.7431748002053545E-2</v>
      </c>
    </row>
    <row r="66" spans="1:18" x14ac:dyDescent="0.15">
      <c r="A66" s="26">
        <v>59</v>
      </c>
      <c r="B66" s="25">
        <v>123206</v>
      </c>
      <c r="C66" s="25" t="s">
        <v>900</v>
      </c>
      <c r="D66" s="25">
        <v>127.411</v>
      </c>
      <c r="E66" s="34">
        <v>-2.8000000000000004E-3</v>
      </c>
      <c r="F66" s="25">
        <v>5.52</v>
      </c>
      <c r="G66" s="25">
        <v>103.62</v>
      </c>
      <c r="H66" s="43">
        <v>0.2296</v>
      </c>
      <c r="I66" s="57">
        <v>150.37100000000001</v>
      </c>
      <c r="J66" s="32">
        <v>47319</v>
      </c>
      <c r="K66" s="33">
        <v>5.1420000000000003</v>
      </c>
      <c r="L66" s="33">
        <v>2.4982410000000002</v>
      </c>
      <c r="M66" s="33">
        <v>7089.2228459999997</v>
      </c>
      <c r="N66" s="34">
        <v>0.22271905362037031</v>
      </c>
      <c r="O66" s="34">
        <v>-1.0024E-2</v>
      </c>
      <c r="P66" s="25">
        <v>128.83000000000001</v>
      </c>
      <c r="Q66" s="25">
        <v>126.51</v>
      </c>
      <c r="R66" s="34">
        <v>1.8338471267093568E-2</v>
      </c>
    </row>
    <row r="67" spans="1:18" x14ac:dyDescent="0.15">
      <c r="A67" s="26">
        <v>60</v>
      </c>
      <c r="B67" s="25">
        <v>128128</v>
      </c>
      <c r="C67" s="25" t="s">
        <v>1060</v>
      </c>
      <c r="D67" s="25">
        <v>122.57</v>
      </c>
      <c r="E67" s="34">
        <v>7.000000000000001E-4</v>
      </c>
      <c r="F67" s="25">
        <v>5.53</v>
      </c>
      <c r="G67" s="25">
        <v>99.64</v>
      </c>
      <c r="H67" s="43">
        <v>0.23010000000000003</v>
      </c>
      <c r="I67" s="57">
        <v>145.57999999999998</v>
      </c>
      <c r="J67" s="32">
        <v>46254</v>
      </c>
      <c r="K67" s="33">
        <v>2.2250000000000001</v>
      </c>
      <c r="L67" s="33">
        <v>6.7946759999999999</v>
      </c>
      <c r="M67" s="33">
        <v>2748.1373152000001</v>
      </c>
      <c r="N67" s="34">
        <v>3.2997838341862963E-2</v>
      </c>
      <c r="O67" s="34">
        <v>-3.4956999999999995E-2</v>
      </c>
      <c r="P67" s="25">
        <v>124.104</v>
      </c>
      <c r="Q67" s="25">
        <v>122.03</v>
      </c>
      <c r="R67" s="34">
        <v>1.6995820699827895E-2</v>
      </c>
    </row>
    <row r="68" spans="1:18" x14ac:dyDescent="0.15">
      <c r="A68" s="26">
        <v>61</v>
      </c>
      <c r="B68" s="25">
        <v>111002</v>
      </c>
      <c r="C68" s="25" t="s">
        <v>1035</v>
      </c>
      <c r="D68" s="25">
        <v>122.795</v>
      </c>
      <c r="E68" s="34">
        <v>-2.5999999999999999E-3</v>
      </c>
      <c r="F68" s="25">
        <v>14.54</v>
      </c>
      <c r="G68" s="25">
        <v>99.79</v>
      </c>
      <c r="H68" s="43">
        <v>0.23050000000000001</v>
      </c>
      <c r="I68" s="57">
        <v>145.845</v>
      </c>
      <c r="J68" s="32">
        <v>46729</v>
      </c>
      <c r="K68" s="33">
        <v>3.5259999999999998</v>
      </c>
      <c r="L68" s="33">
        <v>6.6193099999999996</v>
      </c>
      <c r="M68" s="33">
        <v>2461.4043000000001</v>
      </c>
      <c r="N68" s="34">
        <v>3.0282348333933774E-2</v>
      </c>
      <c r="O68" s="34">
        <v>-1.5571E-2</v>
      </c>
      <c r="P68" s="25">
        <v>124.05200000000001</v>
      </c>
      <c r="Q68" s="25">
        <v>122.3</v>
      </c>
      <c r="R68" s="34">
        <v>1.4325429272281354E-2</v>
      </c>
    </row>
    <row r="69" spans="1:18" x14ac:dyDescent="0.15">
      <c r="A69" s="26">
        <v>62</v>
      </c>
      <c r="B69" s="25">
        <v>123191</v>
      </c>
      <c r="C69" s="25" t="s">
        <v>974</v>
      </c>
      <c r="D69" s="25">
        <v>117.8</v>
      </c>
      <c r="E69" s="34">
        <v>-1.7000000000000001E-3</v>
      </c>
      <c r="F69" s="25">
        <v>9.52</v>
      </c>
      <c r="G69" s="25">
        <v>94.85</v>
      </c>
      <c r="H69" s="43">
        <v>0.24199999999999999</v>
      </c>
      <c r="I69" s="57">
        <v>142</v>
      </c>
      <c r="J69" s="32">
        <v>47218</v>
      </c>
      <c r="K69" s="33">
        <v>4.8659999999999997</v>
      </c>
      <c r="L69" s="33">
        <v>6.9956589999999998</v>
      </c>
      <c r="M69" s="33">
        <v>3486.2731862000005</v>
      </c>
      <c r="N69" s="34">
        <v>4.2304590288473089E-2</v>
      </c>
      <c r="O69" s="34">
        <v>-2.6670000000000001E-3</v>
      </c>
      <c r="P69" s="25">
        <v>118.666</v>
      </c>
      <c r="Q69" s="25">
        <v>117.318</v>
      </c>
      <c r="R69" s="34">
        <v>1.1490137915750345E-2</v>
      </c>
    </row>
    <row r="70" spans="1:18" x14ac:dyDescent="0.15">
      <c r="A70" s="26">
        <v>63</v>
      </c>
      <c r="B70" s="25">
        <v>113628</v>
      </c>
      <c r="C70" s="25" t="s">
        <v>886</v>
      </c>
      <c r="D70" s="25">
        <v>114.11</v>
      </c>
      <c r="E70" s="34">
        <v>-3.0000000000000001E-3</v>
      </c>
      <c r="F70" s="25">
        <v>12.79</v>
      </c>
      <c r="G70" s="25">
        <v>91.79</v>
      </c>
      <c r="H70" s="43">
        <v>0.2432</v>
      </c>
      <c r="I70" s="57">
        <v>138.43</v>
      </c>
      <c r="J70" s="32">
        <v>46622</v>
      </c>
      <c r="K70" s="33">
        <v>3.2330000000000001</v>
      </c>
      <c r="L70" s="33">
        <v>4.1492300000000002</v>
      </c>
      <c r="M70" s="33">
        <v>1110.2299</v>
      </c>
      <c r="N70" s="34">
        <v>2.3448858429588146E-2</v>
      </c>
      <c r="O70" s="34">
        <v>1.7417999999999999E-2</v>
      </c>
      <c r="P70" s="25">
        <v>115.578</v>
      </c>
      <c r="Q70" s="25">
        <v>114.1</v>
      </c>
      <c r="R70" s="34">
        <v>1.2953549517966772E-2</v>
      </c>
    </row>
    <row r="71" spans="1:18" x14ac:dyDescent="0.15">
      <c r="A71" s="26">
        <v>64</v>
      </c>
      <c r="B71" s="25">
        <v>113637</v>
      </c>
      <c r="C71" s="25" t="s">
        <v>617</v>
      </c>
      <c r="D71" s="25">
        <v>122.452</v>
      </c>
      <c r="E71" s="34">
        <v>-1.01E-2</v>
      </c>
      <c r="F71" s="25">
        <v>12.57</v>
      </c>
      <c r="G71" s="25">
        <v>98.25</v>
      </c>
      <c r="H71" s="43">
        <v>0.24629999999999999</v>
      </c>
      <c r="I71" s="57">
        <v>147.08199999999999</v>
      </c>
      <c r="J71" s="32">
        <v>46743</v>
      </c>
      <c r="K71" s="33">
        <v>3.5640000000000001</v>
      </c>
      <c r="L71" s="33">
        <v>7.9974999999999996</v>
      </c>
      <c r="M71" s="33">
        <v>1997.3857</v>
      </c>
      <c r="N71" s="34">
        <v>2.0395849783480691E-2</v>
      </c>
      <c r="O71" s="34">
        <v>-5.7679999999999997E-3</v>
      </c>
      <c r="P71" s="25">
        <v>124.5</v>
      </c>
      <c r="Q71" s="25">
        <v>122.1</v>
      </c>
      <c r="R71" s="34">
        <v>1.9656019656019704E-2</v>
      </c>
    </row>
    <row r="72" spans="1:18" x14ac:dyDescent="0.15">
      <c r="A72" s="26">
        <v>65</v>
      </c>
      <c r="B72" s="25">
        <v>123203</v>
      </c>
      <c r="C72" s="25" t="s">
        <v>1059</v>
      </c>
      <c r="D72" s="25">
        <v>118.17400000000001</v>
      </c>
      <c r="E72" s="34">
        <v>-3.5999999999999999E-3</v>
      </c>
      <c r="F72" s="25">
        <v>12.09</v>
      </c>
      <c r="G72" s="25">
        <v>94.62</v>
      </c>
      <c r="H72" s="43">
        <v>0.24890000000000001</v>
      </c>
      <c r="I72" s="57">
        <v>143.06400000000002</v>
      </c>
      <c r="J72" s="32">
        <v>47302</v>
      </c>
      <c r="K72" s="33">
        <v>5.0960000000000001</v>
      </c>
      <c r="L72" s="33">
        <v>4.4836019999999994</v>
      </c>
      <c r="M72" s="33">
        <v>2353.6681236999998</v>
      </c>
      <c r="N72" s="34">
        <v>4.442180848928147E-2</v>
      </c>
      <c r="O72" s="34">
        <v>8.5209999999999991E-3</v>
      </c>
      <c r="P72" s="25">
        <v>119.864</v>
      </c>
      <c r="Q72" s="25">
        <v>117.599</v>
      </c>
      <c r="R72" s="34">
        <v>1.9260367860270924E-2</v>
      </c>
    </row>
    <row r="73" spans="1:18" x14ac:dyDescent="0.15">
      <c r="A73" s="26">
        <v>66</v>
      </c>
      <c r="B73" s="25">
        <v>127053</v>
      </c>
      <c r="C73" s="25" t="s">
        <v>1027</v>
      </c>
      <c r="D73" s="25">
        <v>123.45699999999999</v>
      </c>
      <c r="E73" s="34">
        <v>-6.3E-3</v>
      </c>
      <c r="F73" s="25">
        <v>17.97</v>
      </c>
      <c r="G73" s="25">
        <v>98.66</v>
      </c>
      <c r="H73" s="43">
        <v>0.25129999999999997</v>
      </c>
      <c r="I73" s="57">
        <v>148.58699999999999</v>
      </c>
      <c r="J73" s="32">
        <v>46776</v>
      </c>
      <c r="K73" s="33">
        <v>3.6549999999999998</v>
      </c>
      <c r="L73" s="33">
        <v>4.8162739999999999</v>
      </c>
      <c r="M73" s="33">
        <v>1981.3270620000001</v>
      </c>
      <c r="N73" s="34">
        <v>3.3321862334602929E-2</v>
      </c>
      <c r="O73" s="34">
        <v>-8.0699999999999999E-4</v>
      </c>
      <c r="P73" s="25">
        <v>125.098</v>
      </c>
      <c r="Q73" s="25">
        <v>123.083</v>
      </c>
      <c r="R73" s="34">
        <v>1.6371066678582749E-2</v>
      </c>
    </row>
    <row r="74" spans="1:18" x14ac:dyDescent="0.15">
      <c r="A74" s="26">
        <v>67</v>
      </c>
      <c r="B74" s="25">
        <v>113598</v>
      </c>
      <c r="C74" s="25" t="s">
        <v>41</v>
      </c>
      <c r="D74" s="25">
        <v>136.22300000000001</v>
      </c>
      <c r="E74" s="34">
        <v>-1.7000000000000001E-2</v>
      </c>
      <c r="F74" s="25">
        <v>7.68</v>
      </c>
      <c r="G74" s="25">
        <v>108.46</v>
      </c>
      <c r="H74" s="43">
        <v>0.25600000000000001</v>
      </c>
      <c r="I74" s="57">
        <v>161.82300000000001</v>
      </c>
      <c r="J74" s="32">
        <v>46234</v>
      </c>
      <c r="K74" s="33">
        <v>2.17</v>
      </c>
      <c r="L74" s="33">
        <v>2.7522899999999999</v>
      </c>
      <c r="M74" s="33">
        <v>2787.9486999999999</v>
      </c>
      <c r="N74" s="34">
        <v>7.4360130901253652E-2</v>
      </c>
      <c r="O74" s="34">
        <v>-6.1529999999999994E-2</v>
      </c>
      <c r="P74" s="25">
        <v>138.91</v>
      </c>
      <c r="Q74" s="25">
        <v>134.5</v>
      </c>
      <c r="R74" s="34">
        <v>3.2788104089219304E-2</v>
      </c>
    </row>
    <row r="75" spans="1:18" x14ac:dyDescent="0.15">
      <c r="A75" s="26">
        <v>68</v>
      </c>
      <c r="B75" s="25">
        <v>123202</v>
      </c>
      <c r="C75" s="25" t="s">
        <v>893</v>
      </c>
      <c r="D75" s="25">
        <v>116.20099999999999</v>
      </c>
      <c r="E75" s="34">
        <v>-5.0000000000000001E-3</v>
      </c>
      <c r="F75" s="25">
        <v>19.510000000000002</v>
      </c>
      <c r="G75" s="25">
        <v>92.52</v>
      </c>
      <c r="H75" s="43">
        <v>0.25600000000000001</v>
      </c>
      <c r="I75" s="57">
        <v>141.80099999999999</v>
      </c>
      <c r="J75" s="32">
        <v>47302</v>
      </c>
      <c r="K75" s="33">
        <v>5.0960000000000001</v>
      </c>
      <c r="L75" s="33">
        <v>4.5992730000000002</v>
      </c>
      <c r="M75" s="33">
        <v>1767.6655567000003</v>
      </c>
      <c r="N75" s="34">
        <v>3.3075090816629481E-2</v>
      </c>
      <c r="O75" s="34">
        <v>6.6100000000000004E-3</v>
      </c>
      <c r="P75" s="25">
        <v>117.229</v>
      </c>
      <c r="Q75" s="25">
        <v>115.81</v>
      </c>
      <c r="R75" s="34">
        <v>1.2252827907779958E-2</v>
      </c>
    </row>
    <row r="76" spans="1:18" x14ac:dyDescent="0.15">
      <c r="A76" s="26">
        <v>69</v>
      </c>
      <c r="B76" s="25">
        <v>123096</v>
      </c>
      <c r="C76" s="25" t="s">
        <v>950</v>
      </c>
      <c r="D76" s="25">
        <v>91.896000000000001</v>
      </c>
      <c r="E76" s="34">
        <v>-2.8000000000000004E-3</v>
      </c>
      <c r="F76" s="25">
        <v>3.57</v>
      </c>
      <c r="G76" s="25">
        <v>72.83</v>
      </c>
      <c r="H76" s="43">
        <v>0.26179999999999998</v>
      </c>
      <c r="I76" s="57">
        <v>118.07599999999999</v>
      </c>
      <c r="J76" s="32">
        <v>46413</v>
      </c>
      <c r="K76" s="33">
        <v>2.66</v>
      </c>
      <c r="L76" s="33">
        <v>5.2376120000000004</v>
      </c>
      <c r="M76" s="33">
        <v>1414.1852789999998</v>
      </c>
      <c r="N76" s="34">
        <v>2.938166353783455E-2</v>
      </c>
      <c r="O76" s="34">
        <v>0.11449400000000001</v>
      </c>
      <c r="P76" s="25">
        <v>92.394999999999996</v>
      </c>
      <c r="Q76" s="25">
        <v>91.4</v>
      </c>
      <c r="R76" s="34">
        <v>1.0886214442013023E-2</v>
      </c>
    </row>
    <row r="77" spans="1:18" x14ac:dyDescent="0.15">
      <c r="A77" s="26">
        <v>70</v>
      </c>
      <c r="B77" s="25">
        <v>123207</v>
      </c>
      <c r="C77" s="25" t="s">
        <v>899</v>
      </c>
      <c r="D77" s="25">
        <v>111.19799999999999</v>
      </c>
      <c r="E77" s="34">
        <v>-1.1000000000000001E-3</v>
      </c>
      <c r="F77" s="25">
        <v>10.5</v>
      </c>
      <c r="G77" s="25">
        <v>88.1</v>
      </c>
      <c r="H77" s="43">
        <v>0.26219999999999999</v>
      </c>
      <c r="I77" s="57">
        <v>137.41800000000001</v>
      </c>
      <c r="J77" s="32">
        <v>47320</v>
      </c>
      <c r="K77" s="33">
        <v>5.1449999999999996</v>
      </c>
      <c r="L77" s="33">
        <v>3.9989170000000001</v>
      </c>
      <c r="M77" s="33">
        <v>1890.9055265</v>
      </c>
      <c r="N77" s="34">
        <v>4.25236431370783E-2</v>
      </c>
      <c r="O77" s="34">
        <v>1.7082E-2</v>
      </c>
      <c r="P77" s="25">
        <v>111.748</v>
      </c>
      <c r="Q77" s="25">
        <v>110.91</v>
      </c>
      <c r="R77" s="34">
        <v>7.5556757731494737E-3</v>
      </c>
    </row>
    <row r="78" spans="1:18" x14ac:dyDescent="0.15">
      <c r="A78" s="26">
        <v>71</v>
      </c>
      <c r="B78" s="25">
        <v>113673</v>
      </c>
      <c r="C78" s="25" t="s">
        <v>945</v>
      </c>
      <c r="D78" s="25">
        <v>123.678</v>
      </c>
      <c r="E78" s="34">
        <v>-5.0000000000000001E-3</v>
      </c>
      <c r="F78" s="25">
        <v>13.31</v>
      </c>
      <c r="G78" s="25">
        <v>97.75</v>
      </c>
      <c r="H78" s="43">
        <v>0.26519999999999999</v>
      </c>
      <c r="I78" s="57">
        <v>150.19800000000001</v>
      </c>
      <c r="J78" s="32">
        <v>47317</v>
      </c>
      <c r="K78" s="33">
        <v>5.1369999999999996</v>
      </c>
      <c r="L78" s="33">
        <v>9.0792300000000008</v>
      </c>
      <c r="M78" s="33">
        <v>3144.4668000000001</v>
      </c>
      <c r="N78" s="34">
        <v>2.800306329556718E-2</v>
      </c>
      <c r="O78" s="34">
        <v>-1.0775999999999999E-2</v>
      </c>
      <c r="P78" s="25">
        <v>124.78700000000001</v>
      </c>
      <c r="Q78" s="25">
        <v>123.178</v>
      </c>
      <c r="R78" s="34">
        <v>1.3062397506048231E-2</v>
      </c>
    </row>
    <row r="79" spans="1:18" x14ac:dyDescent="0.15">
      <c r="A79" s="26">
        <v>72</v>
      </c>
      <c r="B79" s="25">
        <v>123236</v>
      </c>
      <c r="C79" s="25" t="s">
        <v>971</v>
      </c>
      <c r="D79" s="25">
        <v>126.25700000000001</v>
      </c>
      <c r="E79" s="34">
        <v>-1.3600000000000001E-2</v>
      </c>
      <c r="F79" s="25">
        <v>18.489999999999998</v>
      </c>
      <c r="G79" s="25">
        <v>99.46</v>
      </c>
      <c r="H79" s="43">
        <v>0.26940000000000003</v>
      </c>
      <c r="I79" s="57">
        <v>153.197</v>
      </c>
      <c r="J79" s="32">
        <v>47474</v>
      </c>
      <c r="K79" s="33">
        <v>5.5670000000000002</v>
      </c>
      <c r="L79" s="33">
        <v>7.5</v>
      </c>
      <c r="M79" s="33">
        <v>3563.9834301000001</v>
      </c>
      <c r="N79" s="34">
        <v>3.7637342141821836E-2</v>
      </c>
      <c r="O79" s="34">
        <v>-9.5239999999999995E-3</v>
      </c>
      <c r="P79" s="25">
        <v>128.38399999999999</v>
      </c>
      <c r="Q79" s="25">
        <v>125.4</v>
      </c>
      <c r="R79" s="34">
        <v>2.3795853269537322E-2</v>
      </c>
    </row>
    <row r="80" spans="1:18" x14ac:dyDescent="0.15">
      <c r="A80" s="26">
        <v>73</v>
      </c>
      <c r="B80" s="25">
        <v>127099</v>
      </c>
      <c r="C80" s="25" t="s">
        <v>1026</v>
      </c>
      <c r="D80" s="25">
        <v>121.724</v>
      </c>
      <c r="E80" s="34">
        <v>5.8999999999999999E-3</v>
      </c>
      <c r="F80" s="25">
        <v>19.149999999999999</v>
      </c>
      <c r="G80" s="25">
        <v>95.87</v>
      </c>
      <c r="H80" s="43">
        <v>0.2697</v>
      </c>
      <c r="I80" s="57">
        <v>148.69400000000002</v>
      </c>
      <c r="J80" s="32">
        <v>47458</v>
      </c>
      <c r="K80" s="33">
        <v>5.5229999999999997</v>
      </c>
      <c r="L80" s="33">
        <v>7.4</v>
      </c>
      <c r="M80" s="33">
        <v>2591.9037160999997</v>
      </c>
      <c r="N80" s="34">
        <v>2.8774708268906074E-2</v>
      </c>
      <c r="O80" s="34">
        <v>-1.8599999999999999E-3</v>
      </c>
      <c r="P80" s="25">
        <v>122.848</v>
      </c>
      <c r="Q80" s="25">
        <v>120.765</v>
      </c>
      <c r="R80" s="34">
        <v>1.724837494307124E-2</v>
      </c>
    </row>
    <row r="81" spans="1:18" x14ac:dyDescent="0.15">
      <c r="A81" s="26">
        <v>74</v>
      </c>
      <c r="B81" s="25">
        <v>128120</v>
      </c>
      <c r="C81" s="25" t="s">
        <v>1041</v>
      </c>
      <c r="D81" s="25">
        <v>120</v>
      </c>
      <c r="E81" s="34">
        <v>-2.8999999999999998E-3</v>
      </c>
      <c r="F81" s="25">
        <v>11.68</v>
      </c>
      <c r="G81" s="25">
        <v>94.26</v>
      </c>
      <c r="H81" s="43">
        <v>0.27310000000000001</v>
      </c>
      <c r="I81" s="57">
        <v>147.31</v>
      </c>
      <c r="J81" s="32">
        <v>46220</v>
      </c>
      <c r="K81" s="33">
        <v>2.1320000000000001</v>
      </c>
      <c r="L81" s="33">
        <v>2.5942419999999995</v>
      </c>
      <c r="M81" s="33">
        <v>1189.1697999999999</v>
      </c>
      <c r="N81" s="34">
        <v>3.8199012788064243E-2</v>
      </c>
      <c r="O81" s="34">
        <v>-1.6129000000000001E-2</v>
      </c>
      <c r="P81" s="25">
        <v>120.94499999999999</v>
      </c>
      <c r="Q81" s="25">
        <v>119.8</v>
      </c>
      <c r="R81" s="34">
        <v>9.5575959933221714E-3</v>
      </c>
    </row>
    <row r="82" spans="1:18" x14ac:dyDescent="0.15">
      <c r="A82" s="26">
        <v>75</v>
      </c>
      <c r="B82" s="25">
        <v>113671</v>
      </c>
      <c r="C82" s="25" t="s">
        <v>1014</v>
      </c>
      <c r="D82" s="25">
        <v>127.92100000000001</v>
      </c>
      <c r="E82" s="34">
        <v>-4.0000000000000002E-4</v>
      </c>
      <c r="F82" s="25">
        <v>8.5500000000000007</v>
      </c>
      <c r="G82" s="25">
        <v>100.47</v>
      </c>
      <c r="H82" s="43">
        <v>0.2732</v>
      </c>
      <c r="I82" s="57">
        <v>155.24100000000001</v>
      </c>
      <c r="J82" s="32">
        <v>47309</v>
      </c>
      <c r="K82" s="33">
        <v>5.1150000000000002</v>
      </c>
      <c r="L82" s="33">
        <v>3.0996000000000001</v>
      </c>
      <c r="M82" s="33">
        <v>1053.9685999999999</v>
      </c>
      <c r="N82" s="34">
        <v>2.6581542224485721E-2</v>
      </c>
      <c r="O82" s="34">
        <v>-2.0809000000000001E-2</v>
      </c>
      <c r="P82" s="25">
        <v>128.072</v>
      </c>
      <c r="Q82" s="25">
        <v>127.001</v>
      </c>
      <c r="R82" s="34">
        <v>8.4330044645317594E-3</v>
      </c>
    </row>
    <row r="83" spans="1:18" x14ac:dyDescent="0.15">
      <c r="A83" s="26">
        <v>76</v>
      </c>
      <c r="B83" s="25">
        <v>123218</v>
      </c>
      <c r="C83" s="25" t="s">
        <v>1005</v>
      </c>
      <c r="D83" s="25">
        <v>118.88800000000001</v>
      </c>
      <c r="E83" s="34">
        <v>-1.8799999999999997E-2</v>
      </c>
      <c r="F83" s="25">
        <v>28</v>
      </c>
      <c r="G83" s="25">
        <v>93.14</v>
      </c>
      <c r="H83" s="43">
        <v>0.27639999999999998</v>
      </c>
      <c r="I83" s="57">
        <v>146.52800000000002</v>
      </c>
      <c r="J83" s="32">
        <v>47340</v>
      </c>
      <c r="K83" s="33">
        <v>5.2</v>
      </c>
      <c r="L83" s="33">
        <v>3.7975249999999998</v>
      </c>
      <c r="M83" s="33">
        <v>7864.5518680000005</v>
      </c>
      <c r="N83" s="34">
        <v>0.1741948528562581</v>
      </c>
      <c r="O83" s="34">
        <v>3.6229999999999999E-3</v>
      </c>
      <c r="P83" s="25">
        <v>121.4</v>
      </c>
      <c r="Q83" s="25">
        <v>118.401</v>
      </c>
      <c r="R83" s="34">
        <v>2.532917796302404E-2</v>
      </c>
    </row>
    <row r="84" spans="1:18" x14ac:dyDescent="0.15">
      <c r="A84" s="26">
        <v>77</v>
      </c>
      <c r="B84" s="25">
        <v>123141</v>
      </c>
      <c r="C84" s="25" t="s">
        <v>179</v>
      </c>
      <c r="D84" s="25">
        <v>115.85899999999999</v>
      </c>
      <c r="E84" s="34">
        <v>1.1399999999999999E-2</v>
      </c>
      <c r="F84" s="25">
        <v>5.37</v>
      </c>
      <c r="G84" s="25">
        <v>90.69</v>
      </c>
      <c r="H84" s="43">
        <v>0.27750000000000002</v>
      </c>
      <c r="I84" s="57">
        <v>143.60899999999998</v>
      </c>
      <c r="J84" s="32">
        <v>46827</v>
      </c>
      <c r="K84" s="33">
        <v>3.7949999999999999</v>
      </c>
      <c r="L84" s="33">
        <v>3.2096100000000001</v>
      </c>
      <c r="M84" s="33">
        <v>8111.2700239999995</v>
      </c>
      <c r="N84" s="34">
        <v>0.2181256905153382</v>
      </c>
      <c r="O84" s="34">
        <v>1.0621E-2</v>
      </c>
      <c r="P84" s="25">
        <v>117.98</v>
      </c>
      <c r="Q84" s="25">
        <v>114.379</v>
      </c>
      <c r="R84" s="34">
        <v>3.148305195883859E-2</v>
      </c>
    </row>
    <row r="85" spans="1:18" x14ac:dyDescent="0.15">
      <c r="A85" s="26">
        <v>78</v>
      </c>
      <c r="B85" s="25">
        <v>111012</v>
      </c>
      <c r="C85" s="25" t="s">
        <v>645</v>
      </c>
      <c r="D85" s="25">
        <v>123.392</v>
      </c>
      <c r="E85" s="34">
        <v>-5.1000000000000004E-3</v>
      </c>
      <c r="F85" s="25">
        <v>13.73</v>
      </c>
      <c r="G85" s="25">
        <v>96.43</v>
      </c>
      <c r="H85" s="43">
        <v>0.27960000000000002</v>
      </c>
      <c r="I85" s="57">
        <v>151.352</v>
      </c>
      <c r="J85" s="32">
        <v>47122</v>
      </c>
      <c r="K85" s="33">
        <v>4.6029999999999998</v>
      </c>
      <c r="L85" s="33">
        <v>2.68519</v>
      </c>
      <c r="M85" s="33">
        <v>1578.6234999999999</v>
      </c>
      <c r="N85" s="34">
        <v>4.7644913069852544E-2</v>
      </c>
      <c r="O85" s="34">
        <v>-4.1520000000000003E-3</v>
      </c>
      <c r="P85" s="25">
        <v>124.42100000000001</v>
      </c>
      <c r="Q85" s="25">
        <v>123.001</v>
      </c>
      <c r="R85" s="34">
        <v>1.1544621588442383E-2</v>
      </c>
    </row>
    <row r="86" spans="1:18" x14ac:dyDescent="0.15">
      <c r="A86" s="26">
        <v>79</v>
      </c>
      <c r="B86" s="25">
        <v>113664</v>
      </c>
      <c r="C86" s="25" t="s">
        <v>641</v>
      </c>
      <c r="D86" s="25">
        <v>119.78</v>
      </c>
      <c r="E86" s="34">
        <v>-5.0000000000000001E-4</v>
      </c>
      <c r="F86" s="25">
        <v>22.28</v>
      </c>
      <c r="G86" s="25">
        <v>93.54</v>
      </c>
      <c r="H86" s="43">
        <v>0.28050000000000003</v>
      </c>
      <c r="I86" s="57">
        <v>147.83000000000001</v>
      </c>
      <c r="J86" s="32">
        <v>47092</v>
      </c>
      <c r="K86" s="33">
        <v>4.5209999999999999</v>
      </c>
      <c r="L86" s="33">
        <v>4.4993100000000004</v>
      </c>
      <c r="M86" s="33">
        <v>1048.7801999999999</v>
      </c>
      <c r="N86" s="34">
        <v>1.9460511634770583E-2</v>
      </c>
      <c r="O86" s="34">
        <v>1.5399999999999999E-3</v>
      </c>
      <c r="P86" s="25">
        <v>120.399</v>
      </c>
      <c r="Q86" s="25">
        <v>119.291</v>
      </c>
      <c r="R86" s="34">
        <v>9.2882111810614724E-3</v>
      </c>
    </row>
    <row r="87" spans="1:18" x14ac:dyDescent="0.15">
      <c r="A87" s="26">
        <v>80</v>
      </c>
      <c r="B87" s="25">
        <v>113537</v>
      </c>
      <c r="C87" s="25" t="s">
        <v>969</v>
      </c>
      <c r="D87" s="25">
        <v>199.97900000000001</v>
      </c>
      <c r="E87" s="34">
        <v>-5.3E-3</v>
      </c>
      <c r="F87" s="25">
        <v>18.98</v>
      </c>
      <c r="G87" s="25">
        <v>156.01</v>
      </c>
      <c r="H87" s="43">
        <v>0.28179999999999999</v>
      </c>
      <c r="I87" s="57">
        <v>228.15900000000002</v>
      </c>
      <c r="J87" s="32">
        <v>45818</v>
      </c>
      <c r="K87" s="33">
        <v>1.03</v>
      </c>
      <c r="L87" s="33">
        <v>1.22943</v>
      </c>
      <c r="M87" s="33">
        <v>3497.8544000000002</v>
      </c>
      <c r="N87" s="34">
        <v>0.14227006471616496</v>
      </c>
      <c r="O87" s="34">
        <v>-0.40742400000000001</v>
      </c>
      <c r="P87" s="25">
        <v>202.1</v>
      </c>
      <c r="Q87" s="25">
        <v>199.78800000000001</v>
      </c>
      <c r="R87" s="34">
        <v>1.1572266602598672E-2</v>
      </c>
    </row>
    <row r="88" spans="1:18" x14ac:dyDescent="0.15">
      <c r="A88" s="26">
        <v>81</v>
      </c>
      <c r="B88" s="25">
        <v>118028</v>
      </c>
      <c r="C88" s="25" t="s">
        <v>938</v>
      </c>
      <c r="D88" s="25">
        <v>119.434</v>
      </c>
      <c r="E88" s="34">
        <v>-6.8999999999999999E-3</v>
      </c>
      <c r="F88" s="25">
        <v>9.31</v>
      </c>
      <c r="G88" s="25">
        <v>93.13</v>
      </c>
      <c r="H88" s="43">
        <v>0.28239999999999998</v>
      </c>
      <c r="I88" s="57">
        <v>147.67400000000001</v>
      </c>
      <c r="J88" s="32">
        <v>47093</v>
      </c>
      <c r="K88" s="33">
        <v>4.5229999999999997</v>
      </c>
      <c r="L88" s="33">
        <v>8.2998999999999992</v>
      </c>
      <c r="M88" s="33">
        <v>652.6703</v>
      </c>
      <c r="N88" s="34">
        <v>6.5840483718520209E-3</v>
      </c>
      <c r="O88" s="34">
        <v>1.065E-3</v>
      </c>
      <c r="P88" s="25">
        <v>120.65</v>
      </c>
      <c r="Q88" s="25">
        <v>118.846</v>
      </c>
      <c r="R88" s="34">
        <v>1.5179307675479209E-2</v>
      </c>
    </row>
    <row r="89" spans="1:18" x14ac:dyDescent="0.15">
      <c r="A89" s="26">
        <v>82</v>
      </c>
      <c r="B89" s="25">
        <v>111007</v>
      </c>
      <c r="C89" s="25" t="s">
        <v>909</v>
      </c>
      <c r="D89" s="25">
        <v>124.125</v>
      </c>
      <c r="E89" s="34">
        <v>-6.9999999999999993E-3</v>
      </c>
      <c r="F89" s="25">
        <v>23.83</v>
      </c>
      <c r="G89" s="25">
        <v>96.64</v>
      </c>
      <c r="H89" s="43">
        <v>0.28439999999999999</v>
      </c>
      <c r="I89" s="57">
        <v>152.565</v>
      </c>
      <c r="J89" s="32">
        <v>47037</v>
      </c>
      <c r="K89" s="33">
        <v>4.37</v>
      </c>
      <c r="L89" s="33">
        <v>7.8568699999999998</v>
      </c>
      <c r="M89" s="33">
        <v>3518.3795</v>
      </c>
      <c r="N89" s="34">
        <v>3.6077285457510162E-2</v>
      </c>
      <c r="O89" s="34">
        <v>-7.8469999999999998E-3</v>
      </c>
      <c r="P89" s="25">
        <v>125.78</v>
      </c>
      <c r="Q89" s="25">
        <v>123.92400000000001</v>
      </c>
      <c r="R89" s="34">
        <v>1.4976921338885079E-2</v>
      </c>
    </row>
    <row r="90" spans="1:18" x14ac:dyDescent="0.15">
      <c r="A90" s="26">
        <v>83</v>
      </c>
      <c r="B90" s="25">
        <v>111013</v>
      </c>
      <c r="C90" s="25" t="s">
        <v>1061</v>
      </c>
      <c r="D90" s="25">
        <v>137.797</v>
      </c>
      <c r="E90" s="34">
        <v>-5.5300000000000002E-2</v>
      </c>
      <c r="F90" s="25">
        <v>8.85</v>
      </c>
      <c r="G90" s="25">
        <v>106.55</v>
      </c>
      <c r="H90" s="43">
        <v>0.29330000000000001</v>
      </c>
      <c r="I90" s="57">
        <v>167.12700000000001</v>
      </c>
      <c r="J90" s="32">
        <v>47185</v>
      </c>
      <c r="K90" s="33">
        <v>4.7750000000000004</v>
      </c>
      <c r="L90" s="33">
        <v>3.6872400000000001</v>
      </c>
      <c r="M90" s="33">
        <v>528363.69620000001</v>
      </c>
      <c r="N90" s="34">
        <v>10.399005325227874</v>
      </c>
      <c r="O90" s="34">
        <v>-2.8673999999999998E-2</v>
      </c>
      <c r="P90" s="25">
        <v>166.16</v>
      </c>
      <c r="Q90" s="25">
        <v>134.364</v>
      </c>
      <c r="R90" s="34">
        <v>0.23664076687207877</v>
      </c>
    </row>
    <row r="91" spans="1:18" x14ac:dyDescent="0.15">
      <c r="A91" s="26">
        <v>84</v>
      </c>
      <c r="B91" s="25">
        <v>113646</v>
      </c>
      <c r="C91" s="25" t="s">
        <v>1016</v>
      </c>
      <c r="D91" s="25">
        <v>140.31100000000001</v>
      </c>
      <c r="E91" s="34">
        <v>-5.4000000000000003E-3</v>
      </c>
      <c r="F91" s="25">
        <v>8.26</v>
      </c>
      <c r="G91" s="25">
        <v>108.35</v>
      </c>
      <c r="H91" s="43">
        <v>0.29499999999999998</v>
      </c>
      <c r="I91" s="57">
        <v>169.81100000000001</v>
      </c>
      <c r="J91" s="32">
        <v>46857</v>
      </c>
      <c r="K91" s="33">
        <v>3.8769999999999998</v>
      </c>
      <c r="L91" s="33">
        <v>1.3812899999999999</v>
      </c>
      <c r="M91" s="33">
        <v>4223.6808000000001</v>
      </c>
      <c r="N91" s="34">
        <v>0.21792873697689569</v>
      </c>
      <c r="O91" s="34">
        <v>-5.6054000000000007E-2</v>
      </c>
      <c r="P91" s="25">
        <v>141.80000000000001</v>
      </c>
      <c r="Q91" s="25">
        <v>139.41</v>
      </c>
      <c r="R91" s="34">
        <v>1.7143676924180583E-2</v>
      </c>
    </row>
    <row r="92" spans="1:18" x14ac:dyDescent="0.15">
      <c r="A92" s="26">
        <v>85</v>
      </c>
      <c r="B92" s="25">
        <v>123238</v>
      </c>
      <c r="C92" s="25" t="s">
        <v>1001</v>
      </c>
      <c r="D92" s="25">
        <v>143.708</v>
      </c>
      <c r="E92" s="34">
        <v>-3.8100000000000002E-2</v>
      </c>
      <c r="F92" s="25">
        <v>41.43</v>
      </c>
      <c r="G92" s="25">
        <v>109.65</v>
      </c>
      <c r="H92" s="43">
        <v>0.31059999999999999</v>
      </c>
      <c r="I92" s="57">
        <v>174.768</v>
      </c>
      <c r="J92" s="32">
        <v>47494</v>
      </c>
      <c r="K92" s="33">
        <v>5.6219999999999999</v>
      </c>
      <c r="L92" s="33">
        <v>5.29</v>
      </c>
      <c r="M92" s="33">
        <v>16749.3198309</v>
      </c>
      <c r="N92" s="34">
        <v>0.22032336616026102</v>
      </c>
      <c r="O92" s="34">
        <v>-3.2139000000000001E-2</v>
      </c>
      <c r="P92" s="25">
        <v>149</v>
      </c>
      <c r="Q92" s="25">
        <v>141.4</v>
      </c>
      <c r="R92" s="34">
        <v>5.3748231966053703E-2</v>
      </c>
    </row>
    <row r="93" spans="1:18" x14ac:dyDescent="0.15">
      <c r="A93" s="26">
        <v>86</v>
      </c>
      <c r="B93" s="25">
        <v>123160</v>
      </c>
      <c r="C93" s="25" t="s">
        <v>1015</v>
      </c>
      <c r="D93" s="25">
        <v>110.779</v>
      </c>
      <c r="E93" s="34">
        <v>1.5E-3</v>
      </c>
      <c r="F93" s="25">
        <v>19.82</v>
      </c>
      <c r="G93" s="25">
        <v>84.11</v>
      </c>
      <c r="H93" s="43">
        <v>0.31709999999999999</v>
      </c>
      <c r="I93" s="57">
        <v>142.489</v>
      </c>
      <c r="J93" s="32">
        <v>47024</v>
      </c>
      <c r="K93" s="33">
        <v>4.3339999999999996</v>
      </c>
      <c r="L93" s="33">
        <v>3.3488639999999998</v>
      </c>
      <c r="M93" s="33">
        <v>695.08275400000002</v>
      </c>
      <c r="N93" s="34">
        <v>1.8736202080171054E-2</v>
      </c>
      <c r="O93" s="34">
        <v>2.1053000000000002E-2</v>
      </c>
      <c r="P93" s="25">
        <v>111.36</v>
      </c>
      <c r="Q93" s="25">
        <v>110.1</v>
      </c>
      <c r="R93" s="34">
        <v>1.1444141689373345E-2</v>
      </c>
    </row>
    <row r="94" spans="1:18" x14ac:dyDescent="0.15">
      <c r="A94" s="26">
        <v>87</v>
      </c>
      <c r="B94" s="25">
        <v>127078</v>
      </c>
      <c r="C94" s="25" t="s">
        <v>1019</v>
      </c>
      <c r="D94" s="25">
        <v>116.5</v>
      </c>
      <c r="E94" s="34">
        <v>-4.0999999999999995E-3</v>
      </c>
      <c r="F94" s="25">
        <v>7.2</v>
      </c>
      <c r="G94" s="25">
        <v>88.33</v>
      </c>
      <c r="H94" s="43">
        <v>0.31890000000000002</v>
      </c>
      <c r="I94" s="57">
        <v>148.38999999999999</v>
      </c>
      <c r="J94" s="32">
        <v>47101</v>
      </c>
      <c r="K94" s="33">
        <v>4.5449999999999999</v>
      </c>
      <c r="L94" s="33">
        <v>5.9996729999999996</v>
      </c>
      <c r="M94" s="33">
        <v>491.5340999</v>
      </c>
      <c r="N94" s="34">
        <v>7.0323446347425366E-3</v>
      </c>
      <c r="O94" s="34">
        <v>8.7469999999999996E-3</v>
      </c>
      <c r="P94" s="25">
        <v>117.155</v>
      </c>
      <c r="Q94" s="25">
        <v>115.75</v>
      </c>
      <c r="R94" s="34">
        <v>1.2138228941684676E-2</v>
      </c>
    </row>
    <row r="95" spans="1:18" x14ac:dyDescent="0.15">
      <c r="A95" s="26">
        <v>88</v>
      </c>
      <c r="B95" s="25">
        <v>123199</v>
      </c>
      <c r="C95" s="25" t="s">
        <v>1055</v>
      </c>
      <c r="D95" s="25">
        <v>127.8</v>
      </c>
      <c r="E95" s="34">
        <v>-2.81E-2</v>
      </c>
      <c r="F95" s="25">
        <v>13.6</v>
      </c>
      <c r="G95" s="25">
        <v>96.32</v>
      </c>
      <c r="H95" s="43">
        <v>0.32679999999999998</v>
      </c>
      <c r="I95" s="57">
        <v>160.47999999999999</v>
      </c>
      <c r="J95" s="32">
        <v>47281</v>
      </c>
      <c r="K95" s="33">
        <v>5.0380000000000003</v>
      </c>
      <c r="L95" s="33">
        <v>3.199478</v>
      </c>
      <c r="M95" s="33">
        <v>66839.043502800007</v>
      </c>
      <c r="N95" s="34">
        <v>1.6346329323315938</v>
      </c>
      <c r="O95" s="34">
        <v>-2.4224000000000002E-2</v>
      </c>
      <c r="P95" s="25">
        <v>132.70699999999999</v>
      </c>
      <c r="Q95" s="25">
        <v>126.447</v>
      </c>
      <c r="R95" s="34">
        <v>4.9506908032614379E-2</v>
      </c>
    </row>
    <row r="96" spans="1:18" x14ac:dyDescent="0.15">
      <c r="A96" s="26">
        <v>89</v>
      </c>
      <c r="B96" s="25">
        <v>123152</v>
      </c>
      <c r="C96" s="25" t="s">
        <v>1053</v>
      </c>
      <c r="D96" s="25">
        <v>122.821</v>
      </c>
      <c r="E96" s="34">
        <v>-1.3100000000000001E-2</v>
      </c>
      <c r="F96" s="25">
        <v>28.81</v>
      </c>
      <c r="G96" s="25">
        <v>92.54</v>
      </c>
      <c r="H96" s="43">
        <v>0.32719999999999999</v>
      </c>
      <c r="I96" s="57">
        <v>155.541</v>
      </c>
      <c r="J96" s="32">
        <v>46955</v>
      </c>
      <c r="K96" s="33">
        <v>4.1449999999999996</v>
      </c>
      <c r="L96" s="33">
        <v>2.9219309999999998</v>
      </c>
      <c r="M96" s="33">
        <v>4945.5382897999998</v>
      </c>
      <c r="N96" s="34">
        <v>0.13780690642862495</v>
      </c>
      <c r="O96" s="34">
        <v>2.5609999999999999E-3</v>
      </c>
      <c r="P96" s="25">
        <v>124.485</v>
      </c>
      <c r="Q96" s="25">
        <v>122.1</v>
      </c>
      <c r="R96" s="34">
        <v>1.9533169533169577E-2</v>
      </c>
    </row>
    <row r="97" spans="1:18" x14ac:dyDescent="0.15">
      <c r="A97" s="26">
        <v>90</v>
      </c>
      <c r="B97" s="25">
        <v>111016</v>
      </c>
      <c r="C97" s="25" t="s">
        <v>1029</v>
      </c>
      <c r="D97" s="25">
        <v>118.333</v>
      </c>
      <c r="E97" s="34">
        <v>-5.4000000000000003E-3</v>
      </c>
      <c r="F97" s="25">
        <v>11.56</v>
      </c>
      <c r="G97" s="25">
        <v>89.1</v>
      </c>
      <c r="H97" s="43">
        <v>0.3281</v>
      </c>
      <c r="I97" s="57">
        <v>151.143</v>
      </c>
      <c r="J97" s="32">
        <v>47324</v>
      </c>
      <c r="K97" s="33">
        <v>5.1559999999999997</v>
      </c>
      <c r="L97" s="33">
        <v>5.76919</v>
      </c>
      <c r="M97" s="33">
        <v>3117.2822999999999</v>
      </c>
      <c r="N97" s="34">
        <v>4.566205119040638E-2</v>
      </c>
      <c r="O97" s="34">
        <v>2.5950000000000001E-3</v>
      </c>
      <c r="P97" s="25">
        <v>119.61799999999999</v>
      </c>
      <c r="Q97" s="25">
        <v>117.97199999999999</v>
      </c>
      <c r="R97" s="34">
        <v>1.3952463296375419E-2</v>
      </c>
    </row>
    <row r="98" spans="1:18" x14ac:dyDescent="0.15">
      <c r="A98" s="26">
        <v>91</v>
      </c>
      <c r="B98" s="25">
        <v>123211</v>
      </c>
      <c r="C98" s="25" t="s">
        <v>1022</v>
      </c>
      <c r="D98" s="25">
        <v>114.69799999999999</v>
      </c>
      <c r="E98" s="34">
        <v>-6.1999999999999998E-3</v>
      </c>
      <c r="F98" s="25">
        <v>9.6199999999999992</v>
      </c>
      <c r="G98" s="25">
        <v>86.28</v>
      </c>
      <c r="H98" s="43">
        <v>0.32939999999999997</v>
      </c>
      <c r="I98" s="57">
        <v>147.63799999999998</v>
      </c>
      <c r="J98" s="32">
        <v>47326</v>
      </c>
      <c r="K98" s="33">
        <v>5.1619999999999999</v>
      </c>
      <c r="L98" s="33">
        <v>6.4998560000000003</v>
      </c>
      <c r="M98" s="33">
        <v>918.37468929999989</v>
      </c>
      <c r="N98" s="34">
        <v>1.2318570846011935E-2</v>
      </c>
      <c r="O98" s="34">
        <v>9.4549999999999999E-3</v>
      </c>
      <c r="P98" s="25">
        <v>115.68899999999999</v>
      </c>
      <c r="Q98" s="25">
        <v>114.408</v>
      </c>
      <c r="R98" s="34">
        <v>1.1196769456681278E-2</v>
      </c>
    </row>
    <row r="99" spans="1:18" x14ac:dyDescent="0.15">
      <c r="A99" s="26">
        <v>92</v>
      </c>
      <c r="B99" s="25">
        <v>123054</v>
      </c>
      <c r="C99" s="25" t="s">
        <v>955</v>
      </c>
      <c r="D99" s="25">
        <v>135.12700000000001</v>
      </c>
      <c r="E99" s="34">
        <v>-2.7000000000000001E-3</v>
      </c>
      <c r="F99" s="25">
        <v>9.8800000000000008</v>
      </c>
      <c r="G99" s="25">
        <v>101.62</v>
      </c>
      <c r="H99" s="43">
        <v>0.32969999999999999</v>
      </c>
      <c r="I99" s="57">
        <v>168.09700000000001</v>
      </c>
      <c r="J99" s="32">
        <v>46183</v>
      </c>
      <c r="K99" s="33">
        <v>2.0299999999999998</v>
      </c>
      <c r="L99" s="33">
        <v>1.67252</v>
      </c>
      <c r="M99" s="33">
        <v>2494.7469584</v>
      </c>
      <c r="N99" s="34">
        <v>0.11038575872900128</v>
      </c>
      <c r="O99" s="34">
        <v>-6.0854999999999999E-2</v>
      </c>
      <c r="P99" s="25">
        <v>136.1</v>
      </c>
      <c r="Q99" s="25">
        <v>133.785</v>
      </c>
      <c r="R99" s="34">
        <v>1.7303883096012242E-2</v>
      </c>
    </row>
    <row r="100" spans="1:18" x14ac:dyDescent="0.15">
      <c r="A100" s="26">
        <v>93</v>
      </c>
      <c r="B100" s="25">
        <v>123172</v>
      </c>
      <c r="C100" s="25" t="s">
        <v>887</v>
      </c>
      <c r="D100" s="25">
        <v>116.899</v>
      </c>
      <c r="E100" s="34">
        <v>-1.55E-2</v>
      </c>
      <c r="F100" s="25">
        <v>15</v>
      </c>
      <c r="G100" s="25">
        <v>87.6</v>
      </c>
      <c r="H100" s="43">
        <v>0.33450000000000002</v>
      </c>
      <c r="I100" s="57">
        <v>150.34899999999999</v>
      </c>
      <c r="J100" s="32">
        <v>47102</v>
      </c>
      <c r="K100" s="33">
        <v>4.548</v>
      </c>
      <c r="L100" s="33">
        <v>7.9999250000000002</v>
      </c>
      <c r="M100" s="33">
        <v>5977.0054940999999</v>
      </c>
      <c r="N100" s="34">
        <v>6.3912667442106372E-2</v>
      </c>
      <c r="O100" s="34">
        <v>2.101E-3</v>
      </c>
      <c r="P100" s="25">
        <v>118.73699999999999</v>
      </c>
      <c r="Q100" s="25">
        <v>116.65600000000001</v>
      </c>
      <c r="R100" s="34">
        <v>1.7838773830750145E-2</v>
      </c>
    </row>
    <row r="101" spans="1:18" x14ac:dyDescent="0.15">
      <c r="A101" s="26">
        <v>94</v>
      </c>
      <c r="B101" s="25">
        <v>111008</v>
      </c>
      <c r="C101" s="25" t="s">
        <v>618</v>
      </c>
      <c r="D101" s="25">
        <v>120.94</v>
      </c>
      <c r="E101" s="34">
        <v>2.3E-3</v>
      </c>
      <c r="F101" s="25">
        <v>31.5</v>
      </c>
      <c r="G101" s="25">
        <v>90.48</v>
      </c>
      <c r="H101" s="43">
        <v>0.33659999999999995</v>
      </c>
      <c r="I101" s="57">
        <v>154.6</v>
      </c>
      <c r="J101" s="32">
        <v>47059</v>
      </c>
      <c r="K101" s="33">
        <v>4.43</v>
      </c>
      <c r="L101" s="33">
        <v>3.8386100000000001</v>
      </c>
      <c r="M101" s="33">
        <v>1496.0546999999999</v>
      </c>
      <c r="N101" s="34">
        <v>3.2225785959872584E-2</v>
      </c>
      <c r="O101" s="34">
        <v>-3.7259999999999997E-3</v>
      </c>
      <c r="P101" s="25">
        <v>121.937</v>
      </c>
      <c r="Q101" s="25">
        <v>120.06399999999999</v>
      </c>
      <c r="R101" s="34">
        <v>1.5600013326226052E-2</v>
      </c>
    </row>
    <row r="102" spans="1:18" x14ac:dyDescent="0.15">
      <c r="A102" s="26">
        <v>95</v>
      </c>
      <c r="B102" s="25">
        <v>123038</v>
      </c>
      <c r="C102" s="25" t="s">
        <v>953</v>
      </c>
      <c r="D102" s="25">
        <v>137</v>
      </c>
      <c r="E102" s="34">
        <v>1.5600000000000001E-2</v>
      </c>
      <c r="F102" s="25">
        <v>23.81</v>
      </c>
      <c r="G102" s="25">
        <v>102.18</v>
      </c>
      <c r="H102" s="43">
        <v>0.34079999999999999</v>
      </c>
      <c r="I102" s="57">
        <v>171.07999999999998</v>
      </c>
      <c r="J102" s="32">
        <v>46016</v>
      </c>
      <c r="K102" s="33">
        <v>1.573</v>
      </c>
      <c r="L102" s="33">
        <v>1.471317</v>
      </c>
      <c r="M102" s="33">
        <v>6094.8471090000003</v>
      </c>
      <c r="N102" s="34">
        <v>0.30236811715075534</v>
      </c>
      <c r="O102" s="34">
        <v>-0.10577</v>
      </c>
      <c r="P102" s="25">
        <v>138.88</v>
      </c>
      <c r="Q102" s="25">
        <v>134.93799999999999</v>
      </c>
      <c r="R102" s="34">
        <v>2.9213416532036993E-2</v>
      </c>
    </row>
    <row r="103" spans="1:18" x14ac:dyDescent="0.15">
      <c r="A103" s="26">
        <v>96</v>
      </c>
      <c r="B103" s="25">
        <v>127104</v>
      </c>
      <c r="C103" s="25" t="s">
        <v>1000</v>
      </c>
      <c r="D103" s="25">
        <v>139.19499999999999</v>
      </c>
      <c r="E103" s="34">
        <v>-1.6399999999999998E-2</v>
      </c>
      <c r="F103" s="25">
        <v>21.53</v>
      </c>
      <c r="G103" s="25">
        <v>102.83</v>
      </c>
      <c r="H103" s="43">
        <v>0.35359999999999997</v>
      </c>
      <c r="I103" s="57">
        <v>174.55500000000001</v>
      </c>
      <c r="J103" s="32">
        <v>47508</v>
      </c>
      <c r="K103" s="33">
        <v>5.66</v>
      </c>
      <c r="L103" s="33">
        <v>5.8312730000000004</v>
      </c>
      <c r="M103" s="33">
        <v>1414.0640989999999</v>
      </c>
      <c r="N103" s="34">
        <v>1.7421361271066971E-2</v>
      </c>
      <c r="O103" s="34">
        <v>-2.4864000000000001E-2</v>
      </c>
      <c r="P103" s="25">
        <v>141.37</v>
      </c>
      <c r="Q103" s="25">
        <v>138.9</v>
      </c>
      <c r="R103" s="34">
        <v>1.7782577393808487E-2</v>
      </c>
    </row>
    <row r="104" spans="1:18" x14ac:dyDescent="0.15">
      <c r="A104" s="26">
        <v>97</v>
      </c>
      <c r="B104" s="25">
        <v>123234</v>
      </c>
      <c r="C104" s="25" t="s">
        <v>1037</v>
      </c>
      <c r="D104" s="25">
        <v>116</v>
      </c>
      <c r="E104" s="34">
        <v>1.4199999999999999E-2</v>
      </c>
      <c r="F104" s="25">
        <v>6.4</v>
      </c>
      <c r="G104" s="25">
        <v>85.47</v>
      </c>
      <c r="H104" s="43">
        <v>0.35719999999999996</v>
      </c>
      <c r="I104" s="57">
        <v>151.72</v>
      </c>
      <c r="J104" s="32">
        <v>47463</v>
      </c>
      <c r="K104" s="33">
        <v>5.5369999999999999</v>
      </c>
      <c r="L104" s="33">
        <v>4</v>
      </c>
      <c r="M104" s="33">
        <v>3286.8528240000001</v>
      </c>
      <c r="N104" s="34">
        <v>7.0837345344827593E-2</v>
      </c>
      <c r="O104" s="34">
        <v>5.77E-3</v>
      </c>
      <c r="P104" s="25">
        <v>116.1</v>
      </c>
      <c r="Q104" s="25">
        <v>113.71299999999999</v>
      </c>
      <c r="R104" s="34">
        <v>2.0991443370590879E-2</v>
      </c>
    </row>
    <row r="105" spans="1:18" x14ac:dyDescent="0.15">
      <c r="A105" s="26">
        <v>98</v>
      </c>
      <c r="B105" s="25">
        <v>128143</v>
      </c>
      <c r="C105" s="25" t="s">
        <v>902</v>
      </c>
      <c r="D105" s="25">
        <v>128.988</v>
      </c>
      <c r="E105" s="34">
        <v>6.4000000000000003E-3</v>
      </c>
      <c r="F105" s="25">
        <v>12.63</v>
      </c>
      <c r="G105" s="25">
        <v>94.93</v>
      </c>
      <c r="H105" s="43">
        <v>0.35880000000000001</v>
      </c>
      <c r="I105" s="57">
        <v>164.86799999999999</v>
      </c>
      <c r="J105" s="32">
        <v>46395</v>
      </c>
      <c r="K105" s="33">
        <v>2.6110000000000002</v>
      </c>
      <c r="L105" s="33">
        <v>1.7305539999999999</v>
      </c>
      <c r="M105" s="33">
        <v>867.51288599999998</v>
      </c>
      <c r="N105" s="34">
        <v>3.8863460625217658E-2</v>
      </c>
      <c r="O105" s="34">
        <v>-2.9996000000000002E-2</v>
      </c>
      <c r="P105" s="25">
        <v>129.49100000000001</v>
      </c>
      <c r="Q105" s="25">
        <v>128.15600000000001</v>
      </c>
      <c r="R105" s="34">
        <v>1.041699179125447E-2</v>
      </c>
    </row>
    <row r="106" spans="1:18" x14ac:dyDescent="0.15">
      <c r="A106" s="26">
        <v>99</v>
      </c>
      <c r="B106" s="25">
        <v>123177</v>
      </c>
      <c r="C106" s="25" t="s">
        <v>1018</v>
      </c>
      <c r="D106" s="25">
        <v>122.5</v>
      </c>
      <c r="E106" s="34">
        <v>-0.01</v>
      </c>
      <c r="F106" s="25">
        <v>13.28</v>
      </c>
      <c r="G106" s="25">
        <v>89.76</v>
      </c>
      <c r="H106" s="43">
        <v>0.36479999999999996</v>
      </c>
      <c r="I106" s="57">
        <v>158.97999999999999</v>
      </c>
      <c r="J106" s="32">
        <v>47179</v>
      </c>
      <c r="K106" s="33">
        <v>4.7590000000000003</v>
      </c>
      <c r="L106" s="33">
        <v>2.436261</v>
      </c>
      <c r="M106" s="33">
        <v>2360.9863329999998</v>
      </c>
      <c r="N106" s="34">
        <v>7.9110398353904446E-2</v>
      </c>
      <c r="O106" s="34">
        <v>-4.5719999999999997E-3</v>
      </c>
      <c r="P106" s="25">
        <v>124.5</v>
      </c>
      <c r="Q106" s="25">
        <v>122.12</v>
      </c>
      <c r="R106" s="34">
        <v>1.9489027186374019E-2</v>
      </c>
    </row>
    <row r="107" spans="1:18" x14ac:dyDescent="0.15">
      <c r="A107" s="26">
        <v>100</v>
      </c>
      <c r="B107" s="25">
        <v>123182</v>
      </c>
      <c r="C107" s="25" t="s">
        <v>901</v>
      </c>
      <c r="D107" s="25">
        <v>118.724</v>
      </c>
      <c r="E107" s="34">
        <v>-6.0999999999999995E-3</v>
      </c>
      <c r="F107" s="25">
        <v>32.1</v>
      </c>
      <c r="G107" s="25">
        <v>86.98</v>
      </c>
      <c r="H107" s="43">
        <v>0.36499999999999999</v>
      </c>
      <c r="I107" s="57">
        <v>155.22399999999999</v>
      </c>
      <c r="J107" s="32">
        <v>47199</v>
      </c>
      <c r="K107" s="33">
        <v>4.8140000000000001</v>
      </c>
      <c r="L107" s="33">
        <v>6.9985379999999999</v>
      </c>
      <c r="M107" s="33">
        <v>3890.3563717000002</v>
      </c>
      <c r="N107" s="34">
        <v>4.6821307885207546E-2</v>
      </c>
      <c r="O107" s="34">
        <v>3.676E-3</v>
      </c>
      <c r="P107" s="25">
        <v>119.682</v>
      </c>
      <c r="Q107" s="25">
        <v>118.64700000000001</v>
      </c>
      <c r="R107" s="34">
        <v>8.7233558370628551E-3</v>
      </c>
    </row>
    <row r="108" spans="1:18" x14ac:dyDescent="0.15">
      <c r="A108" s="26">
        <v>101</v>
      </c>
      <c r="B108" s="25">
        <v>113667</v>
      </c>
      <c r="C108" s="25" t="s">
        <v>1050</v>
      </c>
      <c r="D108" s="25">
        <v>123.886</v>
      </c>
      <c r="E108" s="34">
        <v>-1.54E-2</v>
      </c>
      <c r="F108" s="25">
        <v>10.3</v>
      </c>
      <c r="G108" s="25">
        <v>90.29</v>
      </c>
      <c r="H108" s="43">
        <v>0.37209999999999999</v>
      </c>
      <c r="I108" s="57">
        <v>161.096</v>
      </c>
      <c r="J108" s="32">
        <v>47194</v>
      </c>
      <c r="K108" s="33">
        <v>4.8</v>
      </c>
      <c r="L108" s="33">
        <v>5.6997999999999998</v>
      </c>
      <c r="M108" s="33">
        <v>4281.9327000000003</v>
      </c>
      <c r="N108" s="34">
        <v>6.0639831986516603E-2</v>
      </c>
      <c r="O108" s="34">
        <v>-6.7290000000000006E-3</v>
      </c>
      <c r="P108" s="25">
        <v>125.98</v>
      </c>
      <c r="Q108" s="25">
        <v>121.848</v>
      </c>
      <c r="R108" s="34">
        <v>3.3911102357035039E-2</v>
      </c>
    </row>
    <row r="109" spans="1:18" x14ac:dyDescent="0.15">
      <c r="A109" s="26">
        <v>102</v>
      </c>
      <c r="B109" s="25">
        <v>123200</v>
      </c>
      <c r="C109" s="25" t="s">
        <v>1007</v>
      </c>
      <c r="D109" s="25">
        <v>116.54900000000001</v>
      </c>
      <c r="E109" s="34">
        <v>-5.1999999999999998E-3</v>
      </c>
      <c r="F109" s="25">
        <v>26.43</v>
      </c>
      <c r="G109" s="25">
        <v>84.9</v>
      </c>
      <c r="H109" s="43">
        <v>0.37280000000000002</v>
      </c>
      <c r="I109" s="57">
        <v>153.82900000000001</v>
      </c>
      <c r="J109" s="32">
        <v>47296</v>
      </c>
      <c r="K109" s="33">
        <v>5.0789999999999997</v>
      </c>
      <c r="L109" s="33">
        <v>3.7018660000000008</v>
      </c>
      <c r="M109" s="33">
        <v>1835.712205</v>
      </c>
      <c r="N109" s="34">
        <v>4.2547627626932503E-2</v>
      </c>
      <c r="O109" s="34">
        <v>1.3383000000000001E-2</v>
      </c>
      <c r="P109" s="25">
        <v>117.46</v>
      </c>
      <c r="Q109" s="25">
        <v>116.29900000000001</v>
      </c>
      <c r="R109" s="34">
        <v>9.9828889328368014E-3</v>
      </c>
    </row>
    <row r="110" spans="1:18" x14ac:dyDescent="0.15">
      <c r="A110" s="26">
        <v>103</v>
      </c>
      <c r="B110" s="25">
        <v>127105</v>
      </c>
      <c r="C110" s="25" t="s">
        <v>1049</v>
      </c>
      <c r="D110" s="25">
        <v>109.1</v>
      </c>
      <c r="E110" s="34">
        <v>-1.8E-3</v>
      </c>
      <c r="F110" s="25">
        <v>6.13</v>
      </c>
      <c r="G110" s="25">
        <v>79.28</v>
      </c>
      <c r="H110" s="43">
        <v>0.37609999999999999</v>
      </c>
      <c r="I110" s="57">
        <v>146.70999999999998</v>
      </c>
      <c r="J110" s="32">
        <v>47515</v>
      </c>
      <c r="K110" s="33">
        <v>5.6790000000000003</v>
      </c>
      <c r="L110" s="33">
        <v>7.5475390000000004</v>
      </c>
      <c r="M110" s="33">
        <v>1868.6087988000002</v>
      </c>
      <c r="N110" s="34">
        <v>2.2692809799911996E-2</v>
      </c>
      <c r="O110" s="34">
        <v>1.7008000000000002E-2</v>
      </c>
      <c r="P110" s="25">
        <v>109.88800000000001</v>
      </c>
      <c r="Q110" s="25">
        <v>108.7</v>
      </c>
      <c r="R110" s="34">
        <v>1.0929162833486682E-2</v>
      </c>
    </row>
    <row r="111" spans="1:18" x14ac:dyDescent="0.15">
      <c r="A111" s="26">
        <v>104</v>
      </c>
      <c r="B111" s="25">
        <v>127072</v>
      </c>
      <c r="C111" s="25" t="s">
        <v>1046</v>
      </c>
      <c r="D111" s="25">
        <v>124.518</v>
      </c>
      <c r="E111" s="34">
        <v>-4.7999999999999996E-3</v>
      </c>
      <c r="F111" s="25">
        <v>15.56</v>
      </c>
      <c r="G111" s="25">
        <v>90.23</v>
      </c>
      <c r="H111" s="43">
        <v>0.38</v>
      </c>
      <c r="I111" s="57">
        <v>162.518</v>
      </c>
      <c r="J111" s="32">
        <v>47018</v>
      </c>
      <c r="K111" s="33">
        <v>4.3179999999999996</v>
      </c>
      <c r="L111" s="33">
        <v>4.4986470000000001</v>
      </c>
      <c r="M111" s="33">
        <v>972.99486360000003</v>
      </c>
      <c r="N111" s="34">
        <v>1.7369867073353872E-2</v>
      </c>
      <c r="O111" s="34">
        <v>-1.4985E-2</v>
      </c>
      <c r="P111" s="25">
        <v>125.83</v>
      </c>
      <c r="Q111" s="25">
        <v>124</v>
      </c>
      <c r="R111" s="34">
        <v>1.4758064516129019E-2</v>
      </c>
    </row>
    <row r="112" spans="1:18" x14ac:dyDescent="0.15">
      <c r="A112" s="26">
        <v>105</v>
      </c>
      <c r="B112" s="25">
        <v>123212</v>
      </c>
      <c r="C112" s="25" t="s">
        <v>1044</v>
      </c>
      <c r="D112" s="25">
        <v>116.375</v>
      </c>
      <c r="E112" s="34">
        <v>-1.24E-2</v>
      </c>
      <c r="F112" s="25">
        <v>23.42</v>
      </c>
      <c r="G112" s="25">
        <v>83.77</v>
      </c>
      <c r="H112" s="43">
        <v>0.38919999999999999</v>
      </c>
      <c r="I112" s="57">
        <v>155.29500000000002</v>
      </c>
      <c r="J112" s="32">
        <v>47326</v>
      </c>
      <c r="K112" s="33">
        <v>5.1619999999999999</v>
      </c>
      <c r="L112" s="33">
        <v>8.9979230000000001</v>
      </c>
      <c r="M112" s="33">
        <v>2450.9883723000003</v>
      </c>
      <c r="N112" s="34">
        <v>2.3406651261637212E-2</v>
      </c>
      <c r="O112" s="34">
        <v>3.2429999999999998E-3</v>
      </c>
      <c r="P112" s="25">
        <v>118.152</v>
      </c>
      <c r="Q112" s="25">
        <v>115.997</v>
      </c>
      <c r="R112" s="34">
        <v>1.8578066674138135E-2</v>
      </c>
    </row>
    <row r="113" spans="1:18" x14ac:dyDescent="0.15">
      <c r="A113" s="26">
        <v>106</v>
      </c>
      <c r="B113" s="25">
        <v>123235</v>
      </c>
      <c r="C113" s="25" t="s">
        <v>972</v>
      </c>
      <c r="D113" s="25">
        <v>117.694</v>
      </c>
      <c r="E113" s="34">
        <v>-9.300000000000001E-3</v>
      </c>
      <c r="F113" s="25">
        <v>28.61</v>
      </c>
      <c r="G113" s="25">
        <v>84.41</v>
      </c>
      <c r="H113" s="43">
        <v>0.39429999999999998</v>
      </c>
      <c r="I113" s="57">
        <v>157.124</v>
      </c>
      <c r="J113" s="32">
        <v>47473</v>
      </c>
      <c r="K113" s="33">
        <v>5.5640000000000001</v>
      </c>
      <c r="L113" s="33">
        <v>5.2020999999999997</v>
      </c>
      <c r="M113" s="33">
        <v>1519.7990378</v>
      </c>
      <c r="N113" s="34">
        <v>2.4822935888675766E-2</v>
      </c>
      <c r="O113" s="34">
        <v>4.0109999999999998E-3</v>
      </c>
      <c r="P113" s="25">
        <v>119.06100000000001</v>
      </c>
      <c r="Q113" s="25">
        <v>117.548</v>
      </c>
      <c r="R113" s="34">
        <v>1.2871337666315081E-2</v>
      </c>
    </row>
    <row r="114" spans="1:18" x14ac:dyDescent="0.15">
      <c r="A114" s="26">
        <v>107</v>
      </c>
      <c r="B114" s="25">
        <v>123129</v>
      </c>
      <c r="C114" s="25" t="s">
        <v>952</v>
      </c>
      <c r="D114" s="25">
        <v>122.44199999999999</v>
      </c>
      <c r="E114" s="34">
        <v>-5.0000000000000001E-4</v>
      </c>
      <c r="F114" s="25">
        <v>7.95</v>
      </c>
      <c r="G114" s="25">
        <v>87.8</v>
      </c>
      <c r="H114" s="43">
        <v>0.39460000000000001</v>
      </c>
      <c r="I114" s="57">
        <v>161.90199999999999</v>
      </c>
      <c r="J114" s="32">
        <v>46695</v>
      </c>
      <c r="K114" s="33">
        <v>3.4329999999999998</v>
      </c>
      <c r="L114" s="33">
        <v>1.9411149999999999</v>
      </c>
      <c r="M114" s="33">
        <v>1692.3863249999999</v>
      </c>
      <c r="N114" s="34">
        <v>7.1206202817668096E-2</v>
      </c>
      <c r="O114" s="34">
        <v>-1.3918999999999999E-2</v>
      </c>
      <c r="P114" s="25">
        <v>123.621</v>
      </c>
      <c r="Q114" s="25">
        <v>121.98399999999999</v>
      </c>
      <c r="R114" s="34">
        <v>1.3419792759706195E-2</v>
      </c>
    </row>
    <row r="115" spans="1:18" x14ac:dyDescent="0.15">
      <c r="A115" s="26">
        <v>108</v>
      </c>
      <c r="B115" s="25">
        <v>123231</v>
      </c>
      <c r="C115" s="25" t="s">
        <v>1023</v>
      </c>
      <c r="D115" s="25">
        <v>124.41</v>
      </c>
      <c r="E115" s="34">
        <v>-7.0999999999999995E-3</v>
      </c>
      <c r="F115" s="25">
        <v>25.76</v>
      </c>
      <c r="G115" s="25">
        <v>89.21</v>
      </c>
      <c r="H115" s="43">
        <v>0.39460000000000001</v>
      </c>
      <c r="I115" s="57">
        <v>163.87</v>
      </c>
      <c r="J115" s="32">
        <v>47431</v>
      </c>
      <c r="K115" s="33">
        <v>5.4489999999999998</v>
      </c>
      <c r="L115" s="33">
        <v>5.4499469999999999</v>
      </c>
      <c r="M115" s="33">
        <v>812.20269949999999</v>
      </c>
      <c r="N115" s="34">
        <v>1.1978897800359409E-2</v>
      </c>
      <c r="O115" s="34">
        <v>-6.4010000000000004E-3</v>
      </c>
      <c r="P115" s="25">
        <v>125.997</v>
      </c>
      <c r="Q115" s="25">
        <v>124.018</v>
      </c>
      <c r="R115" s="34">
        <v>1.5957361028237829E-2</v>
      </c>
    </row>
    <row r="116" spans="1:18" x14ac:dyDescent="0.15">
      <c r="A116" s="26">
        <v>109</v>
      </c>
      <c r="B116" s="25">
        <v>118044</v>
      </c>
      <c r="C116" s="25" t="s">
        <v>1011</v>
      </c>
      <c r="D116" s="25">
        <v>118.8</v>
      </c>
      <c r="E116" s="34">
        <v>-7.9000000000000008E-3</v>
      </c>
      <c r="F116" s="25">
        <v>35.409999999999997</v>
      </c>
      <c r="G116" s="25">
        <v>85</v>
      </c>
      <c r="H116" s="43">
        <v>0.39759999999999995</v>
      </c>
      <c r="I116" s="57">
        <v>158.56</v>
      </c>
      <c r="J116" s="32">
        <v>47372</v>
      </c>
      <c r="K116" s="33">
        <v>5.2880000000000003</v>
      </c>
      <c r="L116" s="33">
        <v>4.4198199999999996</v>
      </c>
      <c r="M116" s="33">
        <v>463.52949999999998</v>
      </c>
      <c r="N116" s="34">
        <v>8.8278786647724757E-3</v>
      </c>
      <c r="O116" s="34">
        <v>-1.4599999999999999E-3</v>
      </c>
      <c r="P116" s="25">
        <v>120</v>
      </c>
      <c r="Q116" s="25">
        <v>118.57599999999999</v>
      </c>
      <c r="R116" s="34">
        <v>1.2009175549858375E-2</v>
      </c>
    </row>
    <row r="117" spans="1:18" x14ac:dyDescent="0.15">
      <c r="A117" s="26">
        <v>110</v>
      </c>
      <c r="B117" s="25">
        <v>123163</v>
      </c>
      <c r="C117" s="25" t="s">
        <v>636</v>
      </c>
      <c r="D117" s="25">
        <v>110.599</v>
      </c>
      <c r="E117" s="34">
        <v>8.9999999999999998E-4</v>
      </c>
      <c r="F117" s="25">
        <v>26.93</v>
      </c>
      <c r="G117" s="25">
        <v>79.13</v>
      </c>
      <c r="H117" s="43">
        <v>0.39770000000000005</v>
      </c>
      <c r="I117" s="57">
        <v>150.369</v>
      </c>
      <c r="J117" s="32">
        <v>47040</v>
      </c>
      <c r="K117" s="33">
        <v>4.3780000000000001</v>
      </c>
      <c r="L117" s="33">
        <v>3.0994899999999999</v>
      </c>
      <c r="M117" s="33">
        <v>551.29256099999998</v>
      </c>
      <c r="N117" s="34">
        <v>1.6082023504313175E-2</v>
      </c>
      <c r="O117" s="34">
        <v>2.1634E-2</v>
      </c>
      <c r="P117" s="25">
        <v>110.85</v>
      </c>
      <c r="Q117" s="25">
        <v>109.78100000000001</v>
      </c>
      <c r="R117" s="34">
        <v>9.7375684316957246E-3</v>
      </c>
    </row>
    <row r="118" spans="1:18" x14ac:dyDescent="0.15">
      <c r="A118" s="26">
        <v>111</v>
      </c>
      <c r="B118" s="25">
        <v>127076</v>
      </c>
      <c r="C118" s="25" t="s">
        <v>1030</v>
      </c>
      <c r="D118" s="25">
        <v>115.7</v>
      </c>
      <c r="E118" s="34">
        <v>-6.0000000000000001E-3</v>
      </c>
      <c r="F118" s="25">
        <v>28.3</v>
      </c>
      <c r="G118" s="25">
        <v>82.26</v>
      </c>
      <c r="H118" s="43">
        <v>0.40649999999999997</v>
      </c>
      <c r="I118" s="57">
        <v>156.35</v>
      </c>
      <c r="J118" s="32">
        <v>47051</v>
      </c>
      <c r="K118" s="33">
        <v>4.4080000000000004</v>
      </c>
      <c r="L118" s="33">
        <v>7.6900589999999998</v>
      </c>
      <c r="M118" s="33">
        <v>659.00150250000002</v>
      </c>
      <c r="N118" s="34">
        <v>7.4066764577738458E-3</v>
      </c>
      <c r="O118" s="34">
        <v>1.1919999999999999E-3</v>
      </c>
      <c r="P118" s="25">
        <v>116.80200000000001</v>
      </c>
      <c r="Q118" s="25">
        <v>115.622</v>
      </c>
      <c r="R118" s="34">
        <v>1.0205670201172846E-2</v>
      </c>
    </row>
    <row r="119" spans="1:18" x14ac:dyDescent="0.15">
      <c r="A119" s="26">
        <v>112</v>
      </c>
      <c r="B119" s="25">
        <v>127088</v>
      </c>
      <c r="C119" s="25" t="s">
        <v>896</v>
      </c>
      <c r="D119" s="25">
        <v>117.6</v>
      </c>
      <c r="E119" s="34">
        <v>-2.0999999999999999E-3</v>
      </c>
      <c r="F119" s="25">
        <v>17.39</v>
      </c>
      <c r="G119" s="25">
        <v>83.38</v>
      </c>
      <c r="H119" s="43">
        <v>0.41039999999999999</v>
      </c>
      <c r="I119" s="57">
        <v>158.63999999999999</v>
      </c>
      <c r="J119" s="32">
        <v>47302</v>
      </c>
      <c r="K119" s="33">
        <v>5.0960000000000001</v>
      </c>
      <c r="L119" s="33">
        <v>5.9991390000000004</v>
      </c>
      <c r="M119" s="33">
        <v>1053.6539729000001</v>
      </c>
      <c r="N119" s="34">
        <v>1.4934880866572154E-2</v>
      </c>
      <c r="O119" s="34">
        <v>4.3769999999999998E-3</v>
      </c>
      <c r="P119" s="25">
        <v>118.41</v>
      </c>
      <c r="Q119" s="25">
        <v>117.121</v>
      </c>
      <c r="R119" s="34">
        <v>1.1005712041393102E-2</v>
      </c>
    </row>
    <row r="120" spans="1:18" x14ac:dyDescent="0.15">
      <c r="A120" s="26">
        <v>113</v>
      </c>
      <c r="B120" s="25">
        <v>113678</v>
      </c>
      <c r="C120" s="25" t="s">
        <v>939</v>
      </c>
      <c r="D120" s="25">
        <v>121.426</v>
      </c>
      <c r="E120" s="34">
        <v>1.8E-3</v>
      </c>
      <c r="F120" s="25">
        <v>32.880000000000003</v>
      </c>
      <c r="G120" s="25">
        <v>85.71</v>
      </c>
      <c r="H120" s="43">
        <v>0.41670000000000001</v>
      </c>
      <c r="I120" s="57">
        <v>163.096</v>
      </c>
      <c r="J120" s="32">
        <v>47410</v>
      </c>
      <c r="K120" s="33">
        <v>5.3920000000000003</v>
      </c>
      <c r="L120" s="33">
        <v>5.1690300000000002</v>
      </c>
      <c r="M120" s="33">
        <v>7113.8220000000001</v>
      </c>
      <c r="N120" s="34">
        <v>0.11333975060704402</v>
      </c>
      <c r="O120" s="34">
        <v>-5.0799999999999999E-4</v>
      </c>
      <c r="P120" s="25">
        <v>123.703</v>
      </c>
      <c r="Q120" s="25">
        <v>121.126</v>
      </c>
      <c r="R120" s="34">
        <v>2.1275366147647887E-2</v>
      </c>
    </row>
    <row r="121" spans="1:18" x14ac:dyDescent="0.15">
      <c r="A121" s="26">
        <v>114</v>
      </c>
      <c r="B121" s="25">
        <v>123233</v>
      </c>
      <c r="C121" s="25" t="s">
        <v>1042</v>
      </c>
      <c r="D121" s="25">
        <v>116.857</v>
      </c>
      <c r="E121" s="34">
        <v>-1.1399999999999999E-2</v>
      </c>
      <c r="F121" s="25">
        <v>20.11</v>
      </c>
      <c r="G121" s="25">
        <v>81.900000000000006</v>
      </c>
      <c r="H121" s="43">
        <v>0.42680000000000001</v>
      </c>
      <c r="I121" s="57">
        <v>159.53700000000001</v>
      </c>
      <c r="J121" s="32">
        <v>47451</v>
      </c>
      <c r="K121" s="33">
        <v>5.5039999999999996</v>
      </c>
      <c r="L121" s="33">
        <v>6.5</v>
      </c>
      <c r="M121" s="33">
        <v>1692.0766048999999</v>
      </c>
      <c r="N121" s="34">
        <v>2.2276755151760107E-2</v>
      </c>
      <c r="O121" s="34">
        <v>4.7520000000000001E-3</v>
      </c>
      <c r="P121" s="25">
        <v>118.313</v>
      </c>
      <c r="Q121" s="25">
        <v>116.741</v>
      </c>
      <c r="R121" s="34">
        <v>1.3465706135804925E-2</v>
      </c>
    </row>
    <row r="122" spans="1:18" x14ac:dyDescent="0.15">
      <c r="A122" s="26">
        <v>115</v>
      </c>
      <c r="B122" s="25">
        <v>118012</v>
      </c>
      <c r="C122" s="25" t="s">
        <v>1040</v>
      </c>
      <c r="D122" s="25">
        <v>122.154</v>
      </c>
      <c r="E122" s="34">
        <v>1E-3</v>
      </c>
      <c r="F122" s="25">
        <v>25.36</v>
      </c>
      <c r="G122" s="25">
        <v>85.09</v>
      </c>
      <c r="H122" s="43">
        <v>0.43560000000000004</v>
      </c>
      <c r="I122" s="57">
        <v>165.714</v>
      </c>
      <c r="J122" s="32">
        <v>46939</v>
      </c>
      <c r="K122" s="33">
        <v>4.101</v>
      </c>
      <c r="L122" s="33">
        <v>4.9988299999999999</v>
      </c>
      <c r="M122" s="33">
        <v>1598.7719</v>
      </c>
      <c r="N122" s="34">
        <v>2.6182459848837433E-2</v>
      </c>
      <c r="O122" s="34">
        <v>-2.1619999999999999E-3</v>
      </c>
      <c r="P122" s="25">
        <v>123</v>
      </c>
      <c r="Q122" s="25">
        <v>120.741</v>
      </c>
      <c r="R122" s="34">
        <v>1.8709469028747486E-2</v>
      </c>
    </row>
    <row r="123" spans="1:18" x14ac:dyDescent="0.15">
      <c r="A123" s="26">
        <v>116</v>
      </c>
      <c r="B123" s="25">
        <v>123156</v>
      </c>
      <c r="C123" s="25" t="s">
        <v>1039</v>
      </c>
      <c r="D123" s="25">
        <v>102.364</v>
      </c>
      <c r="E123" s="34">
        <v>4.8999999999999998E-3</v>
      </c>
      <c r="F123" s="25">
        <v>10.69</v>
      </c>
      <c r="G123" s="25">
        <v>71</v>
      </c>
      <c r="H123" s="43">
        <v>0.44170000000000004</v>
      </c>
      <c r="I123" s="57">
        <v>146.53399999999999</v>
      </c>
      <c r="J123" s="32">
        <v>46981</v>
      </c>
      <c r="K123" s="33">
        <v>4.2160000000000002</v>
      </c>
      <c r="L123" s="33">
        <v>3.968629</v>
      </c>
      <c r="M123" s="33">
        <v>1792.0158991000001</v>
      </c>
      <c r="N123" s="34">
        <v>4.4111731851722312E-2</v>
      </c>
      <c r="O123" s="34">
        <v>4.1249000000000001E-2</v>
      </c>
      <c r="P123" s="25">
        <v>102.66500000000001</v>
      </c>
      <c r="Q123" s="25">
        <v>101.6</v>
      </c>
      <c r="R123" s="34">
        <v>1.0482283464567047E-2</v>
      </c>
    </row>
    <row r="124" spans="1:18" x14ac:dyDescent="0.15">
      <c r="A124" s="26">
        <v>117</v>
      </c>
      <c r="B124" s="25">
        <v>123214</v>
      </c>
      <c r="C124" s="25" t="s">
        <v>1033</v>
      </c>
      <c r="D124" s="25">
        <v>109.755</v>
      </c>
      <c r="E124" s="34">
        <v>-7.6E-3</v>
      </c>
      <c r="F124" s="25">
        <v>6.67</v>
      </c>
      <c r="G124" s="25">
        <v>75.86</v>
      </c>
      <c r="H124" s="43">
        <v>0.44679999999999997</v>
      </c>
      <c r="I124" s="57">
        <v>154.435</v>
      </c>
      <c r="J124" s="32">
        <v>47330</v>
      </c>
      <c r="K124" s="33">
        <v>5.173</v>
      </c>
      <c r="L124" s="33">
        <v>4.5499260000000001</v>
      </c>
      <c r="M124" s="33">
        <v>935.50600940000004</v>
      </c>
      <c r="N124" s="34">
        <v>1.8733457275129053E-2</v>
      </c>
      <c r="O124" s="34">
        <v>1.4879999999999999E-2</v>
      </c>
      <c r="P124" s="25">
        <v>111.02800000000001</v>
      </c>
      <c r="Q124" s="25">
        <v>109.581</v>
      </c>
      <c r="R124" s="34">
        <v>1.3204843905421584E-2</v>
      </c>
    </row>
    <row r="125" spans="1:18" x14ac:dyDescent="0.15">
      <c r="A125" s="26">
        <v>118</v>
      </c>
      <c r="B125" s="25">
        <v>118039</v>
      </c>
      <c r="C125" s="25" t="s">
        <v>944</v>
      </c>
      <c r="D125" s="25">
        <v>107.86</v>
      </c>
      <c r="E125" s="34">
        <v>3.9000000000000003E-3</v>
      </c>
      <c r="F125" s="25">
        <v>10.119999999999999</v>
      </c>
      <c r="G125" s="25">
        <v>74.510000000000005</v>
      </c>
      <c r="H125" s="43">
        <v>0.4476</v>
      </c>
      <c r="I125" s="57">
        <v>152.62</v>
      </c>
      <c r="J125" s="32">
        <v>47319</v>
      </c>
      <c r="K125" s="33">
        <v>5.1420000000000003</v>
      </c>
      <c r="L125" s="33">
        <v>4.1079999999999997</v>
      </c>
      <c r="M125" s="33">
        <v>3731.4701</v>
      </c>
      <c r="N125" s="34">
        <v>8.4214934484476339E-2</v>
      </c>
      <c r="O125" s="34">
        <v>1.9746E-2</v>
      </c>
      <c r="P125" s="25">
        <v>108.27200000000001</v>
      </c>
      <c r="Q125" s="25">
        <v>106.816</v>
      </c>
      <c r="R125" s="34">
        <v>1.3630916716596792E-2</v>
      </c>
    </row>
    <row r="126" spans="1:18" x14ac:dyDescent="0.15">
      <c r="A126" s="26">
        <v>119</v>
      </c>
      <c r="B126" s="25">
        <v>123217</v>
      </c>
      <c r="C126" s="25" t="s">
        <v>1063</v>
      </c>
      <c r="D126" s="25">
        <v>110.33</v>
      </c>
      <c r="E126" s="34">
        <v>-6.0000000000000001E-3</v>
      </c>
      <c r="F126" s="25">
        <v>29.68</v>
      </c>
      <c r="G126" s="25">
        <v>76.150000000000006</v>
      </c>
      <c r="H126" s="43">
        <v>0.44890000000000002</v>
      </c>
      <c r="I126" s="57">
        <v>155.22</v>
      </c>
      <c r="J126" s="32">
        <v>47338</v>
      </c>
      <c r="K126" s="33">
        <v>5.1950000000000003</v>
      </c>
      <c r="L126" s="33">
        <v>5.6998829999999998</v>
      </c>
      <c r="M126" s="33">
        <v>2324.583631</v>
      </c>
      <c r="N126" s="34">
        <v>3.6964566382465446E-2</v>
      </c>
      <c r="O126" s="34">
        <v>7.8080000000000007E-3</v>
      </c>
      <c r="P126" s="25">
        <v>111.8</v>
      </c>
      <c r="Q126" s="25">
        <v>109.80200000000001</v>
      </c>
      <c r="R126" s="34">
        <v>1.8196389865393986E-2</v>
      </c>
    </row>
    <row r="127" spans="1:18" x14ac:dyDescent="0.15">
      <c r="A127" s="26">
        <v>120</v>
      </c>
      <c r="B127" s="25">
        <v>113663</v>
      </c>
      <c r="C127" s="25" t="s">
        <v>1058</v>
      </c>
      <c r="D127" s="25">
        <v>117.384</v>
      </c>
      <c r="E127" s="34">
        <v>-3.9000000000000003E-3</v>
      </c>
      <c r="F127" s="25">
        <v>31.86</v>
      </c>
      <c r="G127" s="25">
        <v>80.849999999999994</v>
      </c>
      <c r="H127" s="43">
        <v>0.45189999999999997</v>
      </c>
      <c r="I127" s="57">
        <v>162.57400000000001</v>
      </c>
      <c r="J127" s="32">
        <v>47085</v>
      </c>
      <c r="K127" s="33">
        <v>4.5010000000000003</v>
      </c>
      <c r="L127" s="33">
        <v>6.4988799999999998</v>
      </c>
      <c r="M127" s="33">
        <v>995.8252</v>
      </c>
      <c r="N127" s="34">
        <v>1.3053761984508966E-2</v>
      </c>
      <c r="O127" s="34">
        <v>4.999E-3</v>
      </c>
      <c r="P127" s="25">
        <v>119</v>
      </c>
      <c r="Q127" s="25">
        <v>117.053</v>
      </c>
      <c r="R127" s="34">
        <v>1.6633490811854484E-2</v>
      </c>
    </row>
    <row r="128" spans="1:18" x14ac:dyDescent="0.15">
      <c r="A128" s="26">
        <v>121</v>
      </c>
      <c r="B128" s="25">
        <v>123197</v>
      </c>
      <c r="C128" s="25" t="s">
        <v>1048</v>
      </c>
      <c r="D128" s="25">
        <v>120.995</v>
      </c>
      <c r="E128" s="34">
        <v>1.32E-2</v>
      </c>
      <c r="F128" s="25">
        <v>21.25</v>
      </c>
      <c r="G128" s="25">
        <v>83.29</v>
      </c>
      <c r="H128" s="43">
        <v>0.45270000000000005</v>
      </c>
      <c r="I128" s="57">
        <v>166.26500000000001</v>
      </c>
      <c r="J128" s="32">
        <v>47246</v>
      </c>
      <c r="K128" s="33">
        <v>4.9420000000000002</v>
      </c>
      <c r="L128" s="33">
        <v>3.9960330000000002</v>
      </c>
      <c r="M128" s="33">
        <v>6141.8553862000008</v>
      </c>
      <c r="N128" s="34">
        <v>0.1270290635606659</v>
      </c>
      <c r="O128" s="34">
        <v>9.0000000000000002E-6</v>
      </c>
      <c r="P128" s="25">
        <v>122.65</v>
      </c>
      <c r="Q128" s="25">
        <v>119.161</v>
      </c>
      <c r="R128" s="34">
        <v>2.9279714000386068E-2</v>
      </c>
    </row>
    <row r="129" spans="1:18" x14ac:dyDescent="0.15">
      <c r="A129" s="26">
        <v>122</v>
      </c>
      <c r="B129" s="25">
        <v>118041</v>
      </c>
      <c r="C129" s="25" t="s">
        <v>898</v>
      </c>
      <c r="D129" s="25">
        <v>112.818</v>
      </c>
      <c r="E129" s="34">
        <v>-1.23E-2</v>
      </c>
      <c r="F129" s="25">
        <v>33.04</v>
      </c>
      <c r="G129" s="25">
        <v>77.36</v>
      </c>
      <c r="H129" s="43">
        <v>0.45840000000000003</v>
      </c>
      <c r="I129" s="57">
        <v>158.65800000000002</v>
      </c>
      <c r="J129" s="32">
        <v>47330</v>
      </c>
      <c r="K129" s="33">
        <v>5.173</v>
      </c>
      <c r="L129" s="33">
        <v>6.2</v>
      </c>
      <c r="M129" s="33">
        <v>4532.5065999999997</v>
      </c>
      <c r="N129" s="34">
        <v>6.4799008279964473E-2</v>
      </c>
      <c r="O129" s="34">
        <v>1.2065999999999999E-2</v>
      </c>
      <c r="P129" s="25">
        <v>114.788</v>
      </c>
      <c r="Q129" s="25">
        <v>112.5</v>
      </c>
      <c r="R129" s="34">
        <v>2.033777777777775E-2</v>
      </c>
    </row>
    <row r="130" spans="1:18" x14ac:dyDescent="0.15">
      <c r="A130" s="26">
        <v>123</v>
      </c>
      <c r="B130" s="25">
        <v>127094</v>
      </c>
      <c r="C130" s="25" t="s">
        <v>940</v>
      </c>
      <c r="D130" s="25">
        <v>108.45399999999999</v>
      </c>
      <c r="E130" s="34">
        <v>-7.000000000000001E-4</v>
      </c>
      <c r="F130" s="25">
        <v>10.89</v>
      </c>
      <c r="G130" s="25">
        <v>73.650000000000006</v>
      </c>
      <c r="H130" s="43">
        <v>0.47259999999999996</v>
      </c>
      <c r="I130" s="57">
        <v>155.714</v>
      </c>
      <c r="J130" s="32">
        <v>47409</v>
      </c>
      <c r="K130" s="33">
        <v>5.3890000000000002</v>
      </c>
      <c r="L130" s="33">
        <v>3.1598799999999998</v>
      </c>
      <c r="M130" s="33">
        <v>901.22670079999989</v>
      </c>
      <c r="N130" s="34">
        <v>2.6297707209077849E-2</v>
      </c>
      <c r="O130" s="34">
        <v>2.0760000000000001E-2</v>
      </c>
      <c r="P130" s="25">
        <v>109.238</v>
      </c>
      <c r="Q130" s="25">
        <v>108.1</v>
      </c>
      <c r="R130" s="34">
        <v>1.0527289546716053E-2</v>
      </c>
    </row>
    <row r="131" spans="1:18" x14ac:dyDescent="0.15">
      <c r="A131" s="26">
        <v>124</v>
      </c>
      <c r="B131" s="25">
        <v>127090</v>
      </c>
      <c r="C131" s="25" t="s">
        <v>1038</v>
      </c>
      <c r="D131" s="25">
        <v>115.717</v>
      </c>
      <c r="E131" s="34">
        <v>-1.01E-2</v>
      </c>
      <c r="F131" s="25">
        <v>26.2</v>
      </c>
      <c r="G131" s="25">
        <v>78.209999999999994</v>
      </c>
      <c r="H131" s="43">
        <v>0.47960000000000003</v>
      </c>
      <c r="I131" s="57">
        <v>163.67699999999999</v>
      </c>
      <c r="J131" s="32">
        <v>47323</v>
      </c>
      <c r="K131" s="33">
        <v>5.1529999999999996</v>
      </c>
      <c r="L131" s="33">
        <v>4.6174799999999996</v>
      </c>
      <c r="M131" s="33">
        <v>1688.2852852000001</v>
      </c>
      <c r="N131" s="34">
        <v>3.159683965992871E-2</v>
      </c>
      <c r="O131" s="34">
        <v>5.365E-3</v>
      </c>
      <c r="P131" s="25">
        <v>117.015</v>
      </c>
      <c r="Q131" s="25">
        <v>115.45</v>
      </c>
      <c r="R131" s="34">
        <v>1.3555651797314834E-2</v>
      </c>
    </row>
    <row r="132" spans="1:18" x14ac:dyDescent="0.15">
      <c r="A132" s="26">
        <v>125</v>
      </c>
      <c r="B132" s="25">
        <v>127093</v>
      </c>
      <c r="C132" s="25" t="s">
        <v>1012</v>
      </c>
      <c r="D132" s="25">
        <v>115.5</v>
      </c>
      <c r="E132" s="34">
        <v>-2.5999999999999999E-3</v>
      </c>
      <c r="F132" s="25">
        <v>10.35</v>
      </c>
      <c r="G132" s="25">
        <v>77.489999999999995</v>
      </c>
      <c r="H132" s="43">
        <v>0.49049999999999999</v>
      </c>
      <c r="I132" s="57">
        <v>164.55</v>
      </c>
      <c r="J132" s="32">
        <v>47408</v>
      </c>
      <c r="K132" s="33">
        <v>5.3860000000000001</v>
      </c>
      <c r="L132" s="33">
        <v>2.4298099999999998</v>
      </c>
      <c r="M132" s="33">
        <v>1294.1661891000001</v>
      </c>
      <c r="N132" s="34">
        <v>4.6114313753461672E-2</v>
      </c>
      <c r="O132" s="34">
        <v>2.1122000000000002E-2</v>
      </c>
      <c r="P132" s="25">
        <v>116.187</v>
      </c>
      <c r="Q132" s="25">
        <v>115.31100000000001</v>
      </c>
      <c r="R132" s="34">
        <v>7.5968467882508214E-3</v>
      </c>
    </row>
    <row r="133" spans="1:18" x14ac:dyDescent="0.15">
      <c r="A133" s="26">
        <v>126</v>
      </c>
      <c r="B133" s="25">
        <v>127087</v>
      </c>
      <c r="C133" s="25" t="s">
        <v>1047</v>
      </c>
      <c r="D133" s="25">
        <v>108.28100000000001</v>
      </c>
      <c r="E133" s="34">
        <v>1.2999999999999999E-3</v>
      </c>
      <c r="F133" s="25">
        <v>13.26</v>
      </c>
      <c r="G133" s="25">
        <v>72.319999999999993</v>
      </c>
      <c r="H133" s="43">
        <v>0.49719999999999998</v>
      </c>
      <c r="I133" s="57">
        <v>158.001</v>
      </c>
      <c r="J133" s="32">
        <v>47283</v>
      </c>
      <c r="K133" s="33">
        <v>5.0439999999999996</v>
      </c>
      <c r="L133" s="33">
        <v>4.6289480000000003</v>
      </c>
      <c r="M133" s="33">
        <v>967.75291209999989</v>
      </c>
      <c r="N133" s="34">
        <v>1.930767264174366E-2</v>
      </c>
      <c r="O133" s="34">
        <v>2.2374999999999999E-2</v>
      </c>
      <c r="P133" s="25">
        <v>108.65900000000001</v>
      </c>
      <c r="Q133" s="25">
        <v>107.9</v>
      </c>
      <c r="R133" s="34">
        <v>7.0342910101946271E-3</v>
      </c>
    </row>
    <row r="134" spans="1:18" x14ac:dyDescent="0.15">
      <c r="A134" s="26">
        <v>127</v>
      </c>
      <c r="B134" s="25">
        <v>123240</v>
      </c>
      <c r="C134" s="25" t="s">
        <v>1056</v>
      </c>
      <c r="D134" s="25">
        <v>116.997</v>
      </c>
      <c r="E134" s="34">
        <v>2.3799999999999998E-2</v>
      </c>
      <c r="F134" s="25">
        <v>10</v>
      </c>
      <c r="G134" s="25">
        <v>78.099999999999994</v>
      </c>
      <c r="H134" s="43">
        <v>0.498</v>
      </c>
      <c r="I134" s="57">
        <v>166.797</v>
      </c>
      <c r="J134" s="32">
        <v>47514</v>
      </c>
      <c r="K134" s="33">
        <v>5.6769999999999996</v>
      </c>
      <c r="L134" s="33">
        <v>10</v>
      </c>
      <c r="M134" s="33">
        <v>4575.4696502999996</v>
      </c>
      <c r="N134" s="34">
        <v>3.9107580966178612E-2</v>
      </c>
      <c r="O134" s="34">
        <v>-2.9239999999999999E-3</v>
      </c>
      <c r="P134" s="25">
        <v>117.95</v>
      </c>
      <c r="Q134" s="25">
        <v>116.61</v>
      </c>
      <c r="R134" s="34">
        <v>1.1491295772232256E-2</v>
      </c>
    </row>
    <row r="135" spans="1:18" x14ac:dyDescent="0.15">
      <c r="A135" s="26">
        <v>128</v>
      </c>
      <c r="B135" s="25">
        <v>111003</v>
      </c>
      <c r="C135" s="25" t="s">
        <v>1064</v>
      </c>
      <c r="D135" s="25">
        <v>121.36</v>
      </c>
      <c r="E135" s="34">
        <v>4.1999999999999997E-3</v>
      </c>
      <c r="F135" s="25">
        <v>14.21</v>
      </c>
      <c r="G135" s="25">
        <v>80.72</v>
      </c>
      <c r="H135" s="43">
        <v>0.50350000000000006</v>
      </c>
      <c r="I135" s="57">
        <v>171.71</v>
      </c>
      <c r="J135" s="32">
        <v>46819</v>
      </c>
      <c r="K135" s="33">
        <v>3.7730000000000001</v>
      </c>
      <c r="L135" s="33">
        <v>2.0373399999999999</v>
      </c>
      <c r="M135" s="33">
        <v>449.11410000000001</v>
      </c>
      <c r="N135" s="34">
        <v>1.8164255841785871E-2</v>
      </c>
      <c r="O135" s="34">
        <v>-3.0370000000000002E-3</v>
      </c>
      <c r="P135" s="25">
        <v>122.20099999999999</v>
      </c>
      <c r="Q135" s="25">
        <v>120.998</v>
      </c>
      <c r="R135" s="34">
        <v>9.9423130960841401E-3</v>
      </c>
    </row>
    <row r="136" spans="1:18" x14ac:dyDescent="0.15">
      <c r="A136" s="26">
        <v>129</v>
      </c>
      <c r="B136" s="25">
        <v>113681</v>
      </c>
      <c r="C136" s="25" t="s">
        <v>1031</v>
      </c>
      <c r="D136" s="25">
        <v>115.81699999999999</v>
      </c>
      <c r="E136" s="34">
        <v>-4.0000000000000002E-4</v>
      </c>
      <c r="F136" s="25">
        <v>11.46</v>
      </c>
      <c r="G136" s="25">
        <v>76.61</v>
      </c>
      <c r="H136" s="43">
        <v>0.51180000000000003</v>
      </c>
      <c r="I136" s="57">
        <v>166.99699999999999</v>
      </c>
      <c r="J136" s="32">
        <v>47481</v>
      </c>
      <c r="K136" s="33">
        <v>5.5860000000000003</v>
      </c>
      <c r="L136" s="33">
        <v>6.6</v>
      </c>
      <c r="M136" s="33">
        <v>474.19369999999998</v>
      </c>
      <c r="N136" s="34">
        <v>6.2035392302537884E-3</v>
      </c>
      <c r="O136" s="34">
        <v>6.3139999999999993E-3</v>
      </c>
      <c r="P136" s="25">
        <v>116.57</v>
      </c>
      <c r="Q136" s="25">
        <v>115.404</v>
      </c>
      <c r="R136" s="34">
        <v>1.0103635922498326E-2</v>
      </c>
    </row>
    <row r="137" spans="1:18" x14ac:dyDescent="0.15">
      <c r="A137" s="26">
        <v>130</v>
      </c>
      <c r="B137" s="25">
        <v>123239</v>
      </c>
      <c r="C137" s="25" t="s">
        <v>1010</v>
      </c>
      <c r="D137" s="25">
        <v>132.32400000000001</v>
      </c>
      <c r="E137" s="34">
        <v>5.1999999999999998E-3</v>
      </c>
      <c r="F137" s="25">
        <v>24.75</v>
      </c>
      <c r="G137" s="25">
        <v>86.1</v>
      </c>
      <c r="H137" s="43">
        <v>0.53689999999999993</v>
      </c>
      <c r="I137" s="57">
        <v>186.01400000000001</v>
      </c>
      <c r="J137" s="32">
        <v>47502</v>
      </c>
      <c r="K137" s="33">
        <v>5.6440000000000001</v>
      </c>
      <c r="L137" s="33">
        <v>6.2</v>
      </c>
      <c r="M137" s="33">
        <v>12349.4072617</v>
      </c>
      <c r="N137" s="34">
        <v>0.15052748412376854</v>
      </c>
      <c r="O137" s="34">
        <v>-1.7561E-2</v>
      </c>
      <c r="P137" s="25">
        <v>133.488</v>
      </c>
      <c r="Q137" s="25">
        <v>130.56100000000001</v>
      </c>
      <c r="R137" s="34">
        <v>2.2418639563116034E-2</v>
      </c>
    </row>
    <row r="138" spans="1:18" x14ac:dyDescent="0.15">
      <c r="A138" s="26">
        <v>131</v>
      </c>
      <c r="B138" s="25">
        <v>127098</v>
      </c>
      <c r="C138" s="25" t="s">
        <v>959</v>
      </c>
      <c r="D138" s="25">
        <v>118.458</v>
      </c>
      <c r="E138" s="34">
        <v>-2.8000000000000004E-3</v>
      </c>
      <c r="F138" s="25">
        <v>45.91</v>
      </c>
      <c r="G138" s="25">
        <v>76.48</v>
      </c>
      <c r="H138" s="43">
        <v>0.54890000000000005</v>
      </c>
      <c r="I138" s="57">
        <v>173.34800000000001</v>
      </c>
      <c r="J138" s="32">
        <v>47446</v>
      </c>
      <c r="K138" s="33">
        <v>5.49</v>
      </c>
      <c r="L138" s="33">
        <v>4.7</v>
      </c>
      <c r="M138" s="33">
        <v>6238.1007038000007</v>
      </c>
      <c r="N138" s="34">
        <v>0.11204439285600104</v>
      </c>
      <c r="O138" s="34">
        <v>-2.7600000000000003E-3</v>
      </c>
      <c r="P138" s="25">
        <v>119.67100000000001</v>
      </c>
      <c r="Q138" s="25">
        <v>118.261</v>
      </c>
      <c r="R138" s="34">
        <v>1.1922780967521083E-2</v>
      </c>
    </row>
    <row r="139" spans="1:18" x14ac:dyDescent="0.15">
      <c r="A139" s="26">
        <v>132</v>
      </c>
      <c r="B139" s="25">
        <v>123195</v>
      </c>
      <c r="C139" s="25" t="s">
        <v>960</v>
      </c>
      <c r="D139" s="25">
        <v>122.069</v>
      </c>
      <c r="E139" s="34">
        <v>3.5999999999999999E-3</v>
      </c>
      <c r="F139" s="25">
        <v>61.19</v>
      </c>
      <c r="G139" s="25">
        <v>78.62</v>
      </c>
      <c r="H139" s="43">
        <v>0.55259999999999998</v>
      </c>
      <c r="I139" s="57">
        <v>177.32900000000001</v>
      </c>
      <c r="J139" s="32">
        <v>47225</v>
      </c>
      <c r="K139" s="33">
        <v>4.8849999999999998</v>
      </c>
      <c r="L139" s="33">
        <v>5.4599089999999997</v>
      </c>
      <c r="M139" s="33">
        <v>392.735299</v>
      </c>
      <c r="N139" s="34">
        <v>5.8926296428308354E-3</v>
      </c>
      <c r="O139" s="34">
        <v>-1.835E-3</v>
      </c>
      <c r="P139" s="25">
        <v>122.96</v>
      </c>
      <c r="Q139" s="25">
        <v>121.55500000000001</v>
      </c>
      <c r="R139" s="34">
        <v>1.1558553741104741E-2</v>
      </c>
    </row>
    <row r="140" spans="1:18" x14ac:dyDescent="0.15">
      <c r="A140" s="26">
        <v>133</v>
      </c>
      <c r="B140" s="25">
        <v>127081</v>
      </c>
      <c r="C140" s="25" t="s">
        <v>970</v>
      </c>
      <c r="D140" s="25">
        <v>142.6</v>
      </c>
      <c r="E140" s="34">
        <v>2.23E-2</v>
      </c>
      <c r="F140" s="25">
        <v>30.17</v>
      </c>
      <c r="G140" s="25">
        <v>87.01</v>
      </c>
      <c r="H140" s="43">
        <v>0.63890000000000002</v>
      </c>
      <c r="I140" s="57">
        <v>206.49</v>
      </c>
      <c r="J140" s="32">
        <v>47180</v>
      </c>
      <c r="K140" s="33">
        <v>4.7619999999999996</v>
      </c>
      <c r="L140" s="33">
        <v>5.3984069999999997</v>
      </c>
      <c r="M140" s="33">
        <v>36266.132110000006</v>
      </c>
      <c r="N140" s="34">
        <v>0.47110323848064933</v>
      </c>
      <c r="O140" s="34">
        <v>-4.2971000000000002E-2</v>
      </c>
      <c r="P140" s="25">
        <v>144.899</v>
      </c>
      <c r="Q140" s="25">
        <v>138.94999999999999</v>
      </c>
      <c r="R140" s="34">
        <v>4.2813961856783107E-2</v>
      </c>
    </row>
    <row r="141" spans="1:18" x14ac:dyDescent="0.15">
      <c r="A141" s="26">
        <v>134</v>
      </c>
      <c r="B141" s="25">
        <v>123230</v>
      </c>
      <c r="C141" s="25" t="s">
        <v>1021</v>
      </c>
      <c r="D141" s="25">
        <v>124.82</v>
      </c>
      <c r="E141" s="34">
        <v>-3.8E-3</v>
      </c>
      <c r="F141" s="25">
        <v>29.03</v>
      </c>
      <c r="G141" s="25">
        <v>74.06</v>
      </c>
      <c r="H141" s="43">
        <v>0.68540000000000001</v>
      </c>
      <c r="I141" s="57">
        <v>193.36</v>
      </c>
      <c r="J141" s="32">
        <v>47431</v>
      </c>
      <c r="K141" s="33">
        <v>5.4489999999999998</v>
      </c>
      <c r="L141" s="33">
        <v>3.4999630000000002</v>
      </c>
      <c r="M141" s="33">
        <v>6131.1089354000005</v>
      </c>
      <c r="N141" s="34">
        <v>0.14034320852119311</v>
      </c>
      <c r="O141" s="34">
        <v>-5.3410000000000003E-3</v>
      </c>
      <c r="P141" s="25">
        <v>126.376</v>
      </c>
      <c r="Q141" s="25">
        <v>124.32</v>
      </c>
      <c r="R141" s="34">
        <v>1.6537966537966631E-2</v>
      </c>
    </row>
    <row r="142" spans="1:18" x14ac:dyDescent="0.15">
      <c r="A142" s="26">
        <v>135</v>
      </c>
      <c r="B142" s="25">
        <v>123173</v>
      </c>
      <c r="C142" s="25" t="s">
        <v>1045</v>
      </c>
      <c r="D142" s="25">
        <v>116.053</v>
      </c>
      <c r="E142" s="34">
        <v>-1.7000000000000001E-3</v>
      </c>
      <c r="F142" s="25">
        <v>13.81</v>
      </c>
      <c r="G142" s="25">
        <v>68.72</v>
      </c>
      <c r="H142" s="43">
        <v>0.68879999999999997</v>
      </c>
      <c r="I142" s="57">
        <v>184.93299999999999</v>
      </c>
      <c r="J142" s="32">
        <v>47117</v>
      </c>
      <c r="K142" s="33">
        <v>4.5890000000000004</v>
      </c>
      <c r="L142" s="33">
        <v>2.4215830000000005</v>
      </c>
      <c r="M142" s="33">
        <v>357.282421</v>
      </c>
      <c r="N142" s="34">
        <v>1.2713230405272308E-2</v>
      </c>
      <c r="O142" s="34">
        <v>9.3360000000000005E-3</v>
      </c>
      <c r="P142" s="25">
        <v>116.71</v>
      </c>
      <c r="Q142" s="25">
        <v>115.809</v>
      </c>
      <c r="R142" s="34">
        <v>7.7800516367466802E-3</v>
      </c>
    </row>
    <row r="143" spans="1:18" x14ac:dyDescent="0.15">
      <c r="A143" s="26">
        <v>136</v>
      </c>
      <c r="B143" s="25">
        <v>123227</v>
      </c>
      <c r="C143" s="25" t="s">
        <v>1057</v>
      </c>
      <c r="D143" s="25">
        <v>130.911</v>
      </c>
      <c r="E143" s="34">
        <v>3.5699999999999996E-2</v>
      </c>
      <c r="F143" s="25">
        <v>53.34</v>
      </c>
      <c r="G143" s="25">
        <v>75.38</v>
      </c>
      <c r="H143" s="43">
        <v>0.73670000000000002</v>
      </c>
      <c r="I143" s="57">
        <v>204.58100000000002</v>
      </c>
      <c r="J143" s="32">
        <v>47411</v>
      </c>
      <c r="K143" s="33">
        <v>5.3949999999999996</v>
      </c>
      <c r="L143" s="33">
        <v>3.6285790000000002</v>
      </c>
      <c r="M143" s="33">
        <v>35465.344843699997</v>
      </c>
      <c r="N143" s="34">
        <v>0.74660597955545072</v>
      </c>
      <c r="O143" s="34">
        <v>-1.5052000000000001E-2</v>
      </c>
      <c r="P143" s="25">
        <v>132.30000000000001</v>
      </c>
      <c r="Q143" s="25">
        <v>127.11199999999999</v>
      </c>
      <c r="R143" s="34">
        <v>4.0814399899301537E-2</v>
      </c>
    </row>
    <row r="144" spans="1:18" x14ac:dyDescent="0.15">
      <c r="A144" s="26">
        <v>137</v>
      </c>
      <c r="B144" s="25">
        <v>118040</v>
      </c>
      <c r="C144" s="25" t="s">
        <v>1034</v>
      </c>
      <c r="D144" s="25">
        <v>103.354</v>
      </c>
      <c r="E144" s="34">
        <v>1E-4</v>
      </c>
      <c r="F144" s="25">
        <v>40</v>
      </c>
      <c r="G144" s="25">
        <v>58</v>
      </c>
      <c r="H144" s="43">
        <v>0.78200000000000003</v>
      </c>
      <c r="I144" s="57">
        <v>181.554</v>
      </c>
      <c r="J144" s="32">
        <v>47324</v>
      </c>
      <c r="K144" s="33">
        <v>5.1559999999999997</v>
      </c>
      <c r="L144" s="33">
        <v>4.2999400000000003</v>
      </c>
      <c r="M144" s="33">
        <v>1078.0621000000001</v>
      </c>
      <c r="N144" s="34">
        <v>2.4257949826468575E-2</v>
      </c>
      <c r="O144" s="34">
        <v>3.2649999999999998E-2</v>
      </c>
      <c r="P144" s="25">
        <v>104.59</v>
      </c>
      <c r="Q144" s="25">
        <v>103.29900000000001</v>
      </c>
      <c r="R144" s="34">
        <v>1.249770084899173E-2</v>
      </c>
    </row>
    <row r="145" spans="1:18" x14ac:dyDescent="0.15">
      <c r="A145" s="26">
        <v>138</v>
      </c>
      <c r="B145" s="25">
        <v>123138</v>
      </c>
      <c r="C145" s="25" t="s">
        <v>634</v>
      </c>
      <c r="D145" s="25">
        <v>121.203</v>
      </c>
      <c r="E145" s="34">
        <v>-1.1999999999999999E-3</v>
      </c>
      <c r="F145" s="25">
        <v>26.53</v>
      </c>
      <c r="G145" s="25">
        <v>66.680000000000007</v>
      </c>
      <c r="H145" s="43">
        <v>0.81769999999999998</v>
      </c>
      <c r="I145" s="57">
        <v>202.97300000000001</v>
      </c>
      <c r="J145" s="32">
        <v>46814</v>
      </c>
      <c r="K145" s="33">
        <v>3.7589999999999999</v>
      </c>
      <c r="L145" s="33">
        <v>2.3952100000000001</v>
      </c>
      <c r="M145" s="33">
        <v>960.81115999999997</v>
      </c>
      <c r="N145" s="34">
        <v>3.3096424106725648E-2</v>
      </c>
      <c r="O145" s="34">
        <v>-1.5790000000000001E-3</v>
      </c>
      <c r="P145" s="25">
        <v>121.9</v>
      </c>
      <c r="Q145" s="25">
        <v>120.8</v>
      </c>
      <c r="R145" s="34">
        <v>9.105960264900733E-3</v>
      </c>
    </row>
    <row r="146" spans="1:18" x14ac:dyDescent="0.15">
      <c r="A146" s="26">
        <v>139</v>
      </c>
      <c r="B146" s="25">
        <v>113680</v>
      </c>
      <c r="C146" s="25" t="s">
        <v>1043</v>
      </c>
      <c r="D146" s="25">
        <v>127.009</v>
      </c>
      <c r="E146" s="34">
        <v>-1.78E-2</v>
      </c>
      <c r="F146" s="25">
        <v>13.01</v>
      </c>
      <c r="G146" s="25">
        <v>68.72</v>
      </c>
      <c r="H146" s="43">
        <v>0.84819999999999995</v>
      </c>
      <c r="I146" s="57">
        <v>211.82900000000001</v>
      </c>
      <c r="J146" s="32">
        <v>47437</v>
      </c>
      <c r="K146" s="33">
        <v>5.4660000000000002</v>
      </c>
      <c r="L146" s="33">
        <v>2.9999899999999999</v>
      </c>
      <c r="M146" s="33">
        <v>31417.954600000001</v>
      </c>
      <c r="N146" s="34">
        <v>0.82456254614146562</v>
      </c>
      <c r="O146" s="34">
        <v>-9.1330000000000005E-3</v>
      </c>
      <c r="P146" s="25">
        <v>133.6</v>
      </c>
      <c r="Q146" s="25">
        <v>124.7</v>
      </c>
      <c r="R146" s="34">
        <v>7.1371291098636658E-2</v>
      </c>
    </row>
    <row r="147" spans="1:18" x14ac:dyDescent="0.15">
      <c r="A147" s="26">
        <v>140</v>
      </c>
      <c r="B147" s="25">
        <v>127097</v>
      </c>
      <c r="C147" s="25" t="s">
        <v>1051</v>
      </c>
      <c r="D147" s="25">
        <v>133.18</v>
      </c>
      <c r="E147" s="34">
        <v>-5.8999999999999999E-3</v>
      </c>
      <c r="F147" s="25">
        <v>37.65</v>
      </c>
      <c r="G147" s="25">
        <v>71.739999999999995</v>
      </c>
      <c r="H147" s="43">
        <v>0.85640000000000005</v>
      </c>
      <c r="I147" s="57">
        <v>218.82</v>
      </c>
      <c r="J147" s="32">
        <v>47417</v>
      </c>
      <c r="K147" s="33">
        <v>5.4109999999999996</v>
      </c>
      <c r="L147" s="33">
        <v>2.0985680000000002</v>
      </c>
      <c r="M147" s="33">
        <v>28603.186743400001</v>
      </c>
      <c r="N147" s="34">
        <v>1.0234163824839604</v>
      </c>
      <c r="O147" s="34">
        <v>-2.1422E-2</v>
      </c>
      <c r="P147" s="25">
        <v>134.5</v>
      </c>
      <c r="Q147" s="25">
        <v>131.80000000000001</v>
      </c>
      <c r="R147" s="34">
        <v>2.048558421851281E-2</v>
      </c>
    </row>
    <row r="148" spans="1:18" x14ac:dyDescent="0.15">
      <c r="A148" s="26">
        <v>141</v>
      </c>
      <c r="B148" s="25">
        <v>127080</v>
      </c>
      <c r="C148" s="25" t="s">
        <v>649</v>
      </c>
      <c r="D148" s="25">
        <v>155.13300000000001</v>
      </c>
      <c r="E148" s="34">
        <v>-9.5999999999999992E-3</v>
      </c>
      <c r="F148" s="25">
        <v>29.14</v>
      </c>
      <c r="G148" s="25">
        <v>83.53</v>
      </c>
      <c r="H148" s="43">
        <v>0.85719999999999996</v>
      </c>
      <c r="I148" s="57">
        <v>240.85300000000001</v>
      </c>
      <c r="J148" s="32">
        <v>47117</v>
      </c>
      <c r="K148" s="33">
        <v>4.5890000000000004</v>
      </c>
      <c r="L148" s="33">
        <v>2.796567</v>
      </c>
      <c r="M148" s="33">
        <v>16094.738592399999</v>
      </c>
      <c r="N148" s="34">
        <v>0.37098342610334473</v>
      </c>
      <c r="O148" s="34">
        <v>-5.4206999999999998E-2</v>
      </c>
      <c r="P148" s="25">
        <v>159.46600000000001</v>
      </c>
      <c r="Q148" s="25">
        <v>154.66</v>
      </c>
      <c r="R148" s="34">
        <v>3.1074615285141678E-2</v>
      </c>
    </row>
    <row r="149" spans="1:18" x14ac:dyDescent="0.15">
      <c r="A149" s="26">
        <v>142</v>
      </c>
      <c r="B149" s="25">
        <v>127096</v>
      </c>
      <c r="C149" s="25" t="s">
        <v>1032</v>
      </c>
      <c r="D149" s="25">
        <v>149.11000000000001</v>
      </c>
      <c r="E149" s="34">
        <v>5.8600000000000006E-2</v>
      </c>
      <c r="F149" s="25">
        <v>13.39</v>
      </c>
      <c r="G149" s="25">
        <v>67.510000000000005</v>
      </c>
      <c r="H149" s="43">
        <v>1.2087000000000001</v>
      </c>
      <c r="I149" s="57">
        <v>269.98</v>
      </c>
      <c r="J149" s="32">
        <v>47416</v>
      </c>
      <c r="K149" s="33">
        <v>5.4080000000000004</v>
      </c>
      <c r="L149" s="33">
        <v>2.9549029999999998</v>
      </c>
      <c r="M149" s="33">
        <v>178928.984195</v>
      </c>
      <c r="N149" s="34">
        <v>4.0609785655551747</v>
      </c>
      <c r="O149" s="34">
        <v>-3.8047999999999998E-2</v>
      </c>
      <c r="P149" s="25">
        <v>150.16999999999999</v>
      </c>
      <c r="Q149" s="25">
        <v>140</v>
      </c>
      <c r="R149" s="34">
        <v>7.2642857142857051E-2</v>
      </c>
    </row>
  </sheetData>
  <autoFilter ref="A7:T94">
    <sortState ref="A8:T209">
      <sortCondition descending="1" ref="H7:H94"/>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topLeftCell="D1" zoomScaleNormal="100" workbookViewId="0">
      <pane ySplit="2" topLeftCell="A17" activePane="bottomLeft" state="frozen"/>
      <selection pane="bottomLeft" activeCell="T33" sqref="T33"/>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0"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0" bestFit="1" customWidth="1"/>
    <col min="22" max="22" width="10.125" style="29" customWidth="1"/>
    <col min="23" max="23" width="12.25" style="7" bestFit="1" customWidth="1"/>
    <col min="24" max="16384" width="9" style="7"/>
  </cols>
  <sheetData>
    <row r="1" spans="1:23" x14ac:dyDescent="0.15">
      <c r="A1" s="8" t="s">
        <v>50</v>
      </c>
      <c r="B1" s="8"/>
      <c r="C1" s="35" t="s">
        <v>394</v>
      </c>
      <c r="D1" s="12"/>
      <c r="E1" s="12"/>
      <c r="I1" s="8" t="s">
        <v>361</v>
      </c>
      <c r="J1" s="8"/>
      <c r="K1" s="30" t="s">
        <v>362</v>
      </c>
      <c r="L1" s="37"/>
      <c r="M1" s="31"/>
      <c r="N1" s="30"/>
      <c r="O1" s="30"/>
      <c r="P1" s="30"/>
      <c r="R1" s="8" t="s">
        <v>613</v>
      </c>
      <c r="S1" s="8"/>
      <c r="U1" s="7"/>
      <c r="V1" s="7"/>
    </row>
    <row r="2" spans="1:23" s="6" customFormat="1" x14ac:dyDescent="0.15">
      <c r="A2" s="6" t="s">
        <v>38</v>
      </c>
      <c r="B2" s="6" t="s">
        <v>37</v>
      </c>
      <c r="C2" s="6" t="s">
        <v>356</v>
      </c>
      <c r="D2" s="4" t="s">
        <v>48</v>
      </c>
      <c r="E2" s="4" t="s">
        <v>180</v>
      </c>
      <c r="H2" s="15"/>
      <c r="I2" s="6" t="s">
        <v>357</v>
      </c>
      <c r="J2" s="6" t="s">
        <v>358</v>
      </c>
      <c r="K2" s="6" t="s">
        <v>356</v>
      </c>
      <c r="L2" s="38" t="s">
        <v>29</v>
      </c>
      <c r="M2" s="28" t="s">
        <v>360</v>
      </c>
      <c r="N2" s="4" t="s">
        <v>46</v>
      </c>
      <c r="Q2" s="15"/>
      <c r="R2" s="6" t="s">
        <v>357</v>
      </c>
      <c r="S2" s="6" t="s">
        <v>358</v>
      </c>
      <c r="T2" s="6" t="s">
        <v>356</v>
      </c>
      <c r="U2" s="38" t="s">
        <v>29</v>
      </c>
      <c r="V2" s="28" t="s">
        <v>360</v>
      </c>
      <c r="W2" s="4" t="s">
        <v>46</v>
      </c>
    </row>
    <row r="3" spans="1:23" x14ac:dyDescent="0.15">
      <c r="A3" s="1">
        <v>123038</v>
      </c>
      <c r="B3" s="1" t="s">
        <v>981</v>
      </c>
      <c r="C3" s="7">
        <f>VLOOKUP(A3,可转债实时数据!$B$7:$D$149,3,FALSE)</f>
        <v>137</v>
      </c>
      <c r="D3" s="5" t="e">
        <f t="shared" ref="D3:D56" si="0">MATCH(A3,$I$1:$I$130,0)-2</f>
        <v>#N/A</v>
      </c>
      <c r="E3" s="5" t="e">
        <f t="shared" ref="E3:E56" si="1">MATCH(A3,$R$1:$R$43,0)-2</f>
        <v>#N/A</v>
      </c>
      <c r="H3" s="14">
        <v>1</v>
      </c>
      <c r="I3">
        <v>118019</v>
      </c>
      <c r="J3" t="s">
        <v>949</v>
      </c>
      <c r="K3">
        <v>161.59899999999999</v>
      </c>
      <c r="L3" s="39">
        <v>-0.1042</v>
      </c>
      <c r="M3" s="17">
        <v>6.0350000000000001E-2</v>
      </c>
      <c r="N3" s="5" t="str">
        <f>IF(ISNA(MATCH(I3,$A$3:$A$130,0)),"未买","Yes")</f>
        <v>未买</v>
      </c>
      <c r="Q3" s="14">
        <v>1</v>
      </c>
      <c r="R3" s="7">
        <v>118019</v>
      </c>
      <c r="S3" s="7" t="s">
        <v>949</v>
      </c>
      <c r="T3" s="7">
        <v>161.59899999999999</v>
      </c>
      <c r="U3" s="39">
        <v>-0.1042</v>
      </c>
      <c r="V3" s="17">
        <v>6.0350000000000001E-2</v>
      </c>
      <c r="W3" s="5" t="str">
        <f t="shared" ref="W3:W52" si="2">IF(ISNA(MATCH(R3,$A$2:$A$43,0)),"未买","Yes")</f>
        <v>未买</v>
      </c>
    </row>
    <row r="4" spans="1:23" x14ac:dyDescent="0.15">
      <c r="A4" s="1">
        <v>123050</v>
      </c>
      <c r="B4" s="1" t="s">
        <v>903</v>
      </c>
      <c r="C4" s="7" t="e">
        <f>VLOOKUP(A4,可转债实时数据!$B$7:$D$149,3,FALSE)</f>
        <v>#N/A</v>
      </c>
      <c r="D4" s="5" t="e">
        <f t="shared" si="0"/>
        <v>#N/A</v>
      </c>
      <c r="E4" s="5" t="e">
        <f t="shared" si="1"/>
        <v>#N/A</v>
      </c>
      <c r="H4" s="14">
        <v>2</v>
      </c>
      <c r="I4">
        <v>123044</v>
      </c>
      <c r="J4" t="s">
        <v>1009</v>
      </c>
      <c r="K4">
        <v>127.601</v>
      </c>
      <c r="L4" s="39">
        <v>-4.0000000000000001E-3</v>
      </c>
      <c r="M4" s="17">
        <v>4.2898649999999998</v>
      </c>
      <c r="N4" s="5" t="str">
        <f>IF(ISNA(MATCH(I4,$A$3:$A$130,0)),"未买","Yes")</f>
        <v>未买</v>
      </c>
      <c r="Q4" s="14">
        <v>2</v>
      </c>
      <c r="R4" s="7">
        <v>123044</v>
      </c>
      <c r="S4" s="7" t="s">
        <v>1009</v>
      </c>
      <c r="T4" s="7">
        <v>127.601</v>
      </c>
      <c r="U4" s="39">
        <v>-4.0000000000000001E-3</v>
      </c>
      <c r="V4" s="17">
        <v>4.2898649999999998</v>
      </c>
      <c r="W4" s="5" t="str">
        <f t="shared" si="2"/>
        <v>未买</v>
      </c>
    </row>
    <row r="5" spans="1:23" x14ac:dyDescent="0.15">
      <c r="A5" s="1">
        <v>123054</v>
      </c>
      <c r="B5" s="1" t="s">
        <v>982</v>
      </c>
      <c r="C5" s="7">
        <f>VLOOKUP(A5,可转债实时数据!$B$7:$D$149,3,FALSE)</f>
        <v>135.12700000000001</v>
      </c>
      <c r="D5" s="5" t="e">
        <f t="shared" si="0"/>
        <v>#N/A</v>
      </c>
      <c r="E5" s="5" t="e">
        <f t="shared" si="1"/>
        <v>#N/A</v>
      </c>
      <c r="H5" s="14">
        <v>3</v>
      </c>
      <c r="I5">
        <v>110077</v>
      </c>
      <c r="J5" t="s">
        <v>992</v>
      </c>
      <c r="K5">
        <v>197.584</v>
      </c>
      <c r="L5" s="39">
        <v>4.4000000000000003E-3</v>
      </c>
      <c r="M5" s="17">
        <v>9.6367600000000007</v>
      </c>
      <c r="N5" s="5" t="str">
        <f>IF(ISNA(MATCH(I5,$A$3:$A$130,0)),"未买","Yes")</f>
        <v>未买</v>
      </c>
      <c r="Q5" s="14">
        <v>3</v>
      </c>
      <c r="R5" s="7">
        <v>127014</v>
      </c>
      <c r="S5" s="7" t="s">
        <v>890</v>
      </c>
      <c r="T5" s="7">
        <v>152.1</v>
      </c>
      <c r="U5" s="39">
        <v>8.0000000000000002E-3</v>
      </c>
      <c r="V5" s="17">
        <v>5.3004920000000002</v>
      </c>
      <c r="W5" s="5" t="str">
        <f t="shared" si="2"/>
        <v>未买</v>
      </c>
    </row>
    <row r="6" spans="1:23" x14ac:dyDescent="0.15">
      <c r="A6" s="1">
        <v>123080</v>
      </c>
      <c r="B6" s="1" t="s">
        <v>36</v>
      </c>
      <c r="C6" s="7" t="e">
        <f>VLOOKUP(A6,可转债实时数据!$B$7:$D$149,3,FALSE)</f>
        <v>#N/A</v>
      </c>
      <c r="D6" s="5" t="e">
        <f t="shared" si="0"/>
        <v>#N/A</v>
      </c>
      <c r="E6" s="5" t="e">
        <f t="shared" si="1"/>
        <v>#N/A</v>
      </c>
      <c r="H6" s="14">
        <v>4</v>
      </c>
      <c r="I6">
        <v>127014</v>
      </c>
      <c r="J6" t="s">
        <v>890</v>
      </c>
      <c r="K6">
        <v>152.1</v>
      </c>
      <c r="L6" s="39">
        <v>8.0000000000000002E-3</v>
      </c>
      <c r="M6" s="17">
        <v>5.3004920000000002</v>
      </c>
      <c r="N6" s="5" t="str">
        <f>IF(ISNA(MATCH(I6,$A$3:$A$130,0)),"未买","Yes")</f>
        <v>未买</v>
      </c>
      <c r="Q6" s="14">
        <v>4</v>
      </c>
      <c r="R6" s="7">
        <v>128123</v>
      </c>
      <c r="S6" s="7" t="s">
        <v>966</v>
      </c>
      <c r="T6" s="7">
        <v>134.08600000000001</v>
      </c>
      <c r="U6" s="39">
        <v>1.83E-2</v>
      </c>
      <c r="V6" s="17">
        <v>3.1302699999999999</v>
      </c>
      <c r="W6" s="5" t="str">
        <f t="shared" si="2"/>
        <v>Yes</v>
      </c>
    </row>
    <row r="7" spans="1:23" x14ac:dyDescent="0.15">
      <c r="A7" s="1">
        <v>123107</v>
      </c>
      <c r="B7" s="1" t="s">
        <v>983</v>
      </c>
      <c r="C7" s="7" t="e">
        <f>VLOOKUP(A7,可转债实时数据!$B$7:$D$149,3,FALSE)</f>
        <v>#N/A</v>
      </c>
      <c r="D7" s="5" t="e">
        <f t="shared" si="0"/>
        <v>#N/A</v>
      </c>
      <c r="E7" s="5" t="e">
        <f t="shared" si="1"/>
        <v>#N/A</v>
      </c>
      <c r="H7" s="14">
        <v>5</v>
      </c>
      <c r="I7">
        <v>128123</v>
      </c>
      <c r="J7" t="s">
        <v>966</v>
      </c>
      <c r="K7">
        <v>134.08600000000001</v>
      </c>
      <c r="L7" s="39">
        <v>1.83E-2</v>
      </c>
      <c r="M7" s="17">
        <v>3.1302699999999999</v>
      </c>
      <c r="N7" s="5" t="str">
        <f t="shared" ref="N7:N52" si="3">IF(ISNA(MATCH(I7,$A$3:$A$130,0)),"未买","Yes")</f>
        <v>Yes</v>
      </c>
      <c r="Q7" s="14">
        <v>5</v>
      </c>
      <c r="R7" s="7">
        <v>123127</v>
      </c>
      <c r="S7" s="7" t="s">
        <v>964</v>
      </c>
      <c r="T7" s="7">
        <v>163</v>
      </c>
      <c r="U7" s="39">
        <v>3.6799999999999999E-2</v>
      </c>
      <c r="V7" s="17">
        <v>2.8521869999999998</v>
      </c>
      <c r="W7" s="5" t="str">
        <f t="shared" si="2"/>
        <v>未买</v>
      </c>
    </row>
    <row r="8" spans="1:23" x14ac:dyDescent="0.15">
      <c r="A8" s="1">
        <v>123129</v>
      </c>
      <c r="B8" s="1" t="s">
        <v>45</v>
      </c>
      <c r="C8" s="7">
        <f>VLOOKUP(A8,可转债实时数据!$B$7:$D$149,3,FALSE)</f>
        <v>122.44199999999999</v>
      </c>
      <c r="D8" s="5" t="e">
        <f t="shared" si="0"/>
        <v>#N/A</v>
      </c>
      <c r="E8" s="5" t="e">
        <f t="shared" si="1"/>
        <v>#N/A</v>
      </c>
      <c r="H8" s="14">
        <v>6</v>
      </c>
      <c r="I8">
        <v>127075</v>
      </c>
      <c r="J8" t="s">
        <v>1062</v>
      </c>
      <c r="K8">
        <v>120.3</v>
      </c>
      <c r="L8" s="39">
        <v>3.4500000000000003E-2</v>
      </c>
      <c r="M8" s="17">
        <v>9.6706240000000001</v>
      </c>
      <c r="N8" s="5" t="str">
        <f t="shared" si="3"/>
        <v>未买</v>
      </c>
      <c r="Q8" s="14">
        <v>6</v>
      </c>
      <c r="R8" s="7">
        <v>123223</v>
      </c>
      <c r="S8" s="7" t="s">
        <v>994</v>
      </c>
      <c r="T8" s="7">
        <v>169.499</v>
      </c>
      <c r="U8" s="39">
        <v>3.78E-2</v>
      </c>
      <c r="V8" s="17">
        <v>3.5360119999999999</v>
      </c>
      <c r="W8" s="5" t="str">
        <f t="shared" si="2"/>
        <v>未买</v>
      </c>
    </row>
    <row r="9" spans="1:23" x14ac:dyDescent="0.15">
      <c r="A9" s="1">
        <v>123194</v>
      </c>
      <c r="B9" s="1" t="s">
        <v>984</v>
      </c>
      <c r="C9" s="7">
        <f>VLOOKUP(A9,可转债实时数据!$B$7:$D$149,3,FALSE)</f>
        <v>132.68899999999999</v>
      </c>
      <c r="D9" s="5">
        <f t="shared" si="0"/>
        <v>26</v>
      </c>
      <c r="E9" s="5" t="e">
        <f t="shared" si="1"/>
        <v>#N/A</v>
      </c>
      <c r="H9" s="14">
        <v>7</v>
      </c>
      <c r="I9">
        <v>123127</v>
      </c>
      <c r="J9" t="s">
        <v>964</v>
      </c>
      <c r="K9">
        <v>163</v>
      </c>
      <c r="L9" s="39">
        <v>3.6799999999999999E-2</v>
      </c>
      <c r="M9" s="17">
        <v>2.8521869999999998</v>
      </c>
      <c r="N9" s="5" t="str">
        <f t="shared" si="3"/>
        <v>未买</v>
      </c>
      <c r="Q9" s="14">
        <v>7</v>
      </c>
      <c r="R9" s="7">
        <v>123143</v>
      </c>
      <c r="S9" s="7" t="s">
        <v>1054</v>
      </c>
      <c r="T9" s="7">
        <v>148.5</v>
      </c>
      <c r="U9" s="39">
        <v>3.9300000000000002E-2</v>
      </c>
      <c r="V9" s="17">
        <v>2.690442</v>
      </c>
      <c r="W9" s="5" t="str">
        <f t="shared" si="2"/>
        <v>未买</v>
      </c>
    </row>
    <row r="10" spans="1:23" x14ac:dyDescent="0.15">
      <c r="A10" s="1">
        <v>127012</v>
      </c>
      <c r="B10" s="1" t="s">
        <v>985</v>
      </c>
      <c r="C10" s="7" t="e">
        <f>VLOOKUP(A10,可转债实时数据!$B$7:$D$149,3,FALSE)</f>
        <v>#N/A</v>
      </c>
      <c r="D10" s="5" t="e">
        <f t="shared" si="0"/>
        <v>#N/A</v>
      </c>
      <c r="E10" s="5" t="e">
        <f t="shared" si="1"/>
        <v>#N/A</v>
      </c>
      <c r="H10" s="14">
        <v>8</v>
      </c>
      <c r="I10">
        <v>123223</v>
      </c>
      <c r="J10" t="s">
        <v>994</v>
      </c>
      <c r="K10">
        <v>169.499</v>
      </c>
      <c r="L10" s="39">
        <v>3.78E-2</v>
      </c>
      <c r="M10" s="17">
        <v>3.5360119999999999</v>
      </c>
      <c r="N10" s="5" t="str">
        <f t="shared" si="3"/>
        <v>未买</v>
      </c>
      <c r="Q10" s="14">
        <v>8</v>
      </c>
      <c r="R10" s="7">
        <v>123209</v>
      </c>
      <c r="S10" s="7" t="s">
        <v>1013</v>
      </c>
      <c r="T10" s="7">
        <v>148.30000000000001</v>
      </c>
      <c r="U10" s="39">
        <v>4.2099999999999999E-2</v>
      </c>
      <c r="V10" s="17">
        <v>2.1518389999999998</v>
      </c>
      <c r="W10" s="5" t="str">
        <f t="shared" si="2"/>
        <v>未买</v>
      </c>
    </row>
    <row r="11" spans="1:23" x14ac:dyDescent="0.15">
      <c r="A11" s="1">
        <v>128076</v>
      </c>
      <c r="B11" s="1" t="s">
        <v>43</v>
      </c>
      <c r="C11" s="7" t="e">
        <f>VLOOKUP(A11,可转债实时数据!$B$7:$D$149,3,FALSE)</f>
        <v>#N/A</v>
      </c>
      <c r="D11" s="5" t="e">
        <f t="shared" si="0"/>
        <v>#N/A</v>
      </c>
      <c r="E11" s="5" t="e">
        <f t="shared" si="1"/>
        <v>#N/A</v>
      </c>
      <c r="H11" s="14">
        <v>9</v>
      </c>
      <c r="I11">
        <v>123143</v>
      </c>
      <c r="J11" t="s">
        <v>1054</v>
      </c>
      <c r="K11">
        <v>148.5</v>
      </c>
      <c r="L11" s="39">
        <v>3.9300000000000002E-2</v>
      </c>
      <c r="M11" s="17">
        <v>2.690442</v>
      </c>
      <c r="N11" s="5" t="str">
        <f t="shared" si="3"/>
        <v>未买</v>
      </c>
      <c r="Q11" s="14">
        <v>9</v>
      </c>
      <c r="R11" s="7">
        <v>111015</v>
      </c>
      <c r="S11" s="7" t="s">
        <v>894</v>
      </c>
      <c r="T11" s="7">
        <v>121.574</v>
      </c>
      <c r="U11" s="39">
        <v>4.6199999999999998E-2</v>
      </c>
      <c r="V11" s="17">
        <v>6.6623999999999999</v>
      </c>
      <c r="W11" s="5" t="str">
        <f t="shared" si="2"/>
        <v>未买</v>
      </c>
    </row>
    <row r="12" spans="1:23" x14ac:dyDescent="0.15">
      <c r="A12" s="1">
        <v>128121</v>
      </c>
      <c r="B12" s="1" t="s">
        <v>986</v>
      </c>
      <c r="C12" s="7" t="e">
        <f>VLOOKUP(A12,可转债实时数据!$B$7:$D$149,3,FALSE)</f>
        <v>#N/A</v>
      </c>
      <c r="D12" s="5" t="e">
        <f t="shared" si="0"/>
        <v>#N/A</v>
      </c>
      <c r="E12" s="5" t="e">
        <f t="shared" si="1"/>
        <v>#N/A</v>
      </c>
      <c r="H12" s="14">
        <v>10</v>
      </c>
      <c r="I12">
        <v>123209</v>
      </c>
      <c r="J12" t="s">
        <v>1013</v>
      </c>
      <c r="K12">
        <v>148.30000000000001</v>
      </c>
      <c r="L12" s="39">
        <v>4.2099999999999999E-2</v>
      </c>
      <c r="M12" s="17">
        <v>2.1518389999999998</v>
      </c>
      <c r="N12" s="5" t="str">
        <f t="shared" si="3"/>
        <v>未买</v>
      </c>
      <c r="Q12" s="14">
        <v>10</v>
      </c>
      <c r="R12" s="7">
        <v>123205</v>
      </c>
      <c r="S12" s="7" t="s">
        <v>1004</v>
      </c>
      <c r="T12" s="7">
        <v>131.12899999999999</v>
      </c>
      <c r="U12" s="39">
        <v>4.8099999999999997E-2</v>
      </c>
      <c r="V12" s="17">
        <v>4.0439749999999997</v>
      </c>
      <c r="W12" s="5" t="str">
        <f t="shared" si="2"/>
        <v>未买</v>
      </c>
    </row>
    <row r="13" spans="1:23" x14ac:dyDescent="0.15">
      <c r="A13" s="1">
        <v>128123</v>
      </c>
      <c r="B13" s="1" t="s">
        <v>987</v>
      </c>
      <c r="C13" s="7">
        <f>VLOOKUP(A13,可转债实时数据!$B$7:$D$149,3,FALSE)</f>
        <v>134.08600000000001</v>
      </c>
      <c r="D13" s="5">
        <f t="shared" si="0"/>
        <v>5</v>
      </c>
      <c r="E13" s="5">
        <f t="shared" si="1"/>
        <v>4</v>
      </c>
      <c r="H13" s="14">
        <v>11</v>
      </c>
      <c r="I13">
        <v>111015</v>
      </c>
      <c r="J13" t="s">
        <v>894</v>
      </c>
      <c r="K13">
        <v>121.574</v>
      </c>
      <c r="L13" s="39">
        <v>4.6199999999999998E-2</v>
      </c>
      <c r="M13" s="17">
        <v>6.6623999999999999</v>
      </c>
      <c r="N13" s="5" t="str">
        <f t="shared" si="3"/>
        <v>未买</v>
      </c>
      <c r="Q13" s="14">
        <v>11</v>
      </c>
      <c r="R13" s="7">
        <v>128087</v>
      </c>
      <c r="S13" s="7" t="s">
        <v>42</v>
      </c>
      <c r="T13" s="7">
        <v>121.88</v>
      </c>
      <c r="U13" s="39">
        <v>6.4500000000000002E-2</v>
      </c>
      <c r="V13" s="17">
        <v>6.4426889999999997</v>
      </c>
      <c r="W13" s="5" t="str">
        <f t="shared" si="2"/>
        <v>未买</v>
      </c>
    </row>
    <row r="14" spans="1:23" x14ac:dyDescent="0.15">
      <c r="A14" s="1">
        <v>128143</v>
      </c>
      <c r="B14" s="1" t="s">
        <v>902</v>
      </c>
      <c r="C14" s="7">
        <f>VLOOKUP(A14,可转债实时数据!$B$7:$D$149,3,FALSE)</f>
        <v>128.988</v>
      </c>
      <c r="D14" s="5" t="e">
        <f t="shared" si="0"/>
        <v>#N/A</v>
      </c>
      <c r="E14" s="5" t="e">
        <f t="shared" si="1"/>
        <v>#N/A</v>
      </c>
      <c r="H14" s="14">
        <v>12</v>
      </c>
      <c r="I14">
        <v>123205</v>
      </c>
      <c r="J14" t="s">
        <v>1004</v>
      </c>
      <c r="K14">
        <v>131.12899999999999</v>
      </c>
      <c r="L14" s="39">
        <v>4.8099999999999997E-2</v>
      </c>
      <c r="M14" s="17">
        <v>4.0439749999999997</v>
      </c>
      <c r="N14" s="5" t="str">
        <f t="shared" si="3"/>
        <v>未买</v>
      </c>
      <c r="Q14" s="14">
        <v>12</v>
      </c>
      <c r="R14" s="7">
        <v>118021</v>
      </c>
      <c r="S14" s="7" t="s">
        <v>962</v>
      </c>
      <c r="T14" s="7">
        <v>160.23599999999999</v>
      </c>
      <c r="U14" s="39">
        <v>8.72E-2</v>
      </c>
      <c r="V14" s="17">
        <v>2.5010400000000002</v>
      </c>
      <c r="W14" s="5" t="str">
        <f t="shared" si="2"/>
        <v>未买</v>
      </c>
    </row>
    <row r="15" spans="1:23" x14ac:dyDescent="0.15">
      <c r="A15" s="1">
        <v>110052</v>
      </c>
      <c r="B15" s="1" t="s">
        <v>605</v>
      </c>
      <c r="C15" s="7" t="e">
        <f>VLOOKUP(A15,可转债实时数据!$B$7:$D$149,3,FALSE)</f>
        <v>#N/A</v>
      </c>
      <c r="D15" s="5" t="e">
        <f t="shared" si="0"/>
        <v>#N/A</v>
      </c>
      <c r="E15" s="5" t="e">
        <f t="shared" si="1"/>
        <v>#N/A</v>
      </c>
      <c r="H15" s="14">
        <v>13</v>
      </c>
      <c r="I15">
        <v>111017</v>
      </c>
      <c r="J15" t="s">
        <v>996</v>
      </c>
      <c r="K15">
        <v>154.02600000000001</v>
      </c>
      <c r="L15" s="39">
        <v>4.9400000000000006E-2</v>
      </c>
      <c r="M15" s="17">
        <v>8.6962499999999991</v>
      </c>
      <c r="N15" s="5" t="str">
        <f t="shared" si="3"/>
        <v>未买</v>
      </c>
      <c r="Q15" s="14">
        <v>13</v>
      </c>
      <c r="R15" s="7">
        <v>111011</v>
      </c>
      <c r="S15" s="7" t="s">
        <v>1002</v>
      </c>
      <c r="T15" s="7">
        <v>139.01</v>
      </c>
      <c r="U15" s="39">
        <v>9.5299999999999996E-2</v>
      </c>
      <c r="V15" s="17">
        <v>4.0325800000000003</v>
      </c>
      <c r="W15" s="5" t="str">
        <f t="shared" si="2"/>
        <v>未买</v>
      </c>
    </row>
    <row r="16" spans="1:23" x14ac:dyDescent="0.15">
      <c r="A16" s="1">
        <v>113027</v>
      </c>
      <c r="B16" s="1" t="s">
        <v>35</v>
      </c>
      <c r="C16" s="7">
        <f>VLOOKUP(A16,可转债实时数据!$B$7:$D$149,3,FALSE)</f>
        <v>238.31700000000001</v>
      </c>
      <c r="D16" s="5" t="e">
        <f t="shared" si="0"/>
        <v>#N/A</v>
      </c>
      <c r="E16" s="5">
        <f t="shared" si="1"/>
        <v>21</v>
      </c>
      <c r="H16" s="14">
        <v>14</v>
      </c>
      <c r="I16">
        <v>128087</v>
      </c>
      <c r="J16" t="s">
        <v>42</v>
      </c>
      <c r="K16">
        <v>121.88</v>
      </c>
      <c r="L16" s="39">
        <v>6.4500000000000002E-2</v>
      </c>
      <c r="M16" s="17">
        <v>6.4426889999999997</v>
      </c>
      <c r="N16" s="5" t="str">
        <f t="shared" si="3"/>
        <v>未买</v>
      </c>
      <c r="Q16" s="14">
        <v>14</v>
      </c>
      <c r="R16" s="7">
        <v>118046</v>
      </c>
      <c r="S16" s="7" t="s">
        <v>973</v>
      </c>
      <c r="T16" s="7">
        <v>145.23599999999999</v>
      </c>
      <c r="U16" s="39">
        <v>9.6500000000000002E-2</v>
      </c>
      <c r="V16" s="17">
        <v>4.34</v>
      </c>
      <c r="W16" s="5" t="str">
        <f t="shared" si="2"/>
        <v>未买</v>
      </c>
    </row>
    <row r="17" spans="1:23" x14ac:dyDescent="0.15">
      <c r="A17" s="1">
        <v>113061</v>
      </c>
      <c r="B17" s="1" t="s">
        <v>988</v>
      </c>
      <c r="C17" s="7" t="e">
        <f>VLOOKUP(A17,可转债实时数据!$B$7:$D$149,3,FALSE)</f>
        <v>#N/A</v>
      </c>
      <c r="D17" s="5" t="e">
        <f t="shared" si="0"/>
        <v>#N/A</v>
      </c>
      <c r="E17" s="5" t="e">
        <f t="shared" si="1"/>
        <v>#N/A</v>
      </c>
      <c r="H17" s="14">
        <v>15</v>
      </c>
      <c r="I17">
        <v>113631</v>
      </c>
      <c r="J17" t="s">
        <v>951</v>
      </c>
      <c r="K17">
        <v>130.15199999999999</v>
      </c>
      <c r="L17" s="39">
        <v>6.7199999999999996E-2</v>
      </c>
      <c r="M17" s="17">
        <v>9.2962299999999995</v>
      </c>
      <c r="N17" s="5" t="str">
        <f t="shared" si="3"/>
        <v>未买</v>
      </c>
      <c r="Q17" s="14">
        <v>15</v>
      </c>
      <c r="R17" s="7">
        <v>123135</v>
      </c>
      <c r="S17" s="7" t="s">
        <v>948</v>
      </c>
      <c r="T17" s="7">
        <v>137.25</v>
      </c>
      <c r="U17" s="39">
        <v>9.9600000000000008E-2</v>
      </c>
      <c r="V17" s="17">
        <v>2.0102009999999999</v>
      </c>
      <c r="W17" s="5" t="str">
        <f t="shared" si="2"/>
        <v>未买</v>
      </c>
    </row>
    <row r="18" spans="1:23" x14ac:dyDescent="0.15">
      <c r="A18" s="1">
        <v>113526</v>
      </c>
      <c r="B18" s="1" t="s">
        <v>44</v>
      </c>
      <c r="C18" s="7" t="e">
        <f>VLOOKUP(A18,可转债实时数据!$B$7:$D$149,3,FALSE)</f>
        <v>#N/A</v>
      </c>
      <c r="D18" s="5" t="e">
        <f t="shared" si="0"/>
        <v>#N/A</v>
      </c>
      <c r="E18" s="5" t="e">
        <f t="shared" si="1"/>
        <v>#N/A</v>
      </c>
      <c r="H18" s="14">
        <v>16</v>
      </c>
      <c r="I18">
        <v>113648</v>
      </c>
      <c r="J18" t="s">
        <v>958</v>
      </c>
      <c r="K18">
        <v>142.49600000000001</v>
      </c>
      <c r="L18" s="39">
        <v>6.7900000000000002E-2</v>
      </c>
      <c r="M18" s="17">
        <v>8.9978300000000004</v>
      </c>
      <c r="N18" s="5" t="str">
        <f t="shared" si="3"/>
        <v>未买</v>
      </c>
      <c r="Q18" s="14">
        <v>16</v>
      </c>
      <c r="R18" s="7">
        <v>113546</v>
      </c>
      <c r="S18" s="7" t="s">
        <v>40</v>
      </c>
      <c r="T18" s="7">
        <v>132.012</v>
      </c>
      <c r="U18" s="39">
        <v>9.98E-2</v>
      </c>
      <c r="V18" s="17">
        <v>2.29501</v>
      </c>
      <c r="W18" s="5" t="str">
        <f t="shared" si="2"/>
        <v>未买</v>
      </c>
    </row>
    <row r="19" spans="1:23" x14ac:dyDescent="0.15">
      <c r="A19" s="1">
        <v>113532</v>
      </c>
      <c r="B19" s="1" t="s">
        <v>976</v>
      </c>
      <c r="C19" s="7" t="e">
        <f>VLOOKUP(A19,可转债实时数据!$B$7:$D$149,3,FALSE)</f>
        <v>#N/A</v>
      </c>
      <c r="D19" s="5" t="e">
        <f t="shared" si="0"/>
        <v>#N/A</v>
      </c>
      <c r="E19" s="5" t="e">
        <f t="shared" si="1"/>
        <v>#N/A</v>
      </c>
      <c r="H19" s="14">
        <v>17</v>
      </c>
      <c r="I19">
        <v>118021</v>
      </c>
      <c r="J19" t="s">
        <v>962</v>
      </c>
      <c r="K19">
        <v>160.23599999999999</v>
      </c>
      <c r="L19" s="39">
        <v>8.72E-2</v>
      </c>
      <c r="M19" s="17">
        <v>2.5010400000000002</v>
      </c>
      <c r="N19" s="5" t="str">
        <f t="shared" si="3"/>
        <v>未买</v>
      </c>
      <c r="Q19" s="14">
        <v>17</v>
      </c>
      <c r="R19" s="7">
        <v>110074</v>
      </c>
      <c r="S19" s="7" t="s">
        <v>1008</v>
      </c>
      <c r="T19" s="7">
        <v>137.28399999999999</v>
      </c>
      <c r="U19" s="39">
        <v>0.106</v>
      </c>
      <c r="V19" s="17">
        <v>5.0761500000000002</v>
      </c>
      <c r="W19" s="5" t="str">
        <f t="shared" si="2"/>
        <v>未买</v>
      </c>
    </row>
    <row r="20" spans="1:23" x14ac:dyDescent="0.15">
      <c r="A20" s="1">
        <v>113561</v>
      </c>
      <c r="B20" s="1" t="s">
        <v>968</v>
      </c>
      <c r="C20" s="7" t="e">
        <f>VLOOKUP(A20,可转债实时数据!$B$7:$D$149,3,FALSE)</f>
        <v>#N/A</v>
      </c>
      <c r="D20" s="5" t="e">
        <f t="shared" si="0"/>
        <v>#N/A</v>
      </c>
      <c r="E20" s="5" t="e">
        <f t="shared" si="1"/>
        <v>#N/A</v>
      </c>
      <c r="H20" s="14">
        <v>18</v>
      </c>
      <c r="I20">
        <v>111011</v>
      </c>
      <c r="J20" t="s">
        <v>1002</v>
      </c>
      <c r="K20">
        <v>139.01</v>
      </c>
      <c r="L20" s="39">
        <v>9.5299999999999996E-2</v>
      </c>
      <c r="M20" s="17">
        <v>4.0325800000000003</v>
      </c>
      <c r="N20" s="5" t="str">
        <f t="shared" si="3"/>
        <v>未买</v>
      </c>
      <c r="Q20" s="14">
        <v>18</v>
      </c>
      <c r="R20" s="7">
        <v>123092</v>
      </c>
      <c r="S20" s="7" t="s">
        <v>891</v>
      </c>
      <c r="T20" s="7">
        <v>129.648</v>
      </c>
      <c r="U20" s="39">
        <v>0.10929999999999999</v>
      </c>
      <c r="V20" s="17">
        <v>3.9874019999999994</v>
      </c>
      <c r="W20" s="5" t="str">
        <f t="shared" si="2"/>
        <v>未买</v>
      </c>
    </row>
    <row r="21" spans="1:23" x14ac:dyDescent="0.15">
      <c r="A21" s="1">
        <v>113566</v>
      </c>
      <c r="B21" s="1" t="s">
        <v>965</v>
      </c>
      <c r="C21" s="7" t="e">
        <f>VLOOKUP(A21,可转债实时数据!$B$7:$D$149,3,FALSE)</f>
        <v>#N/A</v>
      </c>
      <c r="D21" s="5" t="e">
        <f t="shared" si="0"/>
        <v>#N/A</v>
      </c>
      <c r="E21" s="5" t="e">
        <f t="shared" si="1"/>
        <v>#N/A</v>
      </c>
      <c r="H21" s="14">
        <v>19</v>
      </c>
      <c r="I21">
        <v>118046</v>
      </c>
      <c r="J21" t="s">
        <v>973</v>
      </c>
      <c r="K21">
        <v>145.23599999999999</v>
      </c>
      <c r="L21" s="39">
        <v>9.6500000000000002E-2</v>
      </c>
      <c r="M21" s="17">
        <v>4.34</v>
      </c>
      <c r="N21" s="5" t="str">
        <f t="shared" si="3"/>
        <v>未买</v>
      </c>
      <c r="Q21" s="14">
        <v>19</v>
      </c>
      <c r="R21" s="7">
        <v>123221</v>
      </c>
      <c r="S21" s="7" t="s">
        <v>910</v>
      </c>
      <c r="T21" s="7">
        <v>134.447</v>
      </c>
      <c r="U21" s="39">
        <v>0.1114</v>
      </c>
      <c r="V21" s="17">
        <v>4.9942029999999997</v>
      </c>
      <c r="W21" s="5" t="str">
        <f t="shared" si="2"/>
        <v>未买</v>
      </c>
    </row>
    <row r="22" spans="1:23" x14ac:dyDescent="0.15">
      <c r="A22" s="1">
        <v>113588</v>
      </c>
      <c r="B22" s="1" t="s">
        <v>989</v>
      </c>
      <c r="C22" s="7">
        <f>VLOOKUP(A22,可转债实时数据!$B$7:$D$149,3,FALSE)</f>
        <v>146.5</v>
      </c>
      <c r="D22" s="5">
        <f t="shared" si="0"/>
        <v>50</v>
      </c>
      <c r="E22" s="5">
        <f t="shared" si="1"/>
        <v>37</v>
      </c>
      <c r="H22" s="14">
        <v>20</v>
      </c>
      <c r="I22">
        <v>123135</v>
      </c>
      <c r="J22" t="s">
        <v>948</v>
      </c>
      <c r="K22">
        <v>137.25</v>
      </c>
      <c r="L22" s="39">
        <v>9.9600000000000008E-2</v>
      </c>
      <c r="M22" s="17">
        <v>2.0102009999999999</v>
      </c>
      <c r="N22" s="5" t="str">
        <f t="shared" si="3"/>
        <v>未买</v>
      </c>
      <c r="Q22" s="14">
        <v>20</v>
      </c>
      <c r="R22" s="7">
        <v>123201</v>
      </c>
      <c r="S22" s="7" t="s">
        <v>892</v>
      </c>
      <c r="T22" s="7">
        <v>124.48</v>
      </c>
      <c r="U22" s="39">
        <v>0.11380000000000001</v>
      </c>
      <c r="V22" s="17">
        <v>3.4951160000000008</v>
      </c>
      <c r="W22" s="5" t="str">
        <f t="shared" si="2"/>
        <v>未买</v>
      </c>
    </row>
    <row r="23" spans="1:23" x14ac:dyDescent="0.15">
      <c r="A23" s="1">
        <v>113628</v>
      </c>
      <c r="B23" s="1" t="s">
        <v>886</v>
      </c>
      <c r="C23" s="7">
        <f>VLOOKUP(A23,可转债实时数据!$B$7:$D$149,3,FALSE)</f>
        <v>114.11</v>
      </c>
      <c r="D23" s="5" t="e">
        <f t="shared" si="0"/>
        <v>#N/A</v>
      </c>
      <c r="E23" s="5" t="e">
        <f t="shared" si="1"/>
        <v>#N/A</v>
      </c>
      <c r="H23" s="14">
        <v>21</v>
      </c>
      <c r="I23">
        <v>113546</v>
      </c>
      <c r="J23" t="s">
        <v>40</v>
      </c>
      <c r="K23">
        <v>132.012</v>
      </c>
      <c r="L23" s="39">
        <v>9.98E-2</v>
      </c>
      <c r="M23" s="17">
        <v>2.29501</v>
      </c>
      <c r="N23" s="5" t="str">
        <f t="shared" si="3"/>
        <v>未买</v>
      </c>
      <c r="Q23" s="14">
        <v>21</v>
      </c>
      <c r="R23" s="7">
        <v>113027</v>
      </c>
      <c r="S23" s="7" t="s">
        <v>998</v>
      </c>
      <c r="T23" s="7">
        <v>238.31700000000001</v>
      </c>
      <c r="U23" s="39">
        <v>0.11410000000000001</v>
      </c>
      <c r="V23" s="17">
        <v>1.5840000000000001</v>
      </c>
      <c r="W23" s="5" t="str">
        <f t="shared" si="2"/>
        <v>Yes</v>
      </c>
    </row>
    <row r="24" spans="1:23" x14ac:dyDescent="0.15">
      <c r="A24" s="1"/>
      <c r="B24" s="1"/>
      <c r="C24" s="7" t="e">
        <f>VLOOKUP(A24,可转债实时数据!$B$7:$D$149,3,FALSE)</f>
        <v>#N/A</v>
      </c>
      <c r="D24" s="5" t="e">
        <f t="shared" si="0"/>
        <v>#N/A</v>
      </c>
      <c r="E24" s="5" t="e">
        <f t="shared" si="1"/>
        <v>#N/A</v>
      </c>
      <c r="H24" s="14">
        <v>22</v>
      </c>
      <c r="I24">
        <v>123192</v>
      </c>
      <c r="J24" t="s">
        <v>995</v>
      </c>
      <c r="K24">
        <v>157.99</v>
      </c>
      <c r="L24" s="39">
        <v>0.10289999999999999</v>
      </c>
      <c r="M24" s="17">
        <v>7.2387350000000001</v>
      </c>
      <c r="N24" s="5" t="str">
        <f t="shared" si="3"/>
        <v>未买</v>
      </c>
      <c r="Q24" s="14">
        <v>22</v>
      </c>
      <c r="R24" s="7">
        <v>123222</v>
      </c>
      <c r="S24" s="7" t="s">
        <v>943</v>
      </c>
      <c r="T24" s="7">
        <v>133.084</v>
      </c>
      <c r="U24" s="39">
        <v>0.11689999999999999</v>
      </c>
      <c r="V24" s="17">
        <v>4.998869</v>
      </c>
      <c r="W24" s="5" t="str">
        <f t="shared" si="2"/>
        <v>未买</v>
      </c>
    </row>
    <row r="25" spans="1:23" x14ac:dyDescent="0.15">
      <c r="A25" s="1"/>
      <c r="B25" s="1"/>
      <c r="C25" s="7" t="e">
        <f>VLOOKUP(A25,可转债实时数据!$B$7:$D$149,3,FALSE)</f>
        <v>#N/A</v>
      </c>
      <c r="D25" s="5" t="e">
        <f t="shared" si="0"/>
        <v>#N/A</v>
      </c>
      <c r="E25" s="5" t="e">
        <f t="shared" si="1"/>
        <v>#N/A</v>
      </c>
      <c r="H25" s="14">
        <v>23</v>
      </c>
      <c r="I25">
        <v>110074</v>
      </c>
      <c r="J25" t="s">
        <v>1008</v>
      </c>
      <c r="K25">
        <v>137.28399999999999</v>
      </c>
      <c r="L25" s="39">
        <v>0.106</v>
      </c>
      <c r="M25" s="17">
        <v>5.0761500000000002</v>
      </c>
      <c r="N25" s="5" t="str">
        <f t="shared" si="3"/>
        <v>未买</v>
      </c>
      <c r="Q25" s="14">
        <v>23</v>
      </c>
      <c r="R25" s="7">
        <v>127037</v>
      </c>
      <c r="S25" s="7" t="s">
        <v>637</v>
      </c>
      <c r="T25" s="7">
        <v>183.684</v>
      </c>
      <c r="U25" s="39">
        <v>0.12770000000000001</v>
      </c>
      <c r="V25" s="17">
        <v>5.0716130000000001</v>
      </c>
      <c r="W25" s="5" t="str">
        <f t="shared" si="2"/>
        <v>未买</v>
      </c>
    </row>
    <row r="26" spans="1:23" x14ac:dyDescent="0.15">
      <c r="A26" s="1"/>
      <c r="B26" s="1"/>
      <c r="C26" s="7" t="e">
        <f>VLOOKUP(A26,可转债实时数据!$B$7:$D$149,3,FALSE)</f>
        <v>#N/A</v>
      </c>
      <c r="D26" s="5" t="e">
        <f t="shared" si="0"/>
        <v>#N/A</v>
      </c>
      <c r="E26" s="5" t="e">
        <f t="shared" si="1"/>
        <v>#N/A</v>
      </c>
      <c r="H26" s="14">
        <v>24</v>
      </c>
      <c r="I26">
        <v>123092</v>
      </c>
      <c r="J26" t="s">
        <v>891</v>
      </c>
      <c r="K26">
        <v>129.648</v>
      </c>
      <c r="L26" s="39">
        <v>0.10929999999999999</v>
      </c>
      <c r="M26" s="17">
        <v>3.9874019999999994</v>
      </c>
      <c r="N26" s="5" t="str">
        <f t="shared" si="3"/>
        <v>未买</v>
      </c>
      <c r="Q26" s="14">
        <v>24</v>
      </c>
      <c r="R26" s="7">
        <v>123204</v>
      </c>
      <c r="S26" s="7" t="s">
        <v>895</v>
      </c>
      <c r="T26" s="7">
        <v>125.798</v>
      </c>
      <c r="U26" s="39">
        <v>0.1278</v>
      </c>
      <c r="V26" s="17">
        <v>6.1658609999999996</v>
      </c>
      <c r="W26" s="5" t="str">
        <f t="shared" si="2"/>
        <v>未买</v>
      </c>
    </row>
    <row r="27" spans="1:23" x14ac:dyDescent="0.15">
      <c r="A27" s="1"/>
      <c r="B27" s="1"/>
      <c r="C27" s="7" t="e">
        <f>VLOOKUP(A27,可转债实时数据!$B$7:$D$149,3,FALSE)</f>
        <v>#N/A</v>
      </c>
      <c r="D27" s="5" t="e">
        <f t="shared" si="0"/>
        <v>#N/A</v>
      </c>
      <c r="E27" s="5" t="e">
        <f t="shared" si="1"/>
        <v>#N/A</v>
      </c>
      <c r="H27" s="14">
        <v>25</v>
      </c>
      <c r="I27">
        <v>123221</v>
      </c>
      <c r="J27" t="s">
        <v>910</v>
      </c>
      <c r="K27">
        <v>134.447</v>
      </c>
      <c r="L27" s="39">
        <v>0.1114</v>
      </c>
      <c r="M27" s="17">
        <v>4.9942029999999997</v>
      </c>
      <c r="N27" s="5" t="str">
        <f t="shared" si="3"/>
        <v>未买</v>
      </c>
      <c r="Q27" s="14">
        <v>25</v>
      </c>
      <c r="R27" s="7">
        <v>113672</v>
      </c>
      <c r="S27" s="7" t="s">
        <v>1006</v>
      </c>
      <c r="T27" s="7">
        <v>132.71799999999999</v>
      </c>
      <c r="U27" s="39">
        <v>0.1313</v>
      </c>
      <c r="V27" s="17">
        <v>6.3849400000000003</v>
      </c>
      <c r="W27" s="5" t="str">
        <f t="shared" si="2"/>
        <v>未买</v>
      </c>
    </row>
    <row r="28" spans="1:23" x14ac:dyDescent="0.15">
      <c r="A28" s="1"/>
      <c r="B28" s="1"/>
      <c r="C28" s="7" t="e">
        <f>VLOOKUP(A28,可转债实时数据!$B$7:$D$149,3,FALSE)</f>
        <v>#N/A</v>
      </c>
      <c r="D28" s="5" t="e">
        <f t="shared" si="0"/>
        <v>#N/A</v>
      </c>
      <c r="E28" s="5" t="e">
        <f t="shared" si="1"/>
        <v>#N/A</v>
      </c>
      <c r="H28" s="14">
        <v>26</v>
      </c>
      <c r="I28">
        <v>123194</v>
      </c>
      <c r="J28" t="s">
        <v>946</v>
      </c>
      <c r="K28">
        <v>132.68899999999999</v>
      </c>
      <c r="L28" s="39">
        <v>0.11259999999999999</v>
      </c>
      <c r="M28" s="17">
        <v>8.4619619999999998</v>
      </c>
      <c r="N28" s="5" t="str">
        <f t="shared" si="3"/>
        <v>Yes</v>
      </c>
      <c r="Q28" s="14">
        <v>26</v>
      </c>
      <c r="R28" s="7">
        <v>123188</v>
      </c>
      <c r="S28" s="7" t="s">
        <v>997</v>
      </c>
      <c r="T28" s="7">
        <v>144.87299999999999</v>
      </c>
      <c r="U28" s="39">
        <v>0.14410000000000001</v>
      </c>
      <c r="V28" s="17">
        <v>6.948963</v>
      </c>
      <c r="W28" s="5" t="str">
        <f t="shared" si="2"/>
        <v>未买</v>
      </c>
    </row>
    <row r="29" spans="1:23" x14ac:dyDescent="0.15">
      <c r="A29" s="1"/>
      <c r="B29" s="1"/>
      <c r="C29" s="7" t="e">
        <f>VLOOKUP(A29,可转债实时数据!$B$7:$D$149,3,FALSE)</f>
        <v>#N/A</v>
      </c>
      <c r="D29" s="5" t="e">
        <f t="shared" si="0"/>
        <v>#N/A</v>
      </c>
      <c r="E29" s="5" t="e">
        <f t="shared" si="1"/>
        <v>#N/A</v>
      </c>
      <c r="H29" s="14">
        <v>27</v>
      </c>
      <c r="I29">
        <v>123201</v>
      </c>
      <c r="J29" t="s">
        <v>892</v>
      </c>
      <c r="K29">
        <v>124.48</v>
      </c>
      <c r="L29" s="39">
        <v>0.11380000000000001</v>
      </c>
      <c r="M29" s="17">
        <v>3.4951160000000008</v>
      </c>
      <c r="N29" s="5" t="str">
        <f t="shared" si="3"/>
        <v>未买</v>
      </c>
      <c r="Q29" s="14">
        <v>27</v>
      </c>
      <c r="R29" s="7">
        <v>127028</v>
      </c>
      <c r="S29" s="7" t="s">
        <v>39</v>
      </c>
      <c r="T29" s="7">
        <v>125.11799999999999</v>
      </c>
      <c r="U29" s="39">
        <v>0.1459</v>
      </c>
      <c r="V29" s="17">
        <v>4.0626689999999996</v>
      </c>
      <c r="W29" s="5" t="str">
        <f t="shared" si="2"/>
        <v>未买</v>
      </c>
    </row>
    <row r="30" spans="1:23" x14ac:dyDescent="0.15">
      <c r="A30" s="1"/>
      <c r="B30" s="1"/>
      <c r="C30" s="7" t="e">
        <f>VLOOKUP(A30,可转债实时数据!$B$7:$D$149,3,FALSE)</f>
        <v>#N/A</v>
      </c>
      <c r="D30" s="5" t="e">
        <f t="shared" si="0"/>
        <v>#N/A</v>
      </c>
      <c r="E30" s="5" t="e">
        <f t="shared" si="1"/>
        <v>#N/A</v>
      </c>
      <c r="H30" s="14">
        <v>28</v>
      </c>
      <c r="I30">
        <v>123222</v>
      </c>
      <c r="J30" t="s">
        <v>943</v>
      </c>
      <c r="K30">
        <v>133.084</v>
      </c>
      <c r="L30" s="39">
        <v>0.11689999999999999</v>
      </c>
      <c r="M30" s="17">
        <v>4.998869</v>
      </c>
      <c r="N30" s="5" t="str">
        <f t="shared" si="3"/>
        <v>未买</v>
      </c>
      <c r="Q30" s="14">
        <v>28</v>
      </c>
      <c r="R30" s="7">
        <v>127095</v>
      </c>
      <c r="S30" s="7" t="s">
        <v>999</v>
      </c>
      <c r="T30" s="7">
        <v>134.15899999999999</v>
      </c>
      <c r="U30" s="39">
        <v>0.15380000000000002</v>
      </c>
      <c r="V30" s="17">
        <v>6.9929969999999999</v>
      </c>
      <c r="W30" s="5" t="str">
        <f t="shared" si="2"/>
        <v>未买</v>
      </c>
    </row>
    <row r="31" spans="1:23" x14ac:dyDescent="0.15">
      <c r="A31" s="1"/>
      <c r="B31" s="1"/>
      <c r="C31" s="7" t="e">
        <f>VLOOKUP(A31,可转债实时数据!$B$7:$D$149,3,FALSE)</f>
        <v>#N/A</v>
      </c>
      <c r="D31" s="5" t="e">
        <f t="shared" si="0"/>
        <v>#N/A</v>
      </c>
      <c r="E31" s="5" t="e">
        <f t="shared" si="1"/>
        <v>#N/A</v>
      </c>
      <c r="H31" s="14">
        <v>29</v>
      </c>
      <c r="I31">
        <v>127092</v>
      </c>
      <c r="J31" t="s">
        <v>942</v>
      </c>
      <c r="K31">
        <v>147.90799999999999</v>
      </c>
      <c r="L31" s="39">
        <v>0.1226</v>
      </c>
      <c r="M31" s="17">
        <v>7.2994060000000003</v>
      </c>
      <c r="N31" s="5" t="str">
        <f t="shared" si="3"/>
        <v>未买</v>
      </c>
      <c r="Q31" s="14">
        <v>29</v>
      </c>
      <c r="R31" s="7">
        <v>113039</v>
      </c>
      <c r="S31" s="7" t="s">
        <v>1028</v>
      </c>
      <c r="T31" s="7">
        <v>130.124</v>
      </c>
      <c r="U31" s="39">
        <v>0.15670000000000001</v>
      </c>
      <c r="V31" s="17">
        <v>2.8769399999999998</v>
      </c>
      <c r="W31" s="5" t="str">
        <f t="shared" si="2"/>
        <v>未买</v>
      </c>
    </row>
    <row r="32" spans="1:23" x14ac:dyDescent="0.15">
      <c r="A32" s="1"/>
      <c r="B32" s="1"/>
      <c r="C32" s="7" t="e">
        <f>VLOOKUP(A32,可转债实时数据!$B$7:$D$149,3,FALSE)</f>
        <v>#N/A</v>
      </c>
      <c r="D32" s="5" t="e">
        <f t="shared" si="0"/>
        <v>#N/A</v>
      </c>
      <c r="E32" s="5" t="e">
        <f t="shared" si="1"/>
        <v>#N/A</v>
      </c>
      <c r="H32" s="14">
        <v>30</v>
      </c>
      <c r="I32">
        <v>127037</v>
      </c>
      <c r="J32" t="s">
        <v>637</v>
      </c>
      <c r="K32">
        <v>183.684</v>
      </c>
      <c r="L32" s="39">
        <v>0.12770000000000001</v>
      </c>
      <c r="M32" s="17">
        <v>5.0716130000000001</v>
      </c>
      <c r="N32" s="5" t="str">
        <f t="shared" si="3"/>
        <v>未买</v>
      </c>
      <c r="Q32" s="14">
        <v>30</v>
      </c>
      <c r="R32" s="7">
        <v>123224</v>
      </c>
      <c r="S32" s="7" t="s">
        <v>1052</v>
      </c>
      <c r="T32" s="7">
        <v>122.25</v>
      </c>
      <c r="U32" s="39">
        <v>0.15679999999999999</v>
      </c>
      <c r="V32" s="17">
        <v>4.9996600000000004</v>
      </c>
      <c r="W32" s="5" t="str">
        <f t="shared" si="2"/>
        <v>未买</v>
      </c>
    </row>
    <row r="33" spans="1:23" x14ac:dyDescent="0.15">
      <c r="A33" s="1"/>
      <c r="B33" s="1"/>
      <c r="C33" s="7" t="e">
        <f>VLOOKUP(A33,可转债实时数据!$B$7:$D$149,3,FALSE)</f>
        <v>#N/A</v>
      </c>
      <c r="D33" s="5" t="e">
        <f t="shared" si="0"/>
        <v>#N/A</v>
      </c>
      <c r="E33" s="5" t="e">
        <f t="shared" si="1"/>
        <v>#N/A</v>
      </c>
      <c r="H33" s="14">
        <v>31</v>
      </c>
      <c r="I33">
        <v>123204</v>
      </c>
      <c r="J33" t="s">
        <v>895</v>
      </c>
      <c r="K33">
        <v>125.798</v>
      </c>
      <c r="L33" s="39">
        <v>0.1278</v>
      </c>
      <c r="M33" s="17">
        <v>6.1658609999999996</v>
      </c>
      <c r="N33" s="5" t="str">
        <f t="shared" si="3"/>
        <v>未买</v>
      </c>
      <c r="Q33" s="14">
        <v>31</v>
      </c>
      <c r="R33" s="7">
        <v>127069</v>
      </c>
      <c r="S33" s="7" t="s">
        <v>963</v>
      </c>
      <c r="T33" s="7">
        <v>129.97499999999999</v>
      </c>
      <c r="U33" s="39">
        <v>0.15890000000000001</v>
      </c>
      <c r="V33" s="17">
        <v>5.0410730000000008</v>
      </c>
      <c r="W33" s="5" t="str">
        <f t="shared" si="2"/>
        <v>未买</v>
      </c>
    </row>
    <row r="34" spans="1:23" x14ac:dyDescent="0.15">
      <c r="A34" s="1"/>
      <c r="B34" s="1"/>
      <c r="C34" s="7" t="e">
        <f>VLOOKUP(A34,可转债实时数据!$B$7:$D$149,3,FALSE)</f>
        <v>#N/A</v>
      </c>
      <c r="D34" s="5" t="e">
        <f t="shared" si="0"/>
        <v>#N/A</v>
      </c>
      <c r="E34" s="5" t="e">
        <f t="shared" si="1"/>
        <v>#N/A</v>
      </c>
      <c r="H34" s="14">
        <v>32</v>
      </c>
      <c r="I34">
        <v>113672</v>
      </c>
      <c r="J34" t="s">
        <v>1006</v>
      </c>
      <c r="K34">
        <v>132.71799999999999</v>
      </c>
      <c r="L34" s="39">
        <v>0.1313</v>
      </c>
      <c r="M34" s="17">
        <v>6.3849400000000003</v>
      </c>
      <c r="N34" s="5" t="str">
        <f t="shared" si="3"/>
        <v>未买</v>
      </c>
      <c r="Q34" s="14">
        <v>32</v>
      </c>
      <c r="R34" s="7">
        <v>123229</v>
      </c>
      <c r="S34" s="7" t="s">
        <v>1003</v>
      </c>
      <c r="T34" s="7">
        <v>123.26900000000001</v>
      </c>
      <c r="U34" s="39">
        <v>0.16500000000000001</v>
      </c>
      <c r="V34" s="17">
        <v>4.9997299999999996</v>
      </c>
      <c r="W34" s="5" t="str">
        <f t="shared" si="2"/>
        <v>未买</v>
      </c>
    </row>
    <row r="35" spans="1:23" x14ac:dyDescent="0.15">
      <c r="A35" s="1"/>
      <c r="B35" s="1"/>
      <c r="C35" s="7" t="e">
        <f>VLOOKUP(A35,可转债实时数据!$B$7:$D$149,3,FALSE)</f>
        <v>#N/A</v>
      </c>
      <c r="D35" s="5" t="e">
        <f t="shared" si="0"/>
        <v>#N/A</v>
      </c>
      <c r="E35" s="5" t="e">
        <f t="shared" si="1"/>
        <v>#N/A</v>
      </c>
      <c r="H35" s="14">
        <v>33</v>
      </c>
      <c r="I35">
        <v>123184</v>
      </c>
      <c r="J35" t="s">
        <v>947</v>
      </c>
      <c r="K35">
        <v>122.64400000000001</v>
      </c>
      <c r="L35" s="39">
        <v>0.14249999999999999</v>
      </c>
      <c r="M35" s="17">
        <v>9.7494750000000003</v>
      </c>
      <c r="N35" s="5" t="str">
        <f t="shared" si="3"/>
        <v>未买</v>
      </c>
      <c r="Q35" s="14">
        <v>33</v>
      </c>
      <c r="R35" s="7">
        <v>123219</v>
      </c>
      <c r="S35" s="7" t="s">
        <v>911</v>
      </c>
      <c r="T35" s="7">
        <v>125.646</v>
      </c>
      <c r="U35" s="39">
        <v>0.1686</v>
      </c>
      <c r="V35" s="17">
        <v>5.9998149999999999</v>
      </c>
      <c r="W35" s="5" t="str">
        <f t="shared" si="2"/>
        <v>未买</v>
      </c>
    </row>
    <row r="36" spans="1:23" x14ac:dyDescent="0.15">
      <c r="A36" s="1"/>
      <c r="B36" s="1"/>
      <c r="C36" s="7" t="e">
        <f>VLOOKUP(A36,可转债实时数据!$B$7:$D$149,3,FALSE)</f>
        <v>#N/A</v>
      </c>
      <c r="D36" s="5" t="e">
        <f t="shared" si="0"/>
        <v>#N/A</v>
      </c>
      <c r="E36" s="5" t="e">
        <f t="shared" si="1"/>
        <v>#N/A</v>
      </c>
      <c r="H36" s="14">
        <v>34</v>
      </c>
      <c r="I36">
        <v>123188</v>
      </c>
      <c r="J36" t="s">
        <v>997</v>
      </c>
      <c r="K36">
        <v>144.87299999999999</v>
      </c>
      <c r="L36" s="39">
        <v>0.14410000000000001</v>
      </c>
      <c r="M36" s="17">
        <v>6.948963</v>
      </c>
      <c r="N36" s="5" t="str">
        <f t="shared" si="3"/>
        <v>未买</v>
      </c>
      <c r="Q36" s="14">
        <v>34</v>
      </c>
      <c r="R36" s="7">
        <v>128091</v>
      </c>
      <c r="S36" s="7" t="s">
        <v>975</v>
      </c>
      <c r="T36" s="7">
        <v>143.27099999999999</v>
      </c>
      <c r="U36" s="39">
        <v>0.17249999999999999</v>
      </c>
      <c r="V36" s="17">
        <v>1.5190729999999999</v>
      </c>
      <c r="W36" s="5" t="str">
        <f t="shared" si="2"/>
        <v>未买</v>
      </c>
    </row>
    <row r="37" spans="1:23" x14ac:dyDescent="0.15">
      <c r="A37" s="1"/>
      <c r="B37" s="1"/>
      <c r="C37" s="7" t="e">
        <f>VLOOKUP(A37,可转债实时数据!$B$7:$D$149,3,FALSE)</f>
        <v>#N/A</v>
      </c>
      <c r="D37" s="5" t="e">
        <f t="shared" si="0"/>
        <v>#N/A</v>
      </c>
      <c r="E37" s="5" t="e">
        <f t="shared" si="1"/>
        <v>#N/A</v>
      </c>
      <c r="H37" s="14">
        <v>35</v>
      </c>
      <c r="I37">
        <v>127028</v>
      </c>
      <c r="J37" t="s">
        <v>39</v>
      </c>
      <c r="K37">
        <v>125.11799999999999</v>
      </c>
      <c r="L37" s="39">
        <v>0.1459</v>
      </c>
      <c r="M37" s="17">
        <v>4.0626689999999996</v>
      </c>
      <c r="N37" s="5" t="str">
        <f t="shared" si="3"/>
        <v>未买</v>
      </c>
      <c r="Q37" s="14">
        <v>35</v>
      </c>
      <c r="R37" s="7">
        <v>113651</v>
      </c>
      <c r="S37" s="7" t="s">
        <v>619</v>
      </c>
      <c r="T37" s="7">
        <v>130.03299999999999</v>
      </c>
      <c r="U37" s="39">
        <v>0.18170000000000003</v>
      </c>
      <c r="V37" s="17">
        <v>6.0994000000000002</v>
      </c>
      <c r="W37" s="5" t="str">
        <f t="shared" si="2"/>
        <v>未买</v>
      </c>
    </row>
    <row r="38" spans="1:23" x14ac:dyDescent="0.15">
      <c r="A38" s="1"/>
      <c r="B38" s="1"/>
      <c r="C38" s="7" t="e">
        <f>VLOOKUP(A38,可转债实时数据!$B$7:$D$149,3,FALSE)</f>
        <v>#N/A</v>
      </c>
      <c r="D38" s="5" t="e">
        <f t="shared" si="0"/>
        <v>#N/A</v>
      </c>
      <c r="E38" s="5" t="e">
        <f t="shared" si="1"/>
        <v>#N/A</v>
      </c>
      <c r="H38" s="14">
        <v>36</v>
      </c>
      <c r="I38">
        <v>128133</v>
      </c>
      <c r="J38" t="s">
        <v>1020</v>
      </c>
      <c r="K38">
        <v>123.8</v>
      </c>
      <c r="L38" s="39">
        <v>0.15090000000000001</v>
      </c>
      <c r="M38" s="17">
        <v>7.9925259999999998</v>
      </c>
      <c r="N38" s="5" t="str">
        <f t="shared" si="3"/>
        <v>未买</v>
      </c>
      <c r="Q38" s="14">
        <v>36</v>
      </c>
      <c r="R38" s="7">
        <v>123131</v>
      </c>
      <c r="S38" s="7" t="s">
        <v>635</v>
      </c>
      <c r="T38" s="7">
        <v>130.15100000000001</v>
      </c>
      <c r="U38" s="39">
        <v>0.182</v>
      </c>
      <c r="V38" s="17">
        <v>5.2101800000000003</v>
      </c>
      <c r="W38" s="5" t="str">
        <f t="shared" si="2"/>
        <v>未买</v>
      </c>
    </row>
    <row r="39" spans="1:23" x14ac:dyDescent="0.15">
      <c r="A39" s="1"/>
      <c r="B39" s="1"/>
      <c r="C39" s="7" t="e">
        <f>VLOOKUP(A39,可转债实时数据!$B$7:$D$149,3,FALSE)</f>
        <v>#N/A</v>
      </c>
      <c r="D39" s="5" t="e">
        <f t="shared" si="0"/>
        <v>#N/A</v>
      </c>
      <c r="E39" s="5" t="e">
        <f t="shared" si="1"/>
        <v>#N/A</v>
      </c>
      <c r="H39" s="14">
        <v>37</v>
      </c>
      <c r="I39">
        <v>127095</v>
      </c>
      <c r="J39" t="s">
        <v>999</v>
      </c>
      <c r="K39">
        <v>134.15899999999999</v>
      </c>
      <c r="L39" s="39">
        <v>0.15380000000000002</v>
      </c>
      <c r="M39" s="17">
        <v>6.9929969999999999</v>
      </c>
      <c r="N39" s="5" t="str">
        <f t="shared" si="3"/>
        <v>未买</v>
      </c>
      <c r="Q39" s="14">
        <v>37</v>
      </c>
      <c r="R39" s="7">
        <v>113588</v>
      </c>
      <c r="S39" s="7" t="s">
        <v>954</v>
      </c>
      <c r="T39" s="7">
        <v>146.5</v>
      </c>
      <c r="U39" s="39">
        <v>0.19800000000000001</v>
      </c>
      <c r="V39" s="17">
        <v>2.96862</v>
      </c>
      <c r="W39" s="5" t="str">
        <f t="shared" si="2"/>
        <v>Yes</v>
      </c>
    </row>
    <row r="40" spans="1:23" x14ac:dyDescent="0.15">
      <c r="A40" s="1"/>
      <c r="B40" s="1"/>
      <c r="C40" s="7" t="e">
        <f>VLOOKUP(A40,可转债实时数据!$B$7:$D$149,3,FALSE)</f>
        <v>#N/A</v>
      </c>
      <c r="D40" s="5" t="e">
        <f t="shared" si="0"/>
        <v>#N/A</v>
      </c>
      <c r="E40" s="5" t="e">
        <f t="shared" si="1"/>
        <v>#N/A</v>
      </c>
      <c r="H40" s="14">
        <v>38</v>
      </c>
      <c r="I40">
        <v>113039</v>
      </c>
      <c r="J40" t="s">
        <v>1028</v>
      </c>
      <c r="K40">
        <v>130.124</v>
      </c>
      <c r="L40" s="39">
        <v>0.15670000000000001</v>
      </c>
      <c r="M40" s="17">
        <v>2.8769399999999998</v>
      </c>
      <c r="N40" s="5" t="str">
        <f t="shared" si="3"/>
        <v>未买</v>
      </c>
      <c r="Q40" s="14">
        <v>38</v>
      </c>
      <c r="R40" s="7">
        <v>123187</v>
      </c>
      <c r="S40" s="7" t="s">
        <v>961</v>
      </c>
      <c r="T40" s="7">
        <v>119.752</v>
      </c>
      <c r="U40" s="39">
        <v>0.20269999999999999</v>
      </c>
      <c r="V40" s="17">
        <v>4.5274780000000003</v>
      </c>
      <c r="W40" s="5" t="str">
        <f t="shared" si="2"/>
        <v>未买</v>
      </c>
    </row>
    <row r="41" spans="1:23" x14ac:dyDescent="0.15">
      <c r="C41" s="7" t="e">
        <f>VLOOKUP(A41,可转债实时数据!$B$7:$D$149,3,FALSE)</f>
        <v>#N/A</v>
      </c>
      <c r="D41" s="5" t="e">
        <f t="shared" si="0"/>
        <v>#N/A</v>
      </c>
      <c r="E41" s="5" t="e">
        <f t="shared" si="1"/>
        <v>#N/A</v>
      </c>
      <c r="H41" s="14">
        <v>39</v>
      </c>
      <c r="I41">
        <v>123224</v>
      </c>
      <c r="J41" t="s">
        <v>1052</v>
      </c>
      <c r="K41">
        <v>122.25</v>
      </c>
      <c r="L41" s="39">
        <v>0.15679999999999999</v>
      </c>
      <c r="M41" s="17">
        <v>4.9996600000000004</v>
      </c>
      <c r="N41" s="5" t="str">
        <f t="shared" si="3"/>
        <v>未买</v>
      </c>
      <c r="Q41" s="14">
        <v>39</v>
      </c>
      <c r="R41" s="7">
        <v>113676</v>
      </c>
      <c r="S41" s="7" t="s">
        <v>1024</v>
      </c>
      <c r="T41" s="7">
        <v>120.12</v>
      </c>
      <c r="U41" s="39">
        <v>0.20749999999999999</v>
      </c>
      <c r="V41" s="17">
        <v>5.7595900000000002</v>
      </c>
      <c r="W41" s="5" t="str">
        <f t="shared" si="2"/>
        <v>未买</v>
      </c>
    </row>
    <row r="42" spans="1:23" x14ac:dyDescent="0.15">
      <c r="C42" s="7" t="e">
        <f>VLOOKUP(A42,可转债实时数据!$B$7:$D$149,3,FALSE)</f>
        <v>#N/A</v>
      </c>
      <c r="D42" s="5" t="e">
        <f t="shared" si="0"/>
        <v>#N/A</v>
      </c>
      <c r="E42" s="5" t="e">
        <f t="shared" si="1"/>
        <v>#N/A</v>
      </c>
      <c r="H42" s="14">
        <v>40</v>
      </c>
      <c r="I42">
        <v>127069</v>
      </c>
      <c r="J42" t="s">
        <v>963</v>
      </c>
      <c r="K42">
        <v>129.97499999999999</v>
      </c>
      <c r="L42" s="39">
        <v>0.15890000000000001</v>
      </c>
      <c r="M42" s="17">
        <v>5.0410730000000008</v>
      </c>
      <c r="N42" s="5" t="str">
        <f t="shared" si="3"/>
        <v>未买</v>
      </c>
      <c r="Q42" s="14">
        <v>40</v>
      </c>
      <c r="R42" s="7">
        <v>127054</v>
      </c>
      <c r="S42" s="7" t="s">
        <v>897</v>
      </c>
      <c r="T42" s="7">
        <v>122.81699999999999</v>
      </c>
      <c r="U42" s="39">
        <v>0.21479999999999999</v>
      </c>
      <c r="V42" s="17">
        <v>5.1360530000000004</v>
      </c>
      <c r="W42" s="5" t="str">
        <f t="shared" si="2"/>
        <v>未买</v>
      </c>
    </row>
    <row r="43" spans="1:23" x14ac:dyDescent="0.15">
      <c r="C43" s="7" t="e">
        <f>VLOOKUP(A43,可转债实时数据!$B$7:$D$149,3,FALSE)</f>
        <v>#N/A</v>
      </c>
      <c r="D43" s="5" t="e">
        <f t="shared" si="0"/>
        <v>#N/A</v>
      </c>
      <c r="E43" s="5" t="e">
        <f t="shared" si="1"/>
        <v>#N/A</v>
      </c>
      <c r="H43" s="14">
        <v>41</v>
      </c>
      <c r="I43">
        <v>123213</v>
      </c>
      <c r="J43" t="s">
        <v>1025</v>
      </c>
      <c r="K43">
        <v>121.78</v>
      </c>
      <c r="L43" s="39">
        <v>0.1636</v>
      </c>
      <c r="M43" s="17">
        <v>9.9997799999999994</v>
      </c>
      <c r="N43" s="5" t="str">
        <f t="shared" si="3"/>
        <v>未买</v>
      </c>
      <c r="Q43" s="14">
        <v>41</v>
      </c>
      <c r="R43" s="7">
        <v>127055</v>
      </c>
      <c r="S43" s="7" t="s">
        <v>912</v>
      </c>
      <c r="T43" s="7">
        <v>115.09099999999999</v>
      </c>
      <c r="U43" s="39">
        <v>0.21739999999999998</v>
      </c>
      <c r="V43" s="17">
        <v>5.7660080000000002</v>
      </c>
      <c r="W43" s="5" t="str">
        <f t="shared" si="2"/>
        <v>未买</v>
      </c>
    </row>
    <row r="44" spans="1:23" x14ac:dyDescent="0.15">
      <c r="C44" s="7" t="e">
        <f>VLOOKUP(A44,可转债实时数据!$B$7:$D$149,3,FALSE)</f>
        <v>#N/A</v>
      </c>
      <c r="D44" s="5" t="e">
        <f t="shared" si="0"/>
        <v>#N/A</v>
      </c>
      <c r="E44" s="5" t="e">
        <f t="shared" si="1"/>
        <v>#N/A</v>
      </c>
      <c r="H44" s="14">
        <v>42</v>
      </c>
      <c r="I44" s="7">
        <v>123229</v>
      </c>
      <c r="J44" s="7" t="s">
        <v>1003</v>
      </c>
      <c r="K44" s="7">
        <v>123.26900000000001</v>
      </c>
      <c r="L44" s="40">
        <v>0.16500000000000001</v>
      </c>
      <c r="M44" s="29">
        <v>4.9997299999999996</v>
      </c>
      <c r="N44" s="5" t="str">
        <f>IF(ISNA(MATCH(I44,$A$3:$A$130,0)),"未买","Yes")</f>
        <v>未买</v>
      </c>
      <c r="Q44" s="14">
        <v>42</v>
      </c>
      <c r="R44" s="7">
        <v>113674</v>
      </c>
      <c r="S44" s="7" t="s">
        <v>1017</v>
      </c>
      <c r="T44" s="7">
        <v>132</v>
      </c>
      <c r="U44" s="40">
        <v>0.21829999999999999</v>
      </c>
      <c r="V44" s="29">
        <v>3.9992899999999998</v>
      </c>
      <c r="W44" s="5" t="str">
        <f t="shared" si="2"/>
        <v>未买</v>
      </c>
    </row>
    <row r="45" spans="1:23" x14ac:dyDescent="0.15">
      <c r="C45" s="7" t="e">
        <f>VLOOKUP(A45,可转债实时数据!$B$7:$D$149,3,FALSE)</f>
        <v>#N/A</v>
      </c>
      <c r="D45" s="5" t="e">
        <f t="shared" si="0"/>
        <v>#N/A</v>
      </c>
      <c r="E45" s="5" t="e">
        <f t="shared" si="1"/>
        <v>#N/A</v>
      </c>
      <c r="H45" s="14">
        <v>43</v>
      </c>
      <c r="I45" s="7">
        <v>123219</v>
      </c>
      <c r="J45" s="7" t="s">
        <v>911</v>
      </c>
      <c r="K45" s="7">
        <v>125.646</v>
      </c>
      <c r="L45" s="40">
        <v>0.1686</v>
      </c>
      <c r="M45" s="29">
        <v>5.9998149999999999</v>
      </c>
      <c r="N45" s="5" t="str">
        <f t="shared" si="3"/>
        <v>未买</v>
      </c>
      <c r="Q45" s="14">
        <v>43</v>
      </c>
      <c r="R45" s="7">
        <v>123206</v>
      </c>
      <c r="S45" s="7" t="s">
        <v>900</v>
      </c>
      <c r="T45" s="7">
        <v>127.411</v>
      </c>
      <c r="U45" s="40">
        <v>0.2296</v>
      </c>
      <c r="V45" s="29">
        <v>2.4982410000000002</v>
      </c>
      <c r="W45" s="5" t="str">
        <f t="shared" si="2"/>
        <v>未买</v>
      </c>
    </row>
    <row r="46" spans="1:23" x14ac:dyDescent="0.15">
      <c r="C46" s="7" t="e">
        <f>VLOOKUP(A46,可转债实时数据!$B$7:$D$149,3,FALSE)</f>
        <v>#N/A</v>
      </c>
      <c r="D46" s="5" t="e">
        <f t="shared" si="0"/>
        <v>#N/A</v>
      </c>
      <c r="E46" s="5" t="e">
        <f t="shared" si="1"/>
        <v>#N/A</v>
      </c>
      <c r="H46" s="14">
        <v>44</v>
      </c>
      <c r="I46" s="7">
        <v>123225</v>
      </c>
      <c r="J46" s="7" t="s">
        <v>941</v>
      </c>
      <c r="K46" s="7">
        <v>123.125</v>
      </c>
      <c r="L46" s="40">
        <v>0.1704</v>
      </c>
      <c r="M46" s="29">
        <v>7.9925579999999998</v>
      </c>
      <c r="N46" s="5" t="str">
        <f t="shared" si="3"/>
        <v>未买</v>
      </c>
      <c r="Q46" s="14">
        <v>44</v>
      </c>
      <c r="R46" s="7">
        <v>128128</v>
      </c>
      <c r="S46" s="7" t="s">
        <v>1060</v>
      </c>
      <c r="T46" s="7">
        <v>122.57</v>
      </c>
      <c r="U46" s="40">
        <v>0.23010000000000003</v>
      </c>
      <c r="V46" s="29">
        <v>6.7946759999999999</v>
      </c>
      <c r="W46" s="5" t="str">
        <f t="shared" si="2"/>
        <v>未买</v>
      </c>
    </row>
    <row r="47" spans="1:23" x14ac:dyDescent="0.15">
      <c r="C47" s="7" t="e">
        <f>VLOOKUP(A47,可转债实时数据!$B$7:$D$149,3,FALSE)</f>
        <v>#N/A</v>
      </c>
      <c r="D47" s="5" t="e">
        <f t="shared" si="0"/>
        <v>#N/A</v>
      </c>
      <c r="E47" s="5" t="e">
        <f t="shared" si="1"/>
        <v>#N/A</v>
      </c>
      <c r="H47" s="14">
        <v>45</v>
      </c>
      <c r="I47" s="7">
        <v>128091</v>
      </c>
      <c r="J47" s="7" t="s">
        <v>975</v>
      </c>
      <c r="K47" s="7">
        <v>143.27099999999999</v>
      </c>
      <c r="L47" s="40">
        <v>0.17249999999999999</v>
      </c>
      <c r="M47" s="29">
        <v>1.5190729999999999</v>
      </c>
      <c r="N47" s="5" t="str">
        <f t="shared" si="3"/>
        <v>未买</v>
      </c>
      <c r="Q47" s="14">
        <v>45</v>
      </c>
      <c r="R47" s="7">
        <v>111002</v>
      </c>
      <c r="S47" s="7" t="s">
        <v>1035</v>
      </c>
      <c r="T47" s="7">
        <v>122.795</v>
      </c>
      <c r="U47" s="40">
        <v>0.23050000000000001</v>
      </c>
      <c r="V47" s="29">
        <v>6.6193099999999996</v>
      </c>
      <c r="W47" s="5" t="str">
        <f t="shared" si="2"/>
        <v>未买</v>
      </c>
    </row>
    <row r="48" spans="1:23" x14ac:dyDescent="0.15">
      <c r="C48" s="7" t="e">
        <f>VLOOKUP(A48,可转债实时数据!$B$7:$D$149,3,FALSE)</f>
        <v>#N/A</v>
      </c>
      <c r="D48" s="5" t="e">
        <f t="shared" si="0"/>
        <v>#N/A</v>
      </c>
      <c r="E48" s="5" t="e">
        <f t="shared" si="1"/>
        <v>#N/A</v>
      </c>
      <c r="H48" s="14">
        <v>46</v>
      </c>
      <c r="I48" s="7">
        <v>113634</v>
      </c>
      <c r="J48" s="7" t="s">
        <v>1036</v>
      </c>
      <c r="K48" s="7">
        <v>132.125</v>
      </c>
      <c r="L48" s="40">
        <v>0.17579999999999998</v>
      </c>
      <c r="M48" s="29">
        <v>7.5076700000000001</v>
      </c>
      <c r="N48" s="5" t="str">
        <f t="shared" si="3"/>
        <v>未买</v>
      </c>
      <c r="Q48" s="14">
        <v>46</v>
      </c>
      <c r="R48" s="7">
        <v>123191</v>
      </c>
      <c r="S48" s="7" t="s">
        <v>974</v>
      </c>
      <c r="T48" s="7">
        <v>117.8</v>
      </c>
      <c r="U48" s="40">
        <v>0.24199999999999999</v>
      </c>
      <c r="V48" s="29">
        <v>6.9956589999999998</v>
      </c>
      <c r="W48" s="5" t="str">
        <f t="shared" si="2"/>
        <v>未买</v>
      </c>
    </row>
    <row r="49" spans="3:23" x14ac:dyDescent="0.15">
      <c r="C49" s="7" t="e">
        <f>VLOOKUP(A49,可转债实时数据!$B$7:$D$149,3,FALSE)</f>
        <v>#N/A</v>
      </c>
      <c r="D49" s="5" t="e">
        <f t="shared" si="0"/>
        <v>#N/A</v>
      </c>
      <c r="E49" s="5" t="e">
        <f t="shared" si="1"/>
        <v>#N/A</v>
      </c>
      <c r="H49" s="14">
        <v>47</v>
      </c>
      <c r="I49" s="7">
        <v>110084</v>
      </c>
      <c r="J49" s="7" t="s">
        <v>49</v>
      </c>
      <c r="K49" s="7">
        <v>122.351</v>
      </c>
      <c r="L49" s="40">
        <v>0.17920000000000003</v>
      </c>
      <c r="M49" s="29">
        <v>9.1513299999999997</v>
      </c>
      <c r="N49" s="5" t="str">
        <f t="shared" si="3"/>
        <v>未买</v>
      </c>
      <c r="Q49" s="14">
        <v>47</v>
      </c>
      <c r="R49" s="7">
        <v>113628</v>
      </c>
      <c r="S49" s="7" t="s">
        <v>886</v>
      </c>
      <c r="T49" s="7">
        <v>114.11</v>
      </c>
      <c r="U49" s="40">
        <v>0.2432</v>
      </c>
      <c r="V49" s="29">
        <v>4.1492300000000002</v>
      </c>
      <c r="W49" s="5" t="str">
        <f t="shared" si="2"/>
        <v>Yes</v>
      </c>
    </row>
    <row r="50" spans="3:23" x14ac:dyDescent="0.15">
      <c r="C50" s="7" t="e">
        <f>VLOOKUP(A50,可转债实时数据!$B$7:$D$149,3,FALSE)</f>
        <v>#N/A</v>
      </c>
      <c r="D50" s="5" t="e">
        <f t="shared" si="0"/>
        <v>#N/A</v>
      </c>
      <c r="E50" s="5" t="e">
        <f t="shared" si="1"/>
        <v>#N/A</v>
      </c>
      <c r="H50" s="14">
        <v>48</v>
      </c>
      <c r="I50" s="7">
        <v>113651</v>
      </c>
      <c r="J50" s="7" t="s">
        <v>619</v>
      </c>
      <c r="K50" s="7">
        <v>130.03299999999999</v>
      </c>
      <c r="L50" s="40">
        <v>0.18170000000000003</v>
      </c>
      <c r="M50" s="29">
        <v>6.0994000000000002</v>
      </c>
      <c r="N50" s="5" t="str">
        <f t="shared" si="3"/>
        <v>未买</v>
      </c>
      <c r="Q50" s="14">
        <v>48</v>
      </c>
      <c r="R50" s="7">
        <v>123203</v>
      </c>
      <c r="S50" s="7" t="s">
        <v>1059</v>
      </c>
      <c r="T50" s="7">
        <v>118.17400000000001</v>
      </c>
      <c r="U50" s="40">
        <v>0.24890000000000001</v>
      </c>
      <c r="V50" s="29">
        <v>4.4836019999999994</v>
      </c>
      <c r="W50" s="5" t="str">
        <f t="shared" si="2"/>
        <v>未买</v>
      </c>
    </row>
    <row r="51" spans="3:23" x14ac:dyDescent="0.15">
      <c r="C51" s="7" t="e">
        <f>VLOOKUP(A51,可转债实时数据!$B$7:$D$149,3,FALSE)</f>
        <v>#N/A</v>
      </c>
      <c r="D51" s="5" t="e">
        <f t="shared" si="0"/>
        <v>#N/A</v>
      </c>
      <c r="E51" s="5" t="e">
        <f t="shared" si="1"/>
        <v>#N/A</v>
      </c>
      <c r="H51" s="14">
        <v>49</v>
      </c>
      <c r="I51" s="7">
        <v>123131</v>
      </c>
      <c r="J51" s="7" t="s">
        <v>635</v>
      </c>
      <c r="K51" s="7">
        <v>130.15100000000001</v>
      </c>
      <c r="L51" s="40">
        <v>0.182</v>
      </c>
      <c r="M51" s="29">
        <v>5.2101800000000003</v>
      </c>
      <c r="N51" s="5" t="str">
        <f t="shared" si="3"/>
        <v>未买</v>
      </c>
      <c r="Q51" s="14">
        <v>49</v>
      </c>
      <c r="R51" s="7">
        <v>127053</v>
      </c>
      <c r="S51" s="7" t="s">
        <v>1027</v>
      </c>
      <c r="T51" s="7">
        <v>123.45699999999999</v>
      </c>
      <c r="U51" s="40">
        <v>0.25129999999999997</v>
      </c>
      <c r="V51" s="29">
        <v>4.8162739999999999</v>
      </c>
      <c r="W51" s="5" t="str">
        <f t="shared" si="2"/>
        <v>未买</v>
      </c>
    </row>
    <row r="52" spans="3:23" x14ac:dyDescent="0.15">
      <c r="C52" s="7" t="e">
        <f>VLOOKUP(A52,可转债实时数据!$B$7:$D$149,3,FALSE)</f>
        <v>#N/A</v>
      </c>
      <c r="D52" s="5" t="e">
        <f t="shared" si="0"/>
        <v>#N/A</v>
      </c>
      <c r="E52" s="5" t="e">
        <f t="shared" si="1"/>
        <v>#N/A</v>
      </c>
      <c r="H52" s="14">
        <v>50</v>
      </c>
      <c r="I52" s="7">
        <v>113588</v>
      </c>
      <c r="J52" s="7" t="s">
        <v>954</v>
      </c>
      <c r="K52" s="7">
        <v>146.5</v>
      </c>
      <c r="L52" s="40">
        <v>0.19800000000000001</v>
      </c>
      <c r="M52" s="29">
        <v>2.96862</v>
      </c>
      <c r="N52" s="5" t="str">
        <f t="shared" si="3"/>
        <v>Yes</v>
      </c>
      <c r="Q52" s="14">
        <v>50</v>
      </c>
      <c r="R52" s="7">
        <v>123202</v>
      </c>
      <c r="S52" s="7" t="s">
        <v>893</v>
      </c>
      <c r="T52" s="7">
        <v>116.20099999999999</v>
      </c>
      <c r="U52" s="40">
        <v>0.25600000000000001</v>
      </c>
      <c r="V52" s="29">
        <v>4.5992730000000002</v>
      </c>
      <c r="W52" s="5" t="str">
        <f t="shared" si="2"/>
        <v>未买</v>
      </c>
    </row>
    <row r="53" spans="3:23" x14ac:dyDescent="0.15">
      <c r="C53" s="7" t="e">
        <f>VLOOKUP(A53,可转债实时数据!$B$7:$D$149,3,FALSE)</f>
        <v>#N/A</v>
      </c>
      <c r="D53" s="5" t="e">
        <f t="shared" si="0"/>
        <v>#N/A</v>
      </c>
      <c r="E53" s="5" t="e">
        <f t="shared" si="1"/>
        <v>#N/A</v>
      </c>
    </row>
    <row r="54" spans="3:23" x14ac:dyDescent="0.15">
      <c r="C54" s="7" t="e">
        <f>VLOOKUP(A54,可转债实时数据!$B$7:$D$149,3,FALSE)</f>
        <v>#N/A</v>
      </c>
      <c r="D54" s="5" t="e">
        <f t="shared" si="0"/>
        <v>#N/A</v>
      </c>
      <c r="E54" s="5" t="e">
        <f t="shared" si="1"/>
        <v>#N/A</v>
      </c>
    </row>
    <row r="55" spans="3:23" x14ac:dyDescent="0.15">
      <c r="C55" s="7" t="e">
        <f>VLOOKUP(A55,可转债实时数据!$B$7:$D$149,3,FALSE)</f>
        <v>#N/A</v>
      </c>
      <c r="D55" s="5" t="e">
        <f t="shared" si="0"/>
        <v>#N/A</v>
      </c>
      <c r="E55" s="5" t="e">
        <f t="shared" si="1"/>
        <v>#N/A</v>
      </c>
    </row>
    <row r="56" spans="3:23" x14ac:dyDescent="0.15">
      <c r="C56" s="7" t="e">
        <f>VLOOKUP(A56,可转债实时数据!$B$7:$D$149,3,FALSE)</f>
        <v>#N/A</v>
      </c>
      <c r="D56" s="5" t="e">
        <f t="shared" si="0"/>
        <v>#N/A</v>
      </c>
      <c r="E56" s="5" t="e">
        <f t="shared" si="1"/>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topLeftCell="C1" zoomScaleNormal="100" workbookViewId="0">
      <pane ySplit="2" topLeftCell="A16" activePane="bottomLeft" state="frozen"/>
      <selection pane="bottomLeft" activeCell="M32" sqref="M32"/>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0"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0" bestFit="1" customWidth="1"/>
    <col min="23" max="23" width="10.125" style="29" customWidth="1"/>
    <col min="24" max="24" width="12.25" style="7" bestFit="1" customWidth="1"/>
    <col min="25" max="16384" width="9" style="7"/>
  </cols>
  <sheetData>
    <row r="1" spans="1:24" x14ac:dyDescent="0.15">
      <c r="A1" s="8" t="s">
        <v>51</v>
      </c>
      <c r="B1" s="8"/>
      <c r="C1" s="35" t="s">
        <v>378</v>
      </c>
      <c r="D1" s="12"/>
      <c r="E1" s="12"/>
      <c r="I1" s="8" t="s">
        <v>363</v>
      </c>
      <c r="J1" s="8"/>
      <c r="K1" s="30" t="s">
        <v>364</v>
      </c>
      <c r="L1" s="37"/>
      <c r="M1" s="30"/>
      <c r="N1" s="30"/>
      <c r="O1" s="30"/>
      <c r="P1" s="30"/>
      <c r="S1" s="8" t="s">
        <v>614</v>
      </c>
      <c r="V1" s="7"/>
      <c r="W1" s="7"/>
    </row>
    <row r="2" spans="1:24" s="6" customFormat="1" x14ac:dyDescent="0.15">
      <c r="A2" s="6" t="s">
        <v>38</v>
      </c>
      <c r="B2" s="6" t="s">
        <v>37</v>
      </c>
      <c r="C2" s="6" t="s">
        <v>356</v>
      </c>
      <c r="D2" s="4" t="s">
        <v>606</v>
      </c>
      <c r="E2" s="4" t="s">
        <v>607</v>
      </c>
      <c r="H2" s="15"/>
      <c r="I2" s="6" t="s">
        <v>357</v>
      </c>
      <c r="J2" s="6" t="s">
        <v>358</v>
      </c>
      <c r="K2" s="6" t="s">
        <v>356</v>
      </c>
      <c r="L2" s="38" t="s">
        <v>29</v>
      </c>
      <c r="M2" s="6" t="s">
        <v>359</v>
      </c>
      <c r="N2" s="28" t="s">
        <v>360</v>
      </c>
      <c r="O2" s="4" t="s">
        <v>46</v>
      </c>
      <c r="R2" s="15"/>
      <c r="S2" s="6" t="s">
        <v>357</v>
      </c>
      <c r="T2" s="6" t="s">
        <v>358</v>
      </c>
      <c r="U2" s="6" t="s">
        <v>356</v>
      </c>
      <c r="V2" s="38" t="s">
        <v>29</v>
      </c>
      <c r="W2" s="28" t="s">
        <v>360</v>
      </c>
      <c r="X2" s="4" t="s">
        <v>46</v>
      </c>
    </row>
    <row r="3" spans="1:24" s="3" customFormat="1" x14ac:dyDescent="0.15">
      <c r="A3" s="3">
        <v>123038</v>
      </c>
      <c r="B3" s="3" t="s">
        <v>981</v>
      </c>
      <c r="C3" s="3">
        <f>VLOOKUP(A3,可转债实时数据!$B$7:$D$149,3,FALSE)</f>
        <v>137</v>
      </c>
      <c r="D3" s="5">
        <f t="shared" ref="D3:D16" si="0">MATCH(A3,$I$1:$I$290,0)-2</f>
        <v>36</v>
      </c>
      <c r="E3" s="5" t="e">
        <f t="shared" ref="E3:E16" si="1">MATCH(A3,$S$1:$S$44,0)-2</f>
        <v>#N/A</v>
      </c>
      <c r="H3" s="16">
        <v>1</v>
      </c>
      <c r="I3">
        <v>123201</v>
      </c>
      <c r="J3" t="s">
        <v>892</v>
      </c>
      <c r="K3">
        <v>124.48</v>
      </c>
      <c r="L3" s="39">
        <v>0.11380000000000001</v>
      </c>
      <c r="M3">
        <v>135.86000000000001</v>
      </c>
      <c r="N3" s="17">
        <v>3.4951160000000008</v>
      </c>
      <c r="O3" s="5" t="str">
        <f t="shared" ref="O3:O30" si="2">IF(ISNA(MATCH(I3,$A$3:$A$290,0)),"未买","Yes")</f>
        <v>未买</v>
      </c>
      <c r="R3" s="16">
        <v>1</v>
      </c>
      <c r="S3" s="7">
        <v>123044</v>
      </c>
      <c r="T3" s="7" t="s">
        <v>1009</v>
      </c>
      <c r="U3" s="7">
        <v>127.601</v>
      </c>
      <c r="V3" s="39">
        <v>-4.0000000000000001E-3</v>
      </c>
      <c r="W3" s="17">
        <v>4.2898649999999998</v>
      </c>
      <c r="X3" s="5" t="str">
        <f t="shared" ref="X3:X28" si="3">IF(ISNA(MATCH(S3,$A$3:$A$290,0)),"未买","Yes")</f>
        <v>未买</v>
      </c>
    </row>
    <row r="4" spans="1:24" s="3" customFormat="1" x14ac:dyDescent="0.15">
      <c r="A4" s="3">
        <v>123050</v>
      </c>
      <c r="B4" s="3" t="s">
        <v>903</v>
      </c>
      <c r="C4" s="3" t="e">
        <f>VLOOKUP(A4,可转债实时数据!$B$7:$D$149,3,FALSE)</f>
        <v>#N/A</v>
      </c>
      <c r="D4" s="5" t="e">
        <f t="shared" si="0"/>
        <v>#N/A</v>
      </c>
      <c r="E4" s="5" t="e">
        <f t="shared" si="1"/>
        <v>#N/A</v>
      </c>
      <c r="H4" s="16">
        <v>2</v>
      </c>
      <c r="I4">
        <v>128123</v>
      </c>
      <c r="J4" t="s">
        <v>966</v>
      </c>
      <c r="K4">
        <v>134.08600000000001</v>
      </c>
      <c r="L4" s="39">
        <v>1.83E-2</v>
      </c>
      <c r="M4">
        <v>135.91600000000003</v>
      </c>
      <c r="N4" s="17">
        <v>3.1302699999999999</v>
      </c>
      <c r="O4" s="5" t="str">
        <f t="shared" si="2"/>
        <v>Yes</v>
      </c>
      <c r="R4" s="16">
        <v>2</v>
      </c>
      <c r="S4" s="7">
        <v>128123</v>
      </c>
      <c r="T4" s="7" t="s">
        <v>966</v>
      </c>
      <c r="U4" s="7">
        <v>134.08600000000001</v>
      </c>
      <c r="V4" s="39">
        <v>1.83E-2</v>
      </c>
      <c r="W4" s="17">
        <v>3.1302699999999999</v>
      </c>
      <c r="X4" s="5" t="str">
        <f t="shared" si="3"/>
        <v>Yes</v>
      </c>
    </row>
    <row r="5" spans="1:24" x14ac:dyDescent="0.15">
      <c r="A5" s="7">
        <v>123054</v>
      </c>
      <c r="B5" s="7" t="s">
        <v>982</v>
      </c>
      <c r="C5" s="3">
        <f>VLOOKUP(A5,可转债实时数据!$B$7:$D$149,3,FALSE)</f>
        <v>135.12700000000001</v>
      </c>
      <c r="D5" s="5">
        <f t="shared" si="0"/>
        <v>34</v>
      </c>
      <c r="E5" s="5" t="e">
        <f t="shared" si="1"/>
        <v>#N/A</v>
      </c>
      <c r="H5" s="16">
        <v>3</v>
      </c>
      <c r="I5">
        <v>123207</v>
      </c>
      <c r="J5" t="s">
        <v>899</v>
      </c>
      <c r="K5">
        <v>111.19799999999999</v>
      </c>
      <c r="L5" s="39">
        <v>0.26219999999999999</v>
      </c>
      <c r="M5">
        <v>137.41800000000001</v>
      </c>
      <c r="N5" s="17">
        <v>3.9989170000000001</v>
      </c>
      <c r="O5" s="5" t="str">
        <f t="shared" si="2"/>
        <v>未买</v>
      </c>
      <c r="R5" s="16">
        <v>3</v>
      </c>
      <c r="S5" s="7">
        <v>123143</v>
      </c>
      <c r="T5" s="7" t="s">
        <v>1054</v>
      </c>
      <c r="U5" s="7">
        <v>148.5</v>
      </c>
      <c r="V5" s="39">
        <v>3.9300000000000002E-2</v>
      </c>
      <c r="W5" s="17">
        <v>2.690442</v>
      </c>
      <c r="X5" s="5" t="str">
        <f t="shared" si="3"/>
        <v>未买</v>
      </c>
    </row>
    <row r="6" spans="1:24" x14ac:dyDescent="0.15">
      <c r="A6" s="7">
        <v>123080</v>
      </c>
      <c r="B6" s="7" t="s">
        <v>36</v>
      </c>
      <c r="C6" s="3" t="e">
        <f>VLOOKUP(A6,可转债实时数据!$B$7:$D$149,3,FALSE)</f>
        <v>#N/A</v>
      </c>
      <c r="D6" s="5" t="e">
        <f t="shared" si="0"/>
        <v>#N/A</v>
      </c>
      <c r="E6" s="5" t="e">
        <f t="shared" si="1"/>
        <v>#N/A</v>
      </c>
      <c r="H6" s="16">
        <v>4</v>
      </c>
      <c r="I6">
        <v>123092</v>
      </c>
      <c r="J6" t="s">
        <v>891</v>
      </c>
      <c r="K6">
        <v>129.648</v>
      </c>
      <c r="L6" s="39">
        <v>0.10929999999999999</v>
      </c>
      <c r="M6">
        <v>140.578</v>
      </c>
      <c r="N6" s="17">
        <v>3.9874019999999994</v>
      </c>
      <c r="O6" s="5" t="str">
        <f t="shared" si="2"/>
        <v>未买</v>
      </c>
      <c r="R6" s="16">
        <v>4</v>
      </c>
      <c r="S6" s="7">
        <v>123209</v>
      </c>
      <c r="T6" s="7" t="s">
        <v>1013</v>
      </c>
      <c r="U6" s="7">
        <v>148.30000000000001</v>
      </c>
      <c r="V6" s="39">
        <v>4.2099999999999999E-2</v>
      </c>
      <c r="W6" s="17">
        <v>2.1518389999999998</v>
      </c>
      <c r="X6" s="5" t="str">
        <f t="shared" si="3"/>
        <v>未买</v>
      </c>
    </row>
    <row r="7" spans="1:24" x14ac:dyDescent="0.15">
      <c r="A7" s="7">
        <v>123107</v>
      </c>
      <c r="B7" s="7" t="s">
        <v>983</v>
      </c>
      <c r="C7" s="3" t="e">
        <f>VLOOKUP(A7,可转债实时数据!$B$7:$D$149,3,FALSE)</f>
        <v>#N/A</v>
      </c>
      <c r="D7" s="5" t="e">
        <f t="shared" si="0"/>
        <v>#N/A</v>
      </c>
      <c r="E7" s="5" t="e">
        <f t="shared" si="1"/>
        <v>#N/A</v>
      </c>
      <c r="H7" s="16">
        <v>5</v>
      </c>
      <c r="I7">
        <v>113546</v>
      </c>
      <c r="J7" t="s">
        <v>40</v>
      </c>
      <c r="K7">
        <v>132.012</v>
      </c>
      <c r="L7" s="39">
        <v>9.98E-2</v>
      </c>
      <c r="M7">
        <v>141.99199999999999</v>
      </c>
      <c r="N7" s="17">
        <v>2.29501</v>
      </c>
      <c r="O7" s="5" t="str">
        <f t="shared" si="2"/>
        <v>未买</v>
      </c>
      <c r="R7" s="16">
        <v>5</v>
      </c>
      <c r="S7" s="7">
        <v>111015</v>
      </c>
      <c r="T7" s="7" t="s">
        <v>894</v>
      </c>
      <c r="U7" s="7">
        <v>121.574</v>
      </c>
      <c r="V7" s="39">
        <v>4.6199999999999998E-2</v>
      </c>
      <c r="W7" s="17">
        <v>6.6623999999999999</v>
      </c>
      <c r="X7" s="5" t="str">
        <f t="shared" si="3"/>
        <v>未买</v>
      </c>
    </row>
    <row r="8" spans="1:24" x14ac:dyDescent="0.15">
      <c r="A8" s="7">
        <v>123129</v>
      </c>
      <c r="B8" s="7" t="s">
        <v>45</v>
      </c>
      <c r="C8" s="3">
        <f>VLOOKUP(A8,可转债实时数据!$B$7:$D$149,3,FALSE)</f>
        <v>122.44199999999999</v>
      </c>
      <c r="D8" s="5">
        <f t="shared" si="0"/>
        <v>28</v>
      </c>
      <c r="E8" s="5" t="e">
        <f t="shared" si="1"/>
        <v>#N/A</v>
      </c>
      <c r="H8" s="16">
        <v>6</v>
      </c>
      <c r="I8">
        <v>123160</v>
      </c>
      <c r="J8" t="s">
        <v>1015</v>
      </c>
      <c r="K8">
        <v>110.779</v>
      </c>
      <c r="L8" s="39">
        <v>0.31709999999999999</v>
      </c>
      <c r="M8">
        <v>142.489</v>
      </c>
      <c r="N8" s="17">
        <v>3.3488639999999998</v>
      </c>
      <c r="O8" s="5" t="str">
        <f t="shared" si="2"/>
        <v>未买</v>
      </c>
      <c r="R8" s="16">
        <v>6</v>
      </c>
      <c r="S8" s="7">
        <v>123205</v>
      </c>
      <c r="T8" s="7" t="s">
        <v>1004</v>
      </c>
      <c r="U8" s="7">
        <v>131.12899999999999</v>
      </c>
      <c r="V8" s="39">
        <v>4.8099999999999997E-2</v>
      </c>
      <c r="W8" s="17">
        <v>4.0439749999999997</v>
      </c>
      <c r="X8" s="5" t="str">
        <f t="shared" si="3"/>
        <v>未买</v>
      </c>
    </row>
    <row r="9" spans="1:24" s="3" customFormat="1" x14ac:dyDescent="0.15">
      <c r="A9" s="7">
        <v>123194</v>
      </c>
      <c r="B9" s="7" t="s">
        <v>984</v>
      </c>
      <c r="C9" s="3">
        <f>VLOOKUP(A9,可转债实时数据!$B$7:$D$149,3,FALSE)</f>
        <v>132.68899999999999</v>
      </c>
      <c r="D9" s="5" t="e">
        <f t="shared" si="0"/>
        <v>#N/A</v>
      </c>
      <c r="E9" s="5" t="e">
        <f t="shared" si="1"/>
        <v>#N/A</v>
      </c>
      <c r="H9" s="16">
        <v>7</v>
      </c>
      <c r="I9">
        <v>123141</v>
      </c>
      <c r="J9" t="s">
        <v>179</v>
      </c>
      <c r="K9">
        <v>115.85899999999999</v>
      </c>
      <c r="L9" s="39">
        <v>0.27750000000000002</v>
      </c>
      <c r="M9">
        <v>143.60899999999998</v>
      </c>
      <c r="N9" s="17">
        <v>3.2096100000000001</v>
      </c>
      <c r="O9" s="5" t="str">
        <f t="shared" si="2"/>
        <v>未买</v>
      </c>
      <c r="R9" s="16">
        <v>7</v>
      </c>
      <c r="S9" s="7">
        <v>128087</v>
      </c>
      <c r="T9" s="7" t="s">
        <v>42</v>
      </c>
      <c r="U9" s="7">
        <v>121.88</v>
      </c>
      <c r="V9" s="39">
        <v>6.4500000000000002E-2</v>
      </c>
      <c r="W9" s="17">
        <v>6.4426889999999997</v>
      </c>
      <c r="X9" s="5" t="str">
        <f t="shared" si="3"/>
        <v>未买</v>
      </c>
    </row>
    <row r="10" spans="1:24" x14ac:dyDescent="0.15">
      <c r="A10" s="7">
        <v>127012</v>
      </c>
      <c r="B10" s="7" t="s">
        <v>985</v>
      </c>
      <c r="C10" s="3" t="e">
        <f>VLOOKUP(A10,可转债实时数据!$B$7:$D$149,3,FALSE)</f>
        <v>#N/A</v>
      </c>
      <c r="D10" s="5" t="e">
        <f t="shared" si="0"/>
        <v>#N/A</v>
      </c>
      <c r="E10" s="5" t="e">
        <f t="shared" si="1"/>
        <v>#N/A</v>
      </c>
      <c r="H10" s="16">
        <v>8</v>
      </c>
      <c r="I10">
        <v>113039</v>
      </c>
      <c r="J10" t="s">
        <v>1028</v>
      </c>
      <c r="K10">
        <v>130.124</v>
      </c>
      <c r="L10" s="39">
        <v>0.15670000000000001</v>
      </c>
      <c r="M10">
        <v>145.79399999999998</v>
      </c>
      <c r="N10" s="17">
        <v>2.8769399999999998</v>
      </c>
      <c r="O10" s="5" t="str">
        <f t="shared" si="2"/>
        <v>未买</v>
      </c>
      <c r="R10" s="16">
        <v>8</v>
      </c>
      <c r="S10" s="7">
        <v>111011</v>
      </c>
      <c r="T10" s="7" t="s">
        <v>1002</v>
      </c>
      <c r="U10" s="7">
        <v>139.01</v>
      </c>
      <c r="V10" s="39">
        <v>9.5299999999999996E-2</v>
      </c>
      <c r="W10" s="17">
        <v>4.0325800000000003</v>
      </c>
      <c r="X10" s="5" t="str">
        <f t="shared" si="3"/>
        <v>未买</v>
      </c>
    </row>
    <row r="11" spans="1:24" x14ac:dyDescent="0.15">
      <c r="A11" s="7">
        <v>128076</v>
      </c>
      <c r="B11" s="7" t="s">
        <v>43</v>
      </c>
      <c r="C11" s="3" t="e">
        <f>VLOOKUP(A11,可转债实时数据!$B$7:$D$149,3,FALSE)</f>
        <v>#N/A</v>
      </c>
      <c r="D11" s="5" t="e">
        <f t="shared" si="0"/>
        <v>#N/A</v>
      </c>
      <c r="E11" s="5" t="e">
        <f t="shared" si="1"/>
        <v>#N/A</v>
      </c>
      <c r="H11" s="16">
        <v>9</v>
      </c>
      <c r="I11">
        <v>123218</v>
      </c>
      <c r="J11" t="s">
        <v>1005</v>
      </c>
      <c r="K11">
        <v>118.88800000000001</v>
      </c>
      <c r="L11" s="39">
        <v>0.27639999999999998</v>
      </c>
      <c r="M11">
        <v>146.52800000000002</v>
      </c>
      <c r="N11" s="17">
        <v>3.7975249999999998</v>
      </c>
      <c r="O11" s="5" t="str">
        <f t="shared" si="2"/>
        <v>未买</v>
      </c>
      <c r="R11" s="16">
        <v>9</v>
      </c>
      <c r="S11" s="7">
        <v>118046</v>
      </c>
      <c r="T11" s="7" t="s">
        <v>973</v>
      </c>
      <c r="U11" s="7">
        <v>145.23599999999999</v>
      </c>
      <c r="V11" s="39">
        <v>9.6500000000000002E-2</v>
      </c>
      <c r="W11" s="17">
        <v>4.34</v>
      </c>
      <c r="X11" s="5" t="str">
        <f t="shared" si="3"/>
        <v>未买</v>
      </c>
    </row>
    <row r="12" spans="1:24" x14ac:dyDescent="0.15">
      <c r="A12" s="7">
        <v>128121</v>
      </c>
      <c r="B12" s="7" t="s">
        <v>986</v>
      </c>
      <c r="C12" s="3" t="e">
        <f>VLOOKUP(A12,可转债实时数据!$B$7:$D$149,3,FALSE)</f>
        <v>#N/A</v>
      </c>
      <c r="D12" s="5" t="e">
        <f t="shared" si="0"/>
        <v>#N/A</v>
      </c>
      <c r="E12" s="5" t="e">
        <f t="shared" si="1"/>
        <v>#N/A</v>
      </c>
      <c r="H12" s="16">
        <v>10</v>
      </c>
      <c r="I12">
        <v>123156</v>
      </c>
      <c r="J12" t="s">
        <v>1039</v>
      </c>
      <c r="K12">
        <v>102.364</v>
      </c>
      <c r="L12" s="39">
        <v>0.44170000000000004</v>
      </c>
      <c r="M12">
        <v>146.53399999999999</v>
      </c>
      <c r="N12" s="17">
        <v>3.968629</v>
      </c>
      <c r="O12" s="5" t="str">
        <f t="shared" si="2"/>
        <v>未买</v>
      </c>
      <c r="R12" s="16">
        <v>10</v>
      </c>
      <c r="S12" s="7">
        <v>123135</v>
      </c>
      <c r="T12" s="7" t="s">
        <v>948</v>
      </c>
      <c r="U12" s="7">
        <v>137.25</v>
      </c>
      <c r="V12" s="39">
        <v>9.9600000000000008E-2</v>
      </c>
      <c r="W12" s="17">
        <v>2.0102009999999999</v>
      </c>
      <c r="X12" s="5" t="str">
        <f t="shared" si="3"/>
        <v>未买</v>
      </c>
    </row>
    <row r="13" spans="1:24" x14ac:dyDescent="0.15">
      <c r="A13" s="7">
        <v>128123</v>
      </c>
      <c r="B13" s="7" t="s">
        <v>987</v>
      </c>
      <c r="C13" s="3">
        <f>VLOOKUP(A13,可转债实时数据!$B$7:$D$149,3,FALSE)</f>
        <v>134.08600000000001</v>
      </c>
      <c r="D13" s="5">
        <f t="shared" si="0"/>
        <v>2</v>
      </c>
      <c r="E13" s="5">
        <f t="shared" si="1"/>
        <v>2</v>
      </c>
      <c r="H13" s="16">
        <v>11</v>
      </c>
      <c r="I13">
        <v>123135</v>
      </c>
      <c r="J13" t="s">
        <v>948</v>
      </c>
      <c r="K13">
        <v>137.25</v>
      </c>
      <c r="L13" s="39">
        <v>9.9600000000000008E-2</v>
      </c>
      <c r="M13">
        <v>147.21</v>
      </c>
      <c r="N13" s="17">
        <v>2.0102009999999999</v>
      </c>
      <c r="O13" s="5" t="str">
        <f t="shared" si="2"/>
        <v>未买</v>
      </c>
      <c r="R13" s="16">
        <v>11</v>
      </c>
      <c r="S13" s="7">
        <v>113546</v>
      </c>
      <c r="T13" s="7" t="s">
        <v>40</v>
      </c>
      <c r="U13" s="7">
        <v>132.012</v>
      </c>
      <c r="V13" s="39">
        <v>9.98E-2</v>
      </c>
      <c r="W13" s="17">
        <v>2.29501</v>
      </c>
      <c r="X13" s="5" t="str">
        <f t="shared" si="3"/>
        <v>未买</v>
      </c>
    </row>
    <row r="14" spans="1:24" x14ac:dyDescent="0.15">
      <c r="A14" s="7">
        <v>128143</v>
      </c>
      <c r="B14" s="7" t="s">
        <v>902</v>
      </c>
      <c r="C14" s="3">
        <f>VLOOKUP(A14,可转债实时数据!$B$7:$D$149,3,FALSE)</f>
        <v>128.988</v>
      </c>
      <c r="D14" s="5">
        <f t="shared" si="0"/>
        <v>30</v>
      </c>
      <c r="E14" s="5" t="e">
        <f t="shared" si="1"/>
        <v>#N/A</v>
      </c>
      <c r="H14" s="16">
        <v>12</v>
      </c>
      <c r="I14">
        <v>128120</v>
      </c>
      <c r="J14" t="s">
        <v>1041</v>
      </c>
      <c r="K14">
        <v>120</v>
      </c>
      <c r="L14" s="39">
        <v>0.27310000000000001</v>
      </c>
      <c r="M14">
        <v>147.31</v>
      </c>
      <c r="N14" s="17">
        <v>2.5942419999999995</v>
      </c>
      <c r="O14" s="5" t="str">
        <f t="shared" si="2"/>
        <v>未买</v>
      </c>
      <c r="R14" s="16">
        <v>12</v>
      </c>
      <c r="S14" s="7">
        <v>110074</v>
      </c>
      <c r="T14" s="7" t="s">
        <v>1008</v>
      </c>
      <c r="U14" s="7">
        <v>137.28399999999999</v>
      </c>
      <c r="V14" s="39">
        <v>0.106</v>
      </c>
      <c r="W14" s="17">
        <v>5.0761500000000002</v>
      </c>
      <c r="X14" s="5" t="str">
        <f t="shared" si="3"/>
        <v>未买</v>
      </c>
    </row>
    <row r="15" spans="1:24" x14ac:dyDescent="0.15">
      <c r="A15" s="7">
        <v>110052</v>
      </c>
      <c r="B15" s="7" t="s">
        <v>605</v>
      </c>
      <c r="C15" s="3" t="e">
        <f>VLOOKUP(A15,可转债实时数据!$B$7:$D$149,3,FALSE)</f>
        <v>#N/A</v>
      </c>
      <c r="D15" s="5" t="e">
        <f t="shared" si="0"/>
        <v>#N/A</v>
      </c>
      <c r="E15" s="5" t="e">
        <f t="shared" si="1"/>
        <v>#N/A</v>
      </c>
      <c r="H15" s="16">
        <v>13</v>
      </c>
      <c r="I15">
        <v>123163</v>
      </c>
      <c r="J15" t="s">
        <v>636</v>
      </c>
      <c r="K15">
        <v>110.599</v>
      </c>
      <c r="L15" s="39">
        <v>0.39770000000000005</v>
      </c>
      <c r="M15">
        <v>150.369</v>
      </c>
      <c r="N15" s="17">
        <v>3.0994899999999999</v>
      </c>
      <c r="O15" s="5" t="str">
        <f t="shared" si="2"/>
        <v>未买</v>
      </c>
      <c r="R15" s="16">
        <v>13</v>
      </c>
      <c r="S15" s="7">
        <v>123092</v>
      </c>
      <c r="T15" s="7" t="s">
        <v>891</v>
      </c>
      <c r="U15" s="7">
        <v>129.648</v>
      </c>
      <c r="V15" s="39">
        <v>0.10929999999999999</v>
      </c>
      <c r="W15" s="17">
        <v>3.9874019999999994</v>
      </c>
      <c r="X15" s="5" t="str">
        <f t="shared" si="3"/>
        <v>未买</v>
      </c>
    </row>
    <row r="16" spans="1:24" x14ac:dyDescent="0.15">
      <c r="A16" s="7">
        <v>113027</v>
      </c>
      <c r="B16" s="7" t="s">
        <v>35</v>
      </c>
      <c r="C16" s="3">
        <f>VLOOKUP(A16,可转债实时数据!$B$7:$D$149,3,FALSE)</f>
        <v>238.31700000000001</v>
      </c>
      <c r="D16" s="5" t="e">
        <f t="shared" si="0"/>
        <v>#N/A</v>
      </c>
      <c r="E16" s="5" t="e">
        <f t="shared" si="1"/>
        <v>#N/A</v>
      </c>
      <c r="H16" s="16">
        <v>14</v>
      </c>
      <c r="I16">
        <v>123206</v>
      </c>
      <c r="J16" t="s">
        <v>900</v>
      </c>
      <c r="K16">
        <v>127.411</v>
      </c>
      <c r="L16" s="39">
        <v>0.2296</v>
      </c>
      <c r="M16">
        <v>150.37100000000001</v>
      </c>
      <c r="N16" s="17">
        <v>2.4982410000000002</v>
      </c>
      <c r="O16" s="5" t="str">
        <f t="shared" si="2"/>
        <v>未买</v>
      </c>
      <c r="R16" s="16">
        <v>14</v>
      </c>
      <c r="S16" s="7">
        <v>123221</v>
      </c>
      <c r="T16" s="7" t="s">
        <v>910</v>
      </c>
      <c r="U16" s="7">
        <v>134.447</v>
      </c>
      <c r="V16" s="39">
        <v>0.1114</v>
      </c>
      <c r="W16" s="17">
        <v>4.9942029999999997</v>
      </c>
      <c r="X16" s="5" t="str">
        <f t="shared" si="3"/>
        <v>未买</v>
      </c>
    </row>
    <row r="17" spans="1:24" x14ac:dyDescent="0.15">
      <c r="A17" s="7">
        <v>113061</v>
      </c>
      <c r="B17" s="7" t="s">
        <v>988</v>
      </c>
      <c r="C17" s="3" t="e">
        <f>VLOOKUP(A17,可转债实时数据!$B$7:$D$149,3,FALSE)</f>
        <v>#N/A</v>
      </c>
      <c r="D17" s="5" t="e">
        <f t="shared" ref="D17:D44" si="4">MATCH(A17,$I$1:$I$290,0)-2</f>
        <v>#N/A</v>
      </c>
      <c r="E17" s="5" t="e">
        <f t="shared" ref="E17:E44" si="5">MATCH(A17,$S$1:$S$44,0)-2</f>
        <v>#N/A</v>
      </c>
      <c r="H17" s="16">
        <v>15</v>
      </c>
      <c r="I17">
        <v>111012</v>
      </c>
      <c r="J17" t="s">
        <v>645</v>
      </c>
      <c r="K17">
        <v>123.392</v>
      </c>
      <c r="L17" s="39">
        <v>0.27960000000000002</v>
      </c>
      <c r="M17">
        <v>151.352</v>
      </c>
      <c r="N17" s="17">
        <v>2.68519</v>
      </c>
      <c r="O17" s="5" t="str">
        <f t="shared" si="2"/>
        <v>未买</v>
      </c>
      <c r="R17" s="16">
        <v>15</v>
      </c>
      <c r="S17" s="7">
        <v>123201</v>
      </c>
      <c r="T17" s="7" t="s">
        <v>892</v>
      </c>
      <c r="U17" s="7">
        <v>124.48</v>
      </c>
      <c r="V17" s="39">
        <v>0.11380000000000001</v>
      </c>
      <c r="W17" s="17">
        <v>3.4951160000000008</v>
      </c>
      <c r="X17" s="5" t="str">
        <f t="shared" si="3"/>
        <v>未买</v>
      </c>
    </row>
    <row r="18" spans="1:24" x14ac:dyDescent="0.15">
      <c r="A18" s="7">
        <v>113526</v>
      </c>
      <c r="B18" s="7" t="s">
        <v>44</v>
      </c>
      <c r="C18" s="3" t="e">
        <f>VLOOKUP(A18,可转债实时数据!$B$7:$D$149,3,FALSE)</f>
        <v>#N/A</v>
      </c>
      <c r="D18" s="5" t="e">
        <f t="shared" si="4"/>
        <v>#N/A</v>
      </c>
      <c r="E18" s="5" t="e">
        <f t="shared" si="5"/>
        <v>#N/A</v>
      </c>
      <c r="H18" s="16">
        <v>16</v>
      </c>
      <c r="I18">
        <v>123143</v>
      </c>
      <c r="J18" t="s">
        <v>1054</v>
      </c>
      <c r="K18">
        <v>148.5</v>
      </c>
      <c r="L18" s="39">
        <v>3.9300000000000002E-2</v>
      </c>
      <c r="M18">
        <v>152.43</v>
      </c>
      <c r="N18" s="17">
        <v>2.690442</v>
      </c>
      <c r="O18" s="5" t="str">
        <f t="shared" si="2"/>
        <v>未买</v>
      </c>
      <c r="R18" s="16">
        <v>16</v>
      </c>
      <c r="S18" s="7">
        <v>123222</v>
      </c>
      <c r="T18" s="7" t="s">
        <v>943</v>
      </c>
      <c r="U18" s="7">
        <v>133.084</v>
      </c>
      <c r="V18" s="39">
        <v>0.11689999999999999</v>
      </c>
      <c r="W18" s="17">
        <v>4.998869</v>
      </c>
      <c r="X18" s="5" t="str">
        <f t="shared" si="3"/>
        <v>未买</v>
      </c>
    </row>
    <row r="19" spans="1:24" x14ac:dyDescent="0.15">
      <c r="A19" s="7">
        <v>113532</v>
      </c>
      <c r="B19" s="7" t="s">
        <v>976</v>
      </c>
      <c r="C19" s="3" t="e">
        <f>VLOOKUP(A19,可转债实时数据!$B$7:$D$149,3,FALSE)</f>
        <v>#N/A</v>
      </c>
      <c r="D19" s="5" t="e">
        <f t="shared" si="4"/>
        <v>#N/A</v>
      </c>
      <c r="E19" s="5" t="e">
        <f t="shared" si="5"/>
        <v>#N/A</v>
      </c>
      <c r="H19" s="16">
        <v>17</v>
      </c>
      <c r="I19">
        <v>123209</v>
      </c>
      <c r="J19" t="s">
        <v>1013</v>
      </c>
      <c r="K19">
        <v>148.30000000000001</v>
      </c>
      <c r="L19" s="39">
        <v>4.2099999999999999E-2</v>
      </c>
      <c r="M19">
        <v>152.51000000000002</v>
      </c>
      <c r="N19" s="17">
        <v>2.1518389999999998</v>
      </c>
      <c r="O19" s="5" t="str">
        <f t="shared" si="2"/>
        <v>未买</v>
      </c>
      <c r="R19" s="16">
        <v>17</v>
      </c>
      <c r="S19" s="7">
        <v>123204</v>
      </c>
      <c r="T19" s="7" t="s">
        <v>895</v>
      </c>
      <c r="U19" s="7">
        <v>125.798</v>
      </c>
      <c r="V19" s="39">
        <v>0.1278</v>
      </c>
      <c r="W19" s="17">
        <v>6.1658609999999996</v>
      </c>
      <c r="X19" s="5" t="str">
        <f t="shared" si="3"/>
        <v>未买</v>
      </c>
    </row>
    <row r="20" spans="1:24" x14ac:dyDescent="0.15">
      <c r="A20" s="7">
        <v>113561</v>
      </c>
      <c r="B20" s="7" t="s">
        <v>968</v>
      </c>
      <c r="C20" s="3" t="e">
        <f>VLOOKUP(A20,可转债实时数据!$B$7:$D$149,3,FALSE)</f>
        <v>#N/A</v>
      </c>
      <c r="D20" s="5" t="e">
        <f t="shared" si="4"/>
        <v>#N/A</v>
      </c>
      <c r="E20" s="5" t="e">
        <f t="shared" si="5"/>
        <v>#N/A</v>
      </c>
      <c r="H20" s="16">
        <v>18</v>
      </c>
      <c r="I20">
        <v>123200</v>
      </c>
      <c r="J20" t="s">
        <v>1007</v>
      </c>
      <c r="K20">
        <v>116.54900000000001</v>
      </c>
      <c r="L20" s="39">
        <v>0.37280000000000002</v>
      </c>
      <c r="M20">
        <v>153.82900000000001</v>
      </c>
      <c r="N20" s="17">
        <v>3.7018660000000008</v>
      </c>
      <c r="O20" s="5" t="str">
        <f t="shared" si="2"/>
        <v>未买</v>
      </c>
      <c r="R20" s="16">
        <v>18</v>
      </c>
      <c r="S20" s="7">
        <v>113672</v>
      </c>
      <c r="T20" s="7" t="s">
        <v>1006</v>
      </c>
      <c r="U20" s="7">
        <v>132.71799999999999</v>
      </c>
      <c r="V20" s="39">
        <v>0.1313</v>
      </c>
      <c r="W20" s="17">
        <v>6.3849400000000003</v>
      </c>
      <c r="X20" s="5" t="str">
        <f t="shared" si="3"/>
        <v>未买</v>
      </c>
    </row>
    <row r="21" spans="1:24" x14ac:dyDescent="0.15">
      <c r="A21" s="7">
        <v>113566</v>
      </c>
      <c r="B21" s="7" t="s">
        <v>965</v>
      </c>
      <c r="C21" s="3" t="e">
        <f>VLOOKUP(A21,可转债实时数据!$B$7:$D$149,3,FALSE)</f>
        <v>#N/A</v>
      </c>
      <c r="D21" s="5" t="e">
        <f t="shared" si="4"/>
        <v>#N/A</v>
      </c>
      <c r="E21" s="5" t="e">
        <f t="shared" si="5"/>
        <v>#N/A</v>
      </c>
      <c r="H21" s="16">
        <v>19</v>
      </c>
      <c r="I21">
        <v>113674</v>
      </c>
      <c r="J21" t="s">
        <v>1017</v>
      </c>
      <c r="K21">
        <v>132</v>
      </c>
      <c r="L21" s="39">
        <v>0.21829999999999999</v>
      </c>
      <c r="M21">
        <v>153.82999999999998</v>
      </c>
      <c r="N21" s="17">
        <v>3.9992899999999998</v>
      </c>
      <c r="O21" s="5" t="str">
        <f t="shared" si="2"/>
        <v>未买</v>
      </c>
      <c r="R21" s="16">
        <v>19</v>
      </c>
      <c r="S21" s="7">
        <v>123188</v>
      </c>
      <c r="T21" s="7" t="s">
        <v>997</v>
      </c>
      <c r="U21" s="7">
        <v>144.87299999999999</v>
      </c>
      <c r="V21" s="39">
        <v>0.14410000000000001</v>
      </c>
      <c r="W21" s="17">
        <v>6.948963</v>
      </c>
      <c r="X21" s="5" t="str">
        <f t="shared" si="3"/>
        <v>未买</v>
      </c>
    </row>
    <row r="22" spans="1:24" x14ac:dyDescent="0.15">
      <c r="A22" s="7">
        <v>113588</v>
      </c>
      <c r="B22" s="7" t="s">
        <v>989</v>
      </c>
      <c r="C22" s="3">
        <f>VLOOKUP(A22,可转债实时数据!$B$7:$D$149,3,FALSE)</f>
        <v>146.5</v>
      </c>
      <c r="D22" s="5">
        <f t="shared" si="4"/>
        <v>32</v>
      </c>
      <c r="E22" s="5">
        <f t="shared" si="5"/>
        <v>30</v>
      </c>
      <c r="H22" s="16">
        <v>20</v>
      </c>
      <c r="I22">
        <v>111008</v>
      </c>
      <c r="J22" t="s">
        <v>618</v>
      </c>
      <c r="K22">
        <v>120.94</v>
      </c>
      <c r="L22" s="39">
        <v>0.33659999999999995</v>
      </c>
      <c r="M22">
        <v>154.6</v>
      </c>
      <c r="N22" s="17">
        <v>3.8386100000000001</v>
      </c>
      <c r="O22" s="5" t="str">
        <f t="shared" si="2"/>
        <v>未买</v>
      </c>
      <c r="R22" s="16">
        <v>20</v>
      </c>
      <c r="S22" s="7">
        <v>127028</v>
      </c>
      <c r="T22" s="7" t="s">
        <v>39</v>
      </c>
      <c r="U22" s="7">
        <v>125.11799999999999</v>
      </c>
      <c r="V22" s="39">
        <v>0.1459</v>
      </c>
      <c r="W22" s="17">
        <v>4.0626689999999996</v>
      </c>
      <c r="X22" s="5" t="str">
        <f t="shared" si="3"/>
        <v>未买</v>
      </c>
    </row>
    <row r="23" spans="1:24" x14ac:dyDescent="0.15">
      <c r="A23" s="7">
        <v>113628</v>
      </c>
      <c r="B23" s="7" t="s">
        <v>886</v>
      </c>
      <c r="C23" s="3">
        <f>VLOOKUP(A23,可转债实时数据!$B$7:$D$149,3,FALSE)</f>
        <v>114.11</v>
      </c>
      <c r="D23" s="5" t="e">
        <f t="shared" si="4"/>
        <v>#N/A</v>
      </c>
      <c r="E23" s="5">
        <f t="shared" si="5"/>
        <v>40</v>
      </c>
      <c r="H23" s="16">
        <v>21</v>
      </c>
      <c r="I23">
        <v>113671</v>
      </c>
      <c r="J23" t="s">
        <v>1014</v>
      </c>
      <c r="K23">
        <v>127.92100000000001</v>
      </c>
      <c r="L23" s="39">
        <v>0.2732</v>
      </c>
      <c r="M23">
        <v>155.24100000000001</v>
      </c>
      <c r="N23" s="17">
        <v>3.0996000000000001</v>
      </c>
      <c r="O23" s="5" t="str">
        <f t="shared" si="2"/>
        <v>未买</v>
      </c>
      <c r="R23" s="16">
        <v>21</v>
      </c>
      <c r="S23" s="7">
        <v>127095</v>
      </c>
      <c r="T23" s="7" t="s">
        <v>999</v>
      </c>
      <c r="U23" s="7">
        <v>134.15899999999999</v>
      </c>
      <c r="V23" s="39">
        <v>0.15380000000000002</v>
      </c>
      <c r="W23" s="17">
        <v>6.9929969999999999</v>
      </c>
      <c r="X23" s="5" t="str">
        <f t="shared" si="3"/>
        <v>未买</v>
      </c>
    </row>
    <row r="24" spans="1:24" x14ac:dyDescent="0.15">
      <c r="C24" s="85" t="e">
        <f>VLOOKUP(A24,可转债实时数据!$B$7:$D$149,3,FALSE)</f>
        <v>#N/A</v>
      </c>
      <c r="D24" s="5" t="e">
        <f t="shared" si="4"/>
        <v>#N/A</v>
      </c>
      <c r="E24" s="5" t="e">
        <f t="shared" si="5"/>
        <v>#N/A</v>
      </c>
      <c r="H24" s="16">
        <v>22</v>
      </c>
      <c r="I24">
        <v>123152</v>
      </c>
      <c r="J24" t="s">
        <v>1053</v>
      </c>
      <c r="K24">
        <v>122.821</v>
      </c>
      <c r="L24" s="39">
        <v>0.32719999999999999</v>
      </c>
      <c r="M24">
        <v>155.541</v>
      </c>
      <c r="N24" s="17">
        <v>2.9219309999999998</v>
      </c>
      <c r="O24" s="5" t="str">
        <f t="shared" si="2"/>
        <v>未买</v>
      </c>
      <c r="R24" s="16">
        <v>22</v>
      </c>
      <c r="S24" s="7">
        <v>113039</v>
      </c>
      <c r="T24" s="7" t="s">
        <v>1028</v>
      </c>
      <c r="U24" s="7">
        <v>130.124</v>
      </c>
      <c r="V24" s="39">
        <v>0.15670000000000001</v>
      </c>
      <c r="W24" s="17">
        <v>2.8769399999999998</v>
      </c>
      <c r="X24" s="5" t="str">
        <f t="shared" si="3"/>
        <v>未买</v>
      </c>
    </row>
    <row r="25" spans="1:24" x14ac:dyDescent="0.15">
      <c r="C25" s="85" t="e">
        <f>VLOOKUP(A25,可转债实时数据!$B$7:$D$149,3,FALSE)</f>
        <v>#N/A</v>
      </c>
      <c r="D25" s="5" t="e">
        <f t="shared" si="4"/>
        <v>#N/A</v>
      </c>
      <c r="E25" s="5" t="e">
        <f t="shared" si="5"/>
        <v>#N/A</v>
      </c>
      <c r="H25" s="16">
        <v>23</v>
      </c>
      <c r="I25">
        <v>127094</v>
      </c>
      <c r="J25" t="s">
        <v>940</v>
      </c>
      <c r="K25">
        <v>108.45399999999999</v>
      </c>
      <c r="L25" s="39">
        <v>0.47259999999999996</v>
      </c>
      <c r="M25">
        <v>155.714</v>
      </c>
      <c r="N25" s="17">
        <v>3.1598799999999998</v>
      </c>
      <c r="O25" s="5" t="str">
        <f t="shared" si="2"/>
        <v>未买</v>
      </c>
      <c r="R25" s="16">
        <v>23</v>
      </c>
      <c r="S25" s="7">
        <v>123224</v>
      </c>
      <c r="T25" s="7" t="s">
        <v>1052</v>
      </c>
      <c r="U25" s="7">
        <v>122.25</v>
      </c>
      <c r="V25" s="39">
        <v>0.15679999999999999</v>
      </c>
      <c r="W25" s="17">
        <v>4.9996600000000004</v>
      </c>
      <c r="X25" s="5" t="str">
        <f t="shared" si="3"/>
        <v>未买</v>
      </c>
    </row>
    <row r="26" spans="1:24" x14ac:dyDescent="0.15">
      <c r="C26" s="85" t="e">
        <f>VLOOKUP(A26,可转债实时数据!$B$7:$D$149,3,FALSE)</f>
        <v>#N/A</v>
      </c>
      <c r="D26" s="5" t="e">
        <f t="shared" si="4"/>
        <v>#N/A</v>
      </c>
      <c r="E26" s="5" t="e">
        <f t="shared" si="5"/>
        <v>#N/A</v>
      </c>
      <c r="H26" s="16">
        <v>24</v>
      </c>
      <c r="I26">
        <v>123177</v>
      </c>
      <c r="J26" t="s">
        <v>1018</v>
      </c>
      <c r="K26">
        <v>122.5</v>
      </c>
      <c r="L26" s="39">
        <v>0.36479999999999996</v>
      </c>
      <c r="M26">
        <v>158.97999999999999</v>
      </c>
      <c r="N26" s="17">
        <v>2.436261</v>
      </c>
      <c r="O26" s="5" t="str">
        <f t="shared" si="2"/>
        <v>未买</v>
      </c>
      <c r="R26" s="16">
        <v>24</v>
      </c>
      <c r="S26" s="7">
        <v>127069</v>
      </c>
      <c r="T26" s="7" t="s">
        <v>963</v>
      </c>
      <c r="U26" s="7">
        <v>129.97499999999999</v>
      </c>
      <c r="V26" s="39">
        <v>0.15890000000000001</v>
      </c>
      <c r="W26" s="17">
        <v>5.0410730000000008</v>
      </c>
      <c r="X26" s="5" t="str">
        <f t="shared" si="3"/>
        <v>未买</v>
      </c>
    </row>
    <row r="27" spans="1:24" x14ac:dyDescent="0.15">
      <c r="C27" s="85" t="e">
        <f>VLOOKUP(A27,可转债实时数据!$B$7:$D$149,3,FALSE)</f>
        <v>#N/A</v>
      </c>
      <c r="D27" s="5" t="e">
        <f t="shared" si="4"/>
        <v>#N/A</v>
      </c>
      <c r="E27" s="5" t="e">
        <f t="shared" si="5"/>
        <v>#N/A</v>
      </c>
      <c r="H27" s="16">
        <v>25</v>
      </c>
      <c r="I27">
        <v>123199</v>
      </c>
      <c r="J27" t="s">
        <v>1055</v>
      </c>
      <c r="K27">
        <v>127.8</v>
      </c>
      <c r="L27" s="39">
        <v>0.32679999999999998</v>
      </c>
      <c r="M27">
        <v>160.47999999999999</v>
      </c>
      <c r="N27" s="17">
        <v>3.199478</v>
      </c>
      <c r="O27" s="5" t="str">
        <f t="shared" si="2"/>
        <v>未买</v>
      </c>
      <c r="R27" s="16">
        <v>25</v>
      </c>
      <c r="S27" s="7">
        <v>123229</v>
      </c>
      <c r="T27" s="7" t="s">
        <v>1003</v>
      </c>
      <c r="U27" s="7">
        <v>123.26900000000001</v>
      </c>
      <c r="V27" s="39">
        <v>0.16500000000000001</v>
      </c>
      <c r="W27" s="17">
        <v>4.9997299999999996</v>
      </c>
      <c r="X27" s="5" t="str">
        <f t="shared" si="3"/>
        <v>未买</v>
      </c>
    </row>
    <row r="28" spans="1:24" x14ac:dyDescent="0.15">
      <c r="C28" s="85" t="e">
        <f>VLOOKUP(A28,可转债实时数据!$B$7:$D$149,3,FALSE)</f>
        <v>#N/A</v>
      </c>
      <c r="D28" s="5" t="e">
        <f t="shared" si="4"/>
        <v>#N/A</v>
      </c>
      <c r="E28" s="5" t="e">
        <f t="shared" si="5"/>
        <v>#N/A</v>
      </c>
      <c r="H28" s="16">
        <v>26</v>
      </c>
      <c r="I28">
        <v>128091</v>
      </c>
      <c r="J28" t="s">
        <v>975</v>
      </c>
      <c r="K28">
        <v>143.27099999999999</v>
      </c>
      <c r="L28" s="39">
        <v>0.17249999999999999</v>
      </c>
      <c r="M28">
        <v>160.52099999999999</v>
      </c>
      <c r="N28" s="17">
        <v>1.5190729999999999</v>
      </c>
      <c r="O28" s="5" t="str">
        <f t="shared" si="2"/>
        <v>未买</v>
      </c>
      <c r="R28" s="16">
        <v>26</v>
      </c>
      <c r="S28" s="7">
        <v>123219</v>
      </c>
      <c r="T28" s="7" t="s">
        <v>911</v>
      </c>
      <c r="U28" s="7">
        <v>125.646</v>
      </c>
      <c r="V28" s="39">
        <v>0.1686</v>
      </c>
      <c r="W28" s="17">
        <v>5.9998149999999999</v>
      </c>
      <c r="X28" s="5" t="str">
        <f t="shared" si="3"/>
        <v>未买</v>
      </c>
    </row>
    <row r="29" spans="1:24" x14ac:dyDescent="0.15">
      <c r="C29" s="85" t="e">
        <f>VLOOKUP(A29,可转债实时数据!$B$7:$D$149,3,FALSE)</f>
        <v>#N/A</v>
      </c>
      <c r="D29" s="5" t="e">
        <f t="shared" si="4"/>
        <v>#N/A</v>
      </c>
      <c r="E29" s="5" t="e">
        <f t="shared" si="5"/>
        <v>#N/A</v>
      </c>
      <c r="H29" s="16">
        <v>27</v>
      </c>
      <c r="I29">
        <v>113598</v>
      </c>
      <c r="J29" t="s">
        <v>41</v>
      </c>
      <c r="K29">
        <v>136.22300000000001</v>
      </c>
      <c r="L29" s="39">
        <v>0.25600000000000001</v>
      </c>
      <c r="M29">
        <v>161.82300000000001</v>
      </c>
      <c r="N29" s="17">
        <v>2.7522899999999999</v>
      </c>
      <c r="O29" s="5" t="str">
        <f t="shared" si="2"/>
        <v>未买</v>
      </c>
      <c r="R29" s="16">
        <v>27</v>
      </c>
      <c r="S29" s="7">
        <v>128091</v>
      </c>
      <c r="T29" s="7" t="s">
        <v>975</v>
      </c>
      <c r="U29" s="7">
        <v>143.27099999999999</v>
      </c>
      <c r="V29" s="39">
        <v>0.17249999999999999</v>
      </c>
      <c r="W29" s="17">
        <v>1.5190729999999999</v>
      </c>
      <c r="X29" s="5" t="str">
        <f t="shared" ref="X29:X52" si="6">IF(ISNA(MATCH(S29,$A$3:$A$290,0)),"未买","Yes")</f>
        <v>未买</v>
      </c>
    </row>
    <row r="30" spans="1:24" x14ac:dyDescent="0.15">
      <c r="C30" s="85" t="e">
        <f>VLOOKUP(A30,可转债实时数据!$B$7:$D$149,3,FALSE)</f>
        <v>#N/A</v>
      </c>
      <c r="D30" s="5" t="e">
        <f t="shared" si="4"/>
        <v>#N/A</v>
      </c>
      <c r="E30" s="5" t="e">
        <f t="shared" si="5"/>
        <v>#N/A</v>
      </c>
      <c r="H30" s="16">
        <v>28</v>
      </c>
      <c r="I30">
        <v>123129</v>
      </c>
      <c r="J30" t="s">
        <v>952</v>
      </c>
      <c r="K30">
        <v>122.44199999999999</v>
      </c>
      <c r="L30" s="39">
        <v>0.39460000000000001</v>
      </c>
      <c r="M30">
        <v>161.90199999999999</v>
      </c>
      <c r="N30" s="17">
        <v>1.9411149999999999</v>
      </c>
      <c r="O30" s="5" t="str">
        <f t="shared" si="2"/>
        <v>Yes</v>
      </c>
      <c r="R30" s="16">
        <v>28</v>
      </c>
      <c r="S30" s="7">
        <v>113651</v>
      </c>
      <c r="T30" s="7" t="s">
        <v>619</v>
      </c>
      <c r="U30" s="7">
        <v>130.03299999999999</v>
      </c>
      <c r="V30" s="39">
        <v>0.18170000000000003</v>
      </c>
      <c r="W30" s="17">
        <v>6.0994000000000002</v>
      </c>
      <c r="X30" s="5" t="str">
        <f t="shared" si="6"/>
        <v>未买</v>
      </c>
    </row>
    <row r="31" spans="1:24" x14ac:dyDescent="0.15">
      <c r="C31" s="85" t="e">
        <f>VLOOKUP(A31,可转债实时数据!$B$7:$D$149,3,FALSE)</f>
        <v>#N/A</v>
      </c>
      <c r="D31" s="5" t="e">
        <f t="shared" si="4"/>
        <v>#N/A</v>
      </c>
      <c r="E31" s="5" t="e">
        <f t="shared" si="5"/>
        <v>#N/A</v>
      </c>
      <c r="H31" s="16">
        <v>29</v>
      </c>
      <c r="I31">
        <v>127093</v>
      </c>
      <c r="J31" t="s">
        <v>1012</v>
      </c>
      <c r="K31">
        <v>115.5</v>
      </c>
      <c r="L31" s="39">
        <v>0.49049999999999999</v>
      </c>
      <c r="M31">
        <v>164.55</v>
      </c>
      <c r="N31" s="17">
        <v>2.4298099999999998</v>
      </c>
      <c r="O31" s="5" t="str">
        <f t="shared" ref="O31:O52" si="7">IF(ISNA(MATCH(I31,$A$3:$A$290,0)),"未买","Yes")</f>
        <v>未买</v>
      </c>
      <c r="R31" s="16">
        <v>29</v>
      </c>
      <c r="S31" s="7">
        <v>123131</v>
      </c>
      <c r="T31" s="7" t="s">
        <v>635</v>
      </c>
      <c r="U31" s="7">
        <v>130.15100000000001</v>
      </c>
      <c r="V31" s="39">
        <v>0.182</v>
      </c>
      <c r="W31" s="17">
        <v>5.2101800000000003</v>
      </c>
      <c r="X31" s="5" t="str">
        <f t="shared" si="6"/>
        <v>未买</v>
      </c>
    </row>
    <row r="32" spans="1:24" x14ac:dyDescent="0.15">
      <c r="C32" s="85" t="e">
        <f>VLOOKUP(A32,可转债实时数据!$B$7:$D$149,3,FALSE)</f>
        <v>#N/A</v>
      </c>
      <c r="D32" s="5" t="e">
        <f t="shared" si="4"/>
        <v>#N/A</v>
      </c>
      <c r="E32" s="5" t="e">
        <f t="shared" si="5"/>
        <v>#N/A</v>
      </c>
      <c r="H32" s="16">
        <v>30</v>
      </c>
      <c r="I32">
        <v>128143</v>
      </c>
      <c r="J32" t="s">
        <v>902</v>
      </c>
      <c r="K32">
        <v>128.988</v>
      </c>
      <c r="L32" s="39">
        <v>0.35880000000000001</v>
      </c>
      <c r="M32">
        <v>164.86799999999999</v>
      </c>
      <c r="N32" s="17">
        <v>1.7305539999999999</v>
      </c>
      <c r="O32" s="5" t="str">
        <f t="shared" si="7"/>
        <v>Yes</v>
      </c>
      <c r="R32" s="16">
        <v>30</v>
      </c>
      <c r="S32" s="7">
        <v>113588</v>
      </c>
      <c r="T32" s="7" t="s">
        <v>954</v>
      </c>
      <c r="U32" s="7">
        <v>146.5</v>
      </c>
      <c r="V32" s="39">
        <v>0.19800000000000001</v>
      </c>
      <c r="W32" s="17">
        <v>2.96862</v>
      </c>
      <c r="X32" s="5" t="str">
        <f t="shared" si="6"/>
        <v>Yes</v>
      </c>
    </row>
    <row r="33" spans="3:24" x14ac:dyDescent="0.15">
      <c r="C33" s="85" t="e">
        <f>VLOOKUP(A33,可转债实时数据!$B$7:$D$149,3,FALSE)</f>
        <v>#N/A</v>
      </c>
      <c r="D33" s="5" t="e">
        <f t="shared" si="4"/>
        <v>#N/A</v>
      </c>
      <c r="E33" s="5" t="e">
        <f t="shared" si="5"/>
        <v>#N/A</v>
      </c>
      <c r="H33" s="16">
        <v>31</v>
      </c>
      <c r="I33">
        <v>123197</v>
      </c>
      <c r="J33" t="s">
        <v>1048</v>
      </c>
      <c r="K33">
        <v>120.995</v>
      </c>
      <c r="L33" s="39">
        <v>0.45270000000000005</v>
      </c>
      <c r="M33">
        <v>166.26500000000001</v>
      </c>
      <c r="N33" s="17">
        <v>3.9960330000000002</v>
      </c>
      <c r="O33" s="5" t="str">
        <f t="shared" si="7"/>
        <v>未买</v>
      </c>
      <c r="R33" s="16">
        <v>31</v>
      </c>
      <c r="S33" s="7">
        <v>123187</v>
      </c>
      <c r="T33" s="7" t="s">
        <v>961</v>
      </c>
      <c r="U33" s="7">
        <v>119.752</v>
      </c>
      <c r="V33" s="39">
        <v>0.20269999999999999</v>
      </c>
      <c r="W33" s="17">
        <v>4.5274780000000003</v>
      </c>
      <c r="X33" s="5" t="str">
        <f t="shared" si="6"/>
        <v>未买</v>
      </c>
    </row>
    <row r="34" spans="3:24" x14ac:dyDescent="0.15">
      <c r="C34" s="85" t="e">
        <f>VLOOKUP(A34,可转债实时数据!$B$7:$D$149,3,FALSE)</f>
        <v>#N/A</v>
      </c>
      <c r="D34" s="5" t="e">
        <f t="shared" si="4"/>
        <v>#N/A</v>
      </c>
      <c r="E34" s="5" t="e">
        <f t="shared" si="5"/>
        <v>#N/A</v>
      </c>
      <c r="H34" s="16">
        <v>32</v>
      </c>
      <c r="I34">
        <v>113588</v>
      </c>
      <c r="J34" t="s">
        <v>954</v>
      </c>
      <c r="K34">
        <v>146.5</v>
      </c>
      <c r="L34" s="39">
        <v>0.19800000000000001</v>
      </c>
      <c r="M34">
        <v>166.3</v>
      </c>
      <c r="N34" s="17">
        <v>2.96862</v>
      </c>
      <c r="O34" s="5" t="str">
        <f t="shared" si="7"/>
        <v>Yes</v>
      </c>
      <c r="R34" s="16">
        <v>32</v>
      </c>
      <c r="S34" s="7">
        <v>113676</v>
      </c>
      <c r="T34" s="7" t="s">
        <v>1024</v>
      </c>
      <c r="U34" s="7">
        <v>120.12</v>
      </c>
      <c r="V34" s="39">
        <v>0.20749999999999999</v>
      </c>
      <c r="W34" s="17">
        <v>5.7595900000000002</v>
      </c>
      <c r="X34" s="5" t="str">
        <f t="shared" si="6"/>
        <v>未买</v>
      </c>
    </row>
    <row r="35" spans="3:24" x14ac:dyDescent="0.15">
      <c r="C35" s="85" t="e">
        <f>VLOOKUP(A35,可转债实时数据!$B$7:$D$149,3,FALSE)</f>
        <v>#N/A</v>
      </c>
      <c r="D35" s="5" t="e">
        <f t="shared" si="4"/>
        <v>#N/A</v>
      </c>
      <c r="E35" s="5" t="e">
        <f t="shared" si="5"/>
        <v>#N/A</v>
      </c>
      <c r="H35" s="16">
        <v>33</v>
      </c>
      <c r="I35">
        <v>111013</v>
      </c>
      <c r="J35" t="s">
        <v>1061</v>
      </c>
      <c r="K35">
        <v>137.797</v>
      </c>
      <c r="L35" s="39">
        <v>0.29330000000000001</v>
      </c>
      <c r="M35">
        <v>167.12700000000001</v>
      </c>
      <c r="N35" s="17">
        <v>3.6872400000000001</v>
      </c>
      <c r="O35" s="5" t="str">
        <f t="shared" si="7"/>
        <v>未买</v>
      </c>
      <c r="R35" s="16">
        <v>33</v>
      </c>
      <c r="S35" s="7">
        <v>127054</v>
      </c>
      <c r="T35" s="7" t="s">
        <v>897</v>
      </c>
      <c r="U35" s="7">
        <v>122.81699999999999</v>
      </c>
      <c r="V35" s="39">
        <v>0.21479999999999999</v>
      </c>
      <c r="W35" s="17">
        <v>5.1360530000000004</v>
      </c>
      <c r="X35" s="5" t="str">
        <f t="shared" si="6"/>
        <v>未买</v>
      </c>
    </row>
    <row r="36" spans="3:24" x14ac:dyDescent="0.15">
      <c r="C36" s="85" t="e">
        <f>VLOOKUP(A36,可转债实时数据!$B$7:$D$149,3,FALSE)</f>
        <v>#N/A</v>
      </c>
      <c r="D36" s="5" t="e">
        <f t="shared" si="4"/>
        <v>#N/A</v>
      </c>
      <c r="E36" s="5" t="e">
        <f t="shared" si="5"/>
        <v>#N/A</v>
      </c>
      <c r="H36" s="16">
        <v>34</v>
      </c>
      <c r="I36">
        <v>123054</v>
      </c>
      <c r="J36" t="s">
        <v>955</v>
      </c>
      <c r="K36">
        <v>135.12700000000001</v>
      </c>
      <c r="L36" s="39">
        <v>0.32969999999999999</v>
      </c>
      <c r="M36">
        <v>168.09700000000001</v>
      </c>
      <c r="N36" s="17">
        <v>1.67252</v>
      </c>
      <c r="O36" s="5" t="str">
        <f t="shared" si="7"/>
        <v>Yes</v>
      </c>
      <c r="R36" s="16">
        <v>34</v>
      </c>
      <c r="S36" s="7">
        <v>127055</v>
      </c>
      <c r="T36" s="7" t="s">
        <v>912</v>
      </c>
      <c r="U36" s="7">
        <v>115.09099999999999</v>
      </c>
      <c r="V36" s="39">
        <v>0.21739999999999998</v>
      </c>
      <c r="W36" s="17">
        <v>5.7660080000000002</v>
      </c>
      <c r="X36" s="5" t="str">
        <f t="shared" si="6"/>
        <v>未买</v>
      </c>
    </row>
    <row r="37" spans="3:24" x14ac:dyDescent="0.15">
      <c r="C37" s="85" t="e">
        <f>VLOOKUP(A37,可转债实时数据!$B$7:$D$149,3,FALSE)</f>
        <v>#N/A</v>
      </c>
      <c r="D37" s="5" t="e">
        <f t="shared" si="4"/>
        <v>#N/A</v>
      </c>
      <c r="E37" s="5" t="e">
        <f t="shared" si="5"/>
        <v>#N/A</v>
      </c>
      <c r="H37" s="16">
        <v>35</v>
      </c>
      <c r="I37">
        <v>113646</v>
      </c>
      <c r="J37" t="s">
        <v>1016</v>
      </c>
      <c r="K37">
        <v>140.31100000000001</v>
      </c>
      <c r="L37" s="39">
        <v>0.29499999999999998</v>
      </c>
      <c r="M37">
        <v>169.81100000000001</v>
      </c>
      <c r="N37" s="17">
        <v>1.3812899999999999</v>
      </c>
      <c r="O37" s="5" t="str">
        <f t="shared" si="7"/>
        <v>未买</v>
      </c>
      <c r="R37" s="16">
        <v>35</v>
      </c>
      <c r="S37" s="7">
        <v>113674</v>
      </c>
      <c r="T37" s="7" t="s">
        <v>1017</v>
      </c>
      <c r="U37" s="7">
        <v>132</v>
      </c>
      <c r="V37" s="39">
        <v>0.21829999999999999</v>
      </c>
      <c r="W37" s="17">
        <v>3.9992899999999998</v>
      </c>
      <c r="X37" s="5" t="str">
        <f t="shared" si="6"/>
        <v>未买</v>
      </c>
    </row>
    <row r="38" spans="3:24" x14ac:dyDescent="0.15">
      <c r="C38" s="85" t="e">
        <f>VLOOKUP(A38,可转债实时数据!$B$7:$D$149,3,FALSE)</f>
        <v>#N/A</v>
      </c>
      <c r="D38" s="5" t="e">
        <f t="shared" si="4"/>
        <v>#N/A</v>
      </c>
      <c r="E38" s="5" t="e">
        <f t="shared" si="5"/>
        <v>#N/A</v>
      </c>
      <c r="H38" s="16">
        <v>36</v>
      </c>
      <c r="I38">
        <v>123038</v>
      </c>
      <c r="J38" t="s">
        <v>953</v>
      </c>
      <c r="K38">
        <v>137</v>
      </c>
      <c r="L38" s="39">
        <v>0.34079999999999999</v>
      </c>
      <c r="M38">
        <v>171.07999999999998</v>
      </c>
      <c r="N38" s="17">
        <v>1.471317</v>
      </c>
      <c r="O38" s="5" t="str">
        <f t="shared" si="7"/>
        <v>Yes</v>
      </c>
      <c r="R38" s="16">
        <v>36</v>
      </c>
      <c r="S38" s="7">
        <v>123206</v>
      </c>
      <c r="T38" s="7" t="s">
        <v>900</v>
      </c>
      <c r="U38" s="7">
        <v>127.411</v>
      </c>
      <c r="V38" s="39">
        <v>0.2296</v>
      </c>
      <c r="W38" s="17">
        <v>2.4982410000000002</v>
      </c>
      <c r="X38" s="5" t="str">
        <f t="shared" si="6"/>
        <v>未买</v>
      </c>
    </row>
    <row r="39" spans="3:24" x14ac:dyDescent="0.15">
      <c r="C39" s="85" t="e">
        <f>VLOOKUP(A39,可转债实时数据!$B$7:$D$149,3,FALSE)</f>
        <v>#N/A</v>
      </c>
      <c r="D39" s="5" t="e">
        <f t="shared" si="4"/>
        <v>#N/A</v>
      </c>
      <c r="E39" s="5" t="e">
        <f t="shared" si="5"/>
        <v>#N/A</v>
      </c>
      <c r="H39" s="16">
        <v>37</v>
      </c>
      <c r="I39"/>
      <c r="J39"/>
      <c r="K39"/>
      <c r="L39" s="39"/>
      <c r="M39"/>
      <c r="N39" s="17"/>
      <c r="O39" s="5" t="str">
        <f t="shared" si="7"/>
        <v>未买</v>
      </c>
      <c r="R39" s="16">
        <v>37</v>
      </c>
      <c r="S39" s="7">
        <v>128128</v>
      </c>
      <c r="T39" s="7" t="s">
        <v>1060</v>
      </c>
      <c r="U39" s="7">
        <v>122.57</v>
      </c>
      <c r="V39" s="39">
        <v>0.23010000000000003</v>
      </c>
      <c r="W39" s="17">
        <v>6.7946759999999999</v>
      </c>
      <c r="X39" s="5" t="str">
        <f t="shared" si="6"/>
        <v>未买</v>
      </c>
    </row>
    <row r="40" spans="3:24" x14ac:dyDescent="0.15">
      <c r="C40" s="85" t="e">
        <f>VLOOKUP(A40,可转债实时数据!$B$7:$D$149,3,FALSE)</f>
        <v>#N/A</v>
      </c>
      <c r="D40" s="5" t="e">
        <f t="shared" si="4"/>
        <v>#N/A</v>
      </c>
      <c r="E40" s="5" t="e">
        <f t="shared" si="5"/>
        <v>#N/A</v>
      </c>
      <c r="H40" s="16">
        <v>38</v>
      </c>
      <c r="I40"/>
      <c r="J40"/>
      <c r="K40"/>
      <c r="L40" s="39"/>
      <c r="M40"/>
      <c r="N40" s="17"/>
      <c r="O40" s="5" t="str">
        <f t="shared" si="7"/>
        <v>未买</v>
      </c>
      <c r="R40" s="16">
        <v>38</v>
      </c>
      <c r="S40" s="7">
        <v>111002</v>
      </c>
      <c r="T40" s="7" t="s">
        <v>1035</v>
      </c>
      <c r="U40" s="7">
        <v>122.795</v>
      </c>
      <c r="V40" s="39">
        <v>0.23050000000000001</v>
      </c>
      <c r="W40" s="17">
        <v>6.6193099999999996</v>
      </c>
      <c r="X40" s="5" t="str">
        <f t="shared" si="6"/>
        <v>未买</v>
      </c>
    </row>
    <row r="41" spans="3:24" x14ac:dyDescent="0.15">
      <c r="C41" s="85" t="e">
        <f>VLOOKUP(A41,可转债实时数据!$B$7:$D$149,3,FALSE)</f>
        <v>#N/A</v>
      </c>
      <c r="D41" s="5" t="e">
        <f t="shared" si="4"/>
        <v>#N/A</v>
      </c>
      <c r="E41" s="5" t="e">
        <f t="shared" si="5"/>
        <v>#N/A</v>
      </c>
      <c r="H41" s="16">
        <v>39</v>
      </c>
      <c r="I41"/>
      <c r="J41"/>
      <c r="K41"/>
      <c r="L41" s="39"/>
      <c r="M41"/>
      <c r="N41" s="17"/>
      <c r="O41" s="5" t="str">
        <f t="shared" si="7"/>
        <v>未买</v>
      </c>
      <c r="R41" s="16">
        <v>39</v>
      </c>
      <c r="S41" s="7">
        <v>123191</v>
      </c>
      <c r="T41" s="7" t="s">
        <v>974</v>
      </c>
      <c r="U41" s="7">
        <v>117.8</v>
      </c>
      <c r="V41" s="39">
        <v>0.24199999999999999</v>
      </c>
      <c r="W41" s="17">
        <v>6.9956589999999998</v>
      </c>
      <c r="X41" s="5" t="str">
        <f t="shared" si="6"/>
        <v>未买</v>
      </c>
    </row>
    <row r="42" spans="3:24" x14ac:dyDescent="0.15">
      <c r="C42" s="85" t="e">
        <f>VLOOKUP(A42,可转债实时数据!$B$7:$D$149,3,FALSE)</f>
        <v>#N/A</v>
      </c>
      <c r="D42" s="5" t="e">
        <f t="shared" si="4"/>
        <v>#N/A</v>
      </c>
      <c r="E42" s="5" t="e">
        <f t="shared" si="5"/>
        <v>#N/A</v>
      </c>
      <c r="H42" s="16">
        <v>40</v>
      </c>
      <c r="I42"/>
      <c r="J42"/>
      <c r="K42"/>
      <c r="L42" s="39"/>
      <c r="M42"/>
      <c r="N42" s="17"/>
      <c r="O42" s="5" t="str">
        <f t="shared" si="7"/>
        <v>未买</v>
      </c>
      <c r="R42" s="16">
        <v>40</v>
      </c>
      <c r="S42" s="7">
        <v>113628</v>
      </c>
      <c r="T42" s="7" t="s">
        <v>886</v>
      </c>
      <c r="U42" s="7">
        <v>114.11</v>
      </c>
      <c r="V42" s="39">
        <v>0.2432</v>
      </c>
      <c r="W42" s="17">
        <v>4.1492300000000002</v>
      </c>
      <c r="X42" s="5" t="str">
        <f t="shared" si="6"/>
        <v>Yes</v>
      </c>
    </row>
    <row r="43" spans="3:24" x14ac:dyDescent="0.15">
      <c r="C43" s="85" t="e">
        <f>VLOOKUP(A43,可转债实时数据!$B$7:$D$149,3,FALSE)</f>
        <v>#N/A</v>
      </c>
      <c r="D43" s="5" t="e">
        <f t="shared" si="4"/>
        <v>#N/A</v>
      </c>
      <c r="E43" s="5" t="e">
        <f t="shared" si="5"/>
        <v>#N/A</v>
      </c>
      <c r="H43" s="16">
        <v>41</v>
      </c>
      <c r="I43"/>
      <c r="J43"/>
      <c r="K43"/>
      <c r="L43" s="39"/>
      <c r="M43"/>
      <c r="N43" s="17"/>
      <c r="O43" s="5" t="str">
        <f t="shared" si="7"/>
        <v>未买</v>
      </c>
      <c r="R43" s="16">
        <v>41</v>
      </c>
      <c r="S43" s="7">
        <v>123203</v>
      </c>
      <c r="T43" s="7" t="s">
        <v>1059</v>
      </c>
      <c r="U43" s="7">
        <v>118.17400000000001</v>
      </c>
      <c r="V43" s="39">
        <v>0.24890000000000001</v>
      </c>
      <c r="W43" s="17">
        <v>4.4836019999999994</v>
      </c>
      <c r="X43" s="5" t="str">
        <f t="shared" si="6"/>
        <v>未买</v>
      </c>
    </row>
    <row r="44" spans="3:24" x14ac:dyDescent="0.15">
      <c r="C44" s="85" t="e">
        <f>VLOOKUP(A44,可转债实时数据!$B$7:$D$149,3,FALSE)</f>
        <v>#N/A</v>
      </c>
      <c r="D44" s="5" t="e">
        <f t="shared" si="4"/>
        <v>#N/A</v>
      </c>
      <c r="E44" s="5" t="e">
        <f t="shared" si="5"/>
        <v>#N/A</v>
      </c>
      <c r="H44" s="16">
        <v>42</v>
      </c>
      <c r="I44"/>
      <c r="J44"/>
      <c r="K44"/>
      <c r="L44" s="39"/>
      <c r="M44"/>
      <c r="N44" s="17"/>
      <c r="O44" s="5" t="str">
        <f t="shared" si="7"/>
        <v>未买</v>
      </c>
      <c r="R44" s="16">
        <v>42</v>
      </c>
      <c r="S44" s="7">
        <v>127053</v>
      </c>
      <c r="T44" s="7" t="s">
        <v>1027</v>
      </c>
      <c r="U44" s="7">
        <v>123.45699999999999</v>
      </c>
      <c r="V44" s="39">
        <v>0.25129999999999997</v>
      </c>
      <c r="W44" s="17">
        <v>4.8162739999999999</v>
      </c>
      <c r="X44" s="5" t="str">
        <f t="shared" si="6"/>
        <v>未买</v>
      </c>
    </row>
    <row r="45" spans="3:24" x14ac:dyDescent="0.15">
      <c r="H45" s="14">
        <v>43</v>
      </c>
      <c r="O45" s="5" t="str">
        <f t="shared" si="7"/>
        <v>未买</v>
      </c>
      <c r="R45" s="14">
        <v>43</v>
      </c>
      <c r="S45" s="7">
        <v>113598</v>
      </c>
      <c r="T45" s="7" t="s">
        <v>41</v>
      </c>
      <c r="U45" s="7">
        <v>136.22300000000001</v>
      </c>
      <c r="V45" s="40">
        <v>0.25600000000000001</v>
      </c>
      <c r="W45" s="29">
        <v>2.7522899999999999</v>
      </c>
      <c r="X45" s="5" t="str">
        <f t="shared" si="6"/>
        <v>未买</v>
      </c>
    </row>
    <row r="46" spans="3:24" x14ac:dyDescent="0.15">
      <c r="H46" s="14">
        <v>44</v>
      </c>
      <c r="O46" s="5" t="str">
        <f t="shared" si="7"/>
        <v>未买</v>
      </c>
      <c r="R46" s="14">
        <v>44</v>
      </c>
      <c r="S46" s="7">
        <v>123202</v>
      </c>
      <c r="T46" s="7" t="s">
        <v>893</v>
      </c>
      <c r="U46" s="7">
        <v>116.20099999999999</v>
      </c>
      <c r="V46" s="40">
        <v>0.25600000000000001</v>
      </c>
      <c r="W46" s="29">
        <v>4.5992730000000002</v>
      </c>
      <c r="X46" s="5" t="str">
        <f t="shared" si="6"/>
        <v>未买</v>
      </c>
    </row>
    <row r="47" spans="3:24" x14ac:dyDescent="0.15">
      <c r="H47" s="14">
        <v>45</v>
      </c>
      <c r="O47" s="5" t="str">
        <f t="shared" si="7"/>
        <v>未买</v>
      </c>
      <c r="R47" s="14">
        <v>45</v>
      </c>
      <c r="S47" s="7">
        <v>123096</v>
      </c>
      <c r="T47" s="7" t="s">
        <v>950</v>
      </c>
      <c r="U47" s="7">
        <v>91.896000000000001</v>
      </c>
      <c r="V47" s="40">
        <v>0.26179999999999998</v>
      </c>
      <c r="W47" s="29">
        <v>5.2376120000000004</v>
      </c>
      <c r="X47" s="5" t="str">
        <f t="shared" si="6"/>
        <v>未买</v>
      </c>
    </row>
    <row r="48" spans="3:24" x14ac:dyDescent="0.15">
      <c r="H48" s="14">
        <v>46</v>
      </c>
      <c r="O48" s="5" t="str">
        <f t="shared" si="7"/>
        <v>未买</v>
      </c>
      <c r="R48" s="14">
        <v>46</v>
      </c>
      <c r="S48" s="7">
        <v>123207</v>
      </c>
      <c r="T48" s="7" t="s">
        <v>899</v>
      </c>
      <c r="U48" s="7">
        <v>111.19799999999999</v>
      </c>
      <c r="V48" s="40">
        <v>0.26219999999999999</v>
      </c>
      <c r="W48" s="29">
        <v>3.9989170000000001</v>
      </c>
      <c r="X48" s="5" t="str">
        <f t="shared" si="6"/>
        <v>未买</v>
      </c>
    </row>
    <row r="49" spans="8:24" x14ac:dyDescent="0.15">
      <c r="H49" s="14">
        <v>47</v>
      </c>
      <c r="O49" s="5" t="str">
        <f t="shared" si="7"/>
        <v>未买</v>
      </c>
      <c r="R49" s="14">
        <v>47</v>
      </c>
      <c r="S49" s="7">
        <v>128120</v>
      </c>
      <c r="T49" s="7" t="s">
        <v>1041</v>
      </c>
      <c r="U49" s="7">
        <v>120</v>
      </c>
      <c r="V49" s="40">
        <v>0.27310000000000001</v>
      </c>
      <c r="W49" s="29">
        <v>2.5942419999999995</v>
      </c>
      <c r="X49" s="5" t="str">
        <f t="shared" si="6"/>
        <v>未买</v>
      </c>
    </row>
    <row r="50" spans="8:24" x14ac:dyDescent="0.15">
      <c r="H50" s="14">
        <v>48</v>
      </c>
      <c r="O50" s="5" t="str">
        <f t="shared" si="7"/>
        <v>未买</v>
      </c>
      <c r="R50" s="14">
        <v>48</v>
      </c>
      <c r="S50" s="7">
        <v>113671</v>
      </c>
      <c r="T50" s="7" t="s">
        <v>1014</v>
      </c>
      <c r="U50" s="7">
        <v>127.92100000000001</v>
      </c>
      <c r="V50" s="40">
        <v>0.2732</v>
      </c>
      <c r="W50" s="29">
        <v>3.0996000000000001</v>
      </c>
      <c r="X50" s="5" t="str">
        <f t="shared" si="6"/>
        <v>未买</v>
      </c>
    </row>
    <row r="51" spans="8:24" x14ac:dyDescent="0.15">
      <c r="H51" s="14">
        <v>49</v>
      </c>
      <c r="O51" s="5" t="str">
        <f t="shared" si="7"/>
        <v>未买</v>
      </c>
      <c r="R51" s="14">
        <v>49</v>
      </c>
      <c r="S51" s="7">
        <v>123218</v>
      </c>
      <c r="T51" s="7" t="s">
        <v>1005</v>
      </c>
      <c r="U51" s="7">
        <v>118.88800000000001</v>
      </c>
      <c r="V51" s="40">
        <v>0.27639999999999998</v>
      </c>
      <c r="W51" s="29">
        <v>3.7975249999999998</v>
      </c>
      <c r="X51" s="5" t="str">
        <f t="shared" si="6"/>
        <v>未买</v>
      </c>
    </row>
    <row r="52" spans="8:24" x14ac:dyDescent="0.15">
      <c r="H52" s="14">
        <v>50</v>
      </c>
      <c r="O52" s="5" t="str">
        <f t="shared" si="7"/>
        <v>未买</v>
      </c>
      <c r="R52" s="14">
        <v>50</v>
      </c>
      <c r="S52" s="7">
        <v>123141</v>
      </c>
      <c r="T52" s="7" t="s">
        <v>179</v>
      </c>
      <c r="U52" s="7">
        <v>115.85899999999999</v>
      </c>
      <c r="V52" s="40">
        <v>0.27750000000000002</v>
      </c>
      <c r="W52" s="29">
        <v>3.2096100000000001</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155"/>
  <sheetViews>
    <sheetView tabSelected="1" topLeftCell="G1" workbookViewId="0">
      <pane ySplit="1" topLeftCell="A102" activePane="bottomLeft" state="frozen"/>
      <selection pane="bottomLeft" activeCell="I121" sqref="I121"/>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22.5" customWidth="1"/>
    <col min="10" max="10" width="10.625" customWidth="1"/>
    <col min="11" max="11" width="8" style="43" customWidth="1"/>
    <col min="12" max="12" width="7.75" style="39" customWidth="1"/>
    <col min="13" max="13" width="8.75" style="39" customWidth="1"/>
    <col min="14" max="14" width="8.125" style="43" customWidth="1"/>
    <col min="15" max="16" width="8.375" style="39" customWidth="1"/>
    <col min="17" max="17" width="8.5" style="39" customWidth="1"/>
    <col min="18" max="19" width="8.625" style="39" customWidth="1"/>
    <col min="20" max="20" width="8.875" customWidth="1"/>
    <col min="21" max="21" width="9" customWidth="1"/>
    <col min="22" max="22" width="8" customWidth="1"/>
    <col min="23" max="23" width="11.625" style="17" customWidth="1"/>
    <col min="24" max="24" width="8.75" style="83" customWidth="1"/>
    <col min="25" max="25" width="9.375" style="81" customWidth="1"/>
  </cols>
  <sheetData>
    <row r="1" spans="1:28" s="18" customFormat="1" ht="53.25" customHeight="1" x14ac:dyDescent="0.15">
      <c r="A1" s="24" t="s">
        <v>52</v>
      </c>
      <c r="B1" s="19" t="s">
        <v>33</v>
      </c>
      <c r="C1" s="19" t="s">
        <v>32</v>
      </c>
      <c r="D1" s="19" t="s">
        <v>324</v>
      </c>
      <c r="E1" s="22"/>
      <c r="F1" s="24" t="s">
        <v>178</v>
      </c>
      <c r="G1" s="20"/>
      <c r="H1" s="19" t="s">
        <v>33</v>
      </c>
      <c r="I1" s="19" t="s">
        <v>32</v>
      </c>
      <c r="J1" s="19" t="s">
        <v>31</v>
      </c>
      <c r="K1" s="42" t="s">
        <v>29</v>
      </c>
      <c r="L1" s="41" t="s">
        <v>382</v>
      </c>
      <c r="M1" s="41" t="s">
        <v>383</v>
      </c>
      <c r="N1" s="42" t="s">
        <v>30</v>
      </c>
      <c r="O1" s="41" t="s">
        <v>399</v>
      </c>
      <c r="P1" s="41" t="s">
        <v>400</v>
      </c>
      <c r="Q1" s="41" t="s">
        <v>401</v>
      </c>
      <c r="R1" s="41" t="s">
        <v>402</v>
      </c>
      <c r="S1" s="41" t="s">
        <v>417</v>
      </c>
      <c r="T1" s="19" t="s">
        <v>28</v>
      </c>
      <c r="U1" s="19" t="s">
        <v>318</v>
      </c>
      <c r="V1" s="19" t="s">
        <v>319</v>
      </c>
      <c r="W1" s="21" t="s">
        <v>320</v>
      </c>
      <c r="X1" s="82" t="s">
        <v>638</v>
      </c>
      <c r="Y1" s="80" t="s">
        <v>656</v>
      </c>
      <c r="AA1" s="36" t="s">
        <v>376</v>
      </c>
    </row>
    <row r="2" spans="1:28" x14ac:dyDescent="0.15">
      <c r="A2">
        <v>1</v>
      </c>
      <c r="B2">
        <v>159981</v>
      </c>
      <c r="C2" t="s">
        <v>27</v>
      </c>
      <c r="D2">
        <f t="shared" ref="D2:D10" si="0">MATCH(IF(B2&lt;499999,"SZ"&amp;B2,"SH"&amp;B2),$H$2:$H$1668,0)</f>
        <v>5</v>
      </c>
      <c r="G2" s="11">
        <v>1</v>
      </c>
      <c r="H2" t="s">
        <v>55</v>
      </c>
      <c r="I2" t="s">
        <v>640</v>
      </c>
      <c r="J2" t="s">
        <v>185</v>
      </c>
      <c r="K2" s="43">
        <v>-4.7999999999999996E-3</v>
      </c>
      <c r="L2" s="39">
        <v>-1.1900000000000001E-2</v>
      </c>
      <c r="M2" s="39">
        <v>3.85E-2</v>
      </c>
      <c r="N2" s="43">
        <v>7.5499999999999998E-2</v>
      </c>
      <c r="O2" s="39">
        <v>0.2094</v>
      </c>
      <c r="P2" s="39">
        <v>0.22600000000000001</v>
      </c>
      <c r="Q2" s="39">
        <v>0.26329999999999998</v>
      </c>
      <c r="R2" s="39">
        <v>0.16539999999999999</v>
      </c>
      <c r="S2" s="39">
        <v>0.40029999999999999</v>
      </c>
      <c r="T2">
        <v>100</v>
      </c>
      <c r="U2">
        <v>92.16</v>
      </c>
      <c r="V2">
        <v>99.35</v>
      </c>
      <c r="W2" s="17">
        <v>22474.140180000002</v>
      </c>
      <c r="X2" s="83" t="s">
        <v>639</v>
      </c>
      <c r="AA2" s="9"/>
      <c r="AB2" s="9"/>
    </row>
    <row r="3" spans="1:28" x14ac:dyDescent="0.15">
      <c r="A3">
        <v>2</v>
      </c>
      <c r="B3">
        <v>160416</v>
      </c>
      <c r="C3" t="s">
        <v>26</v>
      </c>
      <c r="D3" t="e">
        <f t="shared" si="0"/>
        <v>#N/A</v>
      </c>
      <c r="G3" s="11">
        <v>2</v>
      </c>
      <c r="H3" t="s">
        <v>123</v>
      </c>
      <c r="I3" t="s">
        <v>226</v>
      </c>
      <c r="J3" t="s">
        <v>185</v>
      </c>
      <c r="K3" s="43">
        <v>-2.5000000000000001E-3</v>
      </c>
      <c r="L3" s="39">
        <v>-5.67E-2</v>
      </c>
      <c r="M3" s="39">
        <v>8.8000000000000005E-3</v>
      </c>
      <c r="N3" s="43">
        <v>7.9799999999999996E-2</v>
      </c>
      <c r="O3" s="39">
        <v>6.8999999999999999E-3</v>
      </c>
      <c r="P3" s="39">
        <v>-8.8300000000000003E-2</v>
      </c>
      <c r="Q3" s="39">
        <v>-0.17530000000000001</v>
      </c>
      <c r="R3" s="39">
        <v>-0.31019999999999998</v>
      </c>
      <c r="S3" s="39">
        <v>-0.40450000000000003</v>
      </c>
      <c r="T3">
        <v>99.35</v>
      </c>
      <c r="U3">
        <v>93.46</v>
      </c>
      <c r="V3">
        <v>97.39</v>
      </c>
      <c r="W3" s="17">
        <v>4466.4772048000004</v>
      </c>
      <c r="X3" s="83" t="s">
        <v>639</v>
      </c>
      <c r="AA3" s="9"/>
      <c r="AB3" s="9"/>
    </row>
    <row r="4" spans="1:28" x14ac:dyDescent="0.15">
      <c r="A4">
        <v>3</v>
      </c>
      <c r="B4">
        <v>164906</v>
      </c>
      <c r="C4" t="s">
        <v>25</v>
      </c>
      <c r="D4">
        <f t="shared" si="0"/>
        <v>21</v>
      </c>
      <c r="G4" s="11">
        <v>3</v>
      </c>
      <c r="H4" s="10" t="s">
        <v>73</v>
      </c>
      <c r="I4" t="s">
        <v>220</v>
      </c>
      <c r="J4" t="s">
        <v>185</v>
      </c>
      <c r="K4" s="43">
        <v>-9.9000000000000008E-3</v>
      </c>
      <c r="L4" s="39">
        <v>-3.0999999999999999E-3</v>
      </c>
      <c r="M4" s="39">
        <v>8.8000000000000005E-3</v>
      </c>
      <c r="N4" s="43">
        <v>6.3399999999999998E-2</v>
      </c>
      <c r="O4" s="39">
        <v>0.17069999999999999</v>
      </c>
      <c r="P4" s="39">
        <v>3.04E-2</v>
      </c>
      <c r="Q4" s="39">
        <v>0.31559999999999999</v>
      </c>
      <c r="R4" s="39">
        <v>0.50680000000000003</v>
      </c>
      <c r="S4" s="39">
        <v>0.77359999999999995</v>
      </c>
      <c r="T4">
        <v>98.69</v>
      </c>
      <c r="U4">
        <v>86.93</v>
      </c>
      <c r="V4">
        <v>100</v>
      </c>
      <c r="W4" s="17">
        <v>27381.473839999999</v>
      </c>
      <c r="X4" s="83" t="s">
        <v>639</v>
      </c>
      <c r="AA4" s="9"/>
      <c r="AB4" s="9"/>
    </row>
    <row r="5" spans="1:28" x14ac:dyDescent="0.15">
      <c r="A5">
        <v>4</v>
      </c>
      <c r="B5">
        <v>159985</v>
      </c>
      <c r="C5" t="s">
        <v>24</v>
      </c>
      <c r="D5">
        <f t="shared" si="0"/>
        <v>3</v>
      </c>
      <c r="G5" s="11">
        <v>4</v>
      </c>
      <c r="H5" s="10" t="s">
        <v>135</v>
      </c>
      <c r="I5" t="s">
        <v>192</v>
      </c>
      <c r="J5" t="s">
        <v>185</v>
      </c>
      <c r="K5" s="43">
        <v>-8.9999999999999998E-4</v>
      </c>
      <c r="L5" s="39">
        <v>-3.6600000000000001E-2</v>
      </c>
      <c r="M5" s="39">
        <v>-5.1000000000000004E-3</v>
      </c>
      <c r="N5" s="43">
        <v>8.09E-2</v>
      </c>
      <c r="O5" s="39">
        <v>7.4999999999999997E-2</v>
      </c>
      <c r="P5" s="39">
        <v>-2.1600000000000001E-2</v>
      </c>
      <c r="Q5" s="39">
        <v>-8.4599999999999995E-2</v>
      </c>
      <c r="R5" s="39">
        <v>-0.12989999999999999</v>
      </c>
      <c r="S5" s="39">
        <v>-0.26790000000000003</v>
      </c>
      <c r="T5">
        <v>98.04</v>
      </c>
      <c r="U5">
        <v>94.12</v>
      </c>
      <c r="V5">
        <v>84.31</v>
      </c>
      <c r="W5" s="17">
        <v>14605.63335</v>
      </c>
      <c r="X5" s="83" t="s">
        <v>639</v>
      </c>
      <c r="AA5" s="9"/>
      <c r="AB5" s="9"/>
    </row>
    <row r="6" spans="1:28" x14ac:dyDescent="0.15">
      <c r="A6">
        <v>5</v>
      </c>
      <c r="B6">
        <v>501046</v>
      </c>
      <c r="C6" t="s">
        <v>34</v>
      </c>
      <c r="D6" t="e">
        <f t="shared" si="0"/>
        <v>#N/A</v>
      </c>
      <c r="G6" s="11">
        <v>5</v>
      </c>
      <c r="H6" t="s">
        <v>54</v>
      </c>
      <c r="I6" t="s">
        <v>914</v>
      </c>
      <c r="J6" t="s">
        <v>185</v>
      </c>
      <c r="K6" s="43">
        <v>-2.8999999999999998E-3</v>
      </c>
      <c r="L6" s="39">
        <v>3.0999999999999999E-3</v>
      </c>
      <c r="M6" s="39">
        <v>2.7699999999999999E-2</v>
      </c>
      <c r="N6" s="43">
        <v>3.2399999999999998E-2</v>
      </c>
      <c r="O6" s="39">
        <v>2.8799999999999999E-2</v>
      </c>
      <c r="P6" s="39">
        <v>5.7500000000000002E-2</v>
      </c>
      <c r="Q6" s="39">
        <v>0.1585</v>
      </c>
      <c r="R6" s="39">
        <v>3.3300000000000003E-2</v>
      </c>
      <c r="S6" s="39">
        <v>0.44219999999999998</v>
      </c>
      <c r="T6">
        <v>97.39</v>
      </c>
      <c r="U6">
        <v>75.16</v>
      </c>
      <c r="V6">
        <v>98.04</v>
      </c>
      <c r="W6" s="17">
        <v>2205.5798300000001</v>
      </c>
      <c r="X6" s="83" t="s">
        <v>639</v>
      </c>
      <c r="AA6" t="s">
        <v>1068</v>
      </c>
    </row>
    <row r="7" spans="1:28" x14ac:dyDescent="0.15">
      <c r="A7">
        <v>6</v>
      </c>
      <c r="B7">
        <v>160216</v>
      </c>
      <c r="C7" t="s">
        <v>22</v>
      </c>
      <c r="D7" t="e">
        <f t="shared" si="0"/>
        <v>#N/A</v>
      </c>
      <c r="G7" s="11">
        <v>6</v>
      </c>
      <c r="H7" s="10" t="s">
        <v>143</v>
      </c>
      <c r="I7" t="s">
        <v>239</v>
      </c>
      <c r="J7" t="s">
        <v>185</v>
      </c>
      <c r="K7" s="43">
        <v>-1.1000000000000001E-3</v>
      </c>
      <c r="L7" s="39">
        <v>-1.1900000000000001E-2</v>
      </c>
      <c r="M7" s="39">
        <v>-3.6600000000000001E-2</v>
      </c>
      <c r="N7" s="43">
        <v>4.99E-2</v>
      </c>
      <c r="O7" s="39">
        <v>9.9099999999999994E-2</v>
      </c>
      <c r="P7" s="39">
        <v>0.13780000000000001</v>
      </c>
      <c r="Q7" s="39">
        <v>0.14979999999999999</v>
      </c>
      <c r="R7" s="39">
        <v>0.22450000000000001</v>
      </c>
      <c r="S7" s="39">
        <v>-0.1186</v>
      </c>
      <c r="T7">
        <v>96.73</v>
      </c>
      <c r="U7">
        <v>83.66</v>
      </c>
      <c r="V7">
        <v>88.24</v>
      </c>
      <c r="W7" s="17">
        <v>11223.51268</v>
      </c>
    </row>
    <row r="8" spans="1:28" x14ac:dyDescent="0.15">
      <c r="A8">
        <v>7</v>
      </c>
      <c r="B8">
        <v>513680</v>
      </c>
      <c r="C8" t="s">
        <v>47</v>
      </c>
      <c r="D8" t="e">
        <f t="shared" si="0"/>
        <v>#N/A</v>
      </c>
      <c r="G8" s="11">
        <v>7</v>
      </c>
      <c r="H8" s="10" t="s">
        <v>316</v>
      </c>
      <c r="I8" t="s">
        <v>317</v>
      </c>
      <c r="J8" t="s">
        <v>321</v>
      </c>
      <c r="K8" s="43">
        <v>-1E-3</v>
      </c>
      <c r="L8" s="39">
        <v>-1.1900000000000001E-2</v>
      </c>
      <c r="M8" s="39">
        <v>-3.6299999999999999E-2</v>
      </c>
      <c r="N8" s="43">
        <v>5.0299999999999997E-2</v>
      </c>
      <c r="O8" s="39">
        <v>0.10100000000000001</v>
      </c>
      <c r="P8" s="39">
        <v>0.14249999999999999</v>
      </c>
      <c r="Q8" s="39">
        <v>0.15759999999999999</v>
      </c>
      <c r="R8" s="39">
        <v>0.23499999999999999</v>
      </c>
      <c r="S8" s="39">
        <v>0.25430000000000003</v>
      </c>
      <c r="T8">
        <v>96.08</v>
      </c>
      <c r="U8">
        <v>84.31</v>
      </c>
      <c r="V8">
        <v>87.58</v>
      </c>
      <c r="W8" s="17">
        <v>2014.1273000000001</v>
      </c>
    </row>
    <row r="9" spans="1:28" x14ac:dyDescent="0.15">
      <c r="A9">
        <v>8</v>
      </c>
      <c r="B9">
        <v>160717</v>
      </c>
      <c r="C9" t="s">
        <v>19</v>
      </c>
      <c r="D9" t="e">
        <f t="shared" si="0"/>
        <v>#N/A</v>
      </c>
      <c r="G9" s="11">
        <v>8</v>
      </c>
      <c r="H9" s="10" t="s">
        <v>314</v>
      </c>
      <c r="I9" t="s">
        <v>315</v>
      </c>
      <c r="J9" t="s">
        <v>321</v>
      </c>
      <c r="K9" s="43">
        <v>-2.3E-3</v>
      </c>
      <c r="L9" s="39">
        <v>-2.75E-2</v>
      </c>
      <c r="M9" s="39">
        <v>-2.53E-2</v>
      </c>
      <c r="N9" s="43">
        <v>3.0700000000000002E-2</v>
      </c>
      <c r="O9" s="39">
        <v>3.0000000000000001E-3</v>
      </c>
      <c r="P9" s="39">
        <v>-8.2900000000000001E-2</v>
      </c>
      <c r="Q9" s="39">
        <v>-0.11070000000000001</v>
      </c>
      <c r="R9" s="39">
        <v>-9.98E-2</v>
      </c>
      <c r="S9" s="39">
        <v>-0.3589</v>
      </c>
      <c r="T9">
        <v>95.42</v>
      </c>
      <c r="U9">
        <v>71.900000000000006</v>
      </c>
      <c r="V9">
        <v>96.08</v>
      </c>
      <c r="W9" s="17">
        <v>1428.2154</v>
      </c>
      <c r="X9" s="83" t="s">
        <v>639</v>
      </c>
    </row>
    <row r="10" spans="1:28" x14ac:dyDescent="0.15">
      <c r="A10">
        <v>9</v>
      </c>
      <c r="B10">
        <v>162411</v>
      </c>
      <c r="C10" t="s">
        <v>21</v>
      </c>
      <c r="D10">
        <f t="shared" si="0"/>
        <v>152</v>
      </c>
      <c r="G10" s="11">
        <v>9</v>
      </c>
      <c r="H10" s="10" t="s">
        <v>305</v>
      </c>
      <c r="I10" t="s">
        <v>306</v>
      </c>
      <c r="J10" t="s">
        <v>321</v>
      </c>
      <c r="K10" s="43">
        <v>-6.9999999999999999E-4</v>
      </c>
      <c r="L10" s="39">
        <v>-1.2E-2</v>
      </c>
      <c r="M10" s="39">
        <v>-3.6600000000000001E-2</v>
      </c>
      <c r="N10" s="43">
        <v>4.9700000000000001E-2</v>
      </c>
      <c r="O10" s="39">
        <v>0.10009999999999999</v>
      </c>
      <c r="P10" s="39">
        <v>0.14019999999999999</v>
      </c>
      <c r="Q10" s="39">
        <v>0.1615</v>
      </c>
      <c r="R10" s="39">
        <v>0.2467</v>
      </c>
      <c r="S10" s="39">
        <v>7.2800000000000004E-2</v>
      </c>
      <c r="T10">
        <v>94.77</v>
      </c>
      <c r="U10">
        <v>83.01</v>
      </c>
      <c r="V10">
        <v>81.05</v>
      </c>
      <c r="W10" s="17">
        <v>1583.5626999999999</v>
      </c>
    </row>
    <row r="11" spans="1:28" x14ac:dyDescent="0.15">
      <c r="G11" s="11">
        <v>10</v>
      </c>
      <c r="H11" t="s">
        <v>118</v>
      </c>
      <c r="I11" t="s">
        <v>186</v>
      </c>
      <c r="J11" t="s">
        <v>185</v>
      </c>
      <c r="K11" s="43">
        <v>-1.9E-3</v>
      </c>
      <c r="L11" s="39">
        <v>-1.29E-2</v>
      </c>
      <c r="M11" s="39">
        <v>9.5999999999999992E-3</v>
      </c>
      <c r="N11" s="43">
        <v>2.98E-2</v>
      </c>
      <c r="O11" s="39">
        <v>2.3E-2</v>
      </c>
      <c r="P11" s="39">
        <v>6.5299999999999997E-2</v>
      </c>
      <c r="Q11" s="39">
        <v>1.29E-2</v>
      </c>
      <c r="R11" s="39">
        <v>0.1182</v>
      </c>
      <c r="S11" s="39">
        <v>-5.1799999999999999E-2</v>
      </c>
      <c r="T11">
        <v>94.12</v>
      </c>
      <c r="U11">
        <v>70.59</v>
      </c>
      <c r="V11">
        <v>93.46</v>
      </c>
      <c r="W11" s="17">
        <v>3028.7177999999999</v>
      </c>
    </row>
    <row r="12" spans="1:28" x14ac:dyDescent="0.15">
      <c r="G12" s="11">
        <v>11</v>
      </c>
      <c r="H12" t="s">
        <v>134</v>
      </c>
      <c r="I12" t="s">
        <v>225</v>
      </c>
      <c r="J12" t="s">
        <v>185</v>
      </c>
      <c r="K12" s="43">
        <v>-1.4E-3</v>
      </c>
      <c r="L12" s="39">
        <v>-2.24E-2</v>
      </c>
      <c r="M12" s="39">
        <v>-1.9300000000000001E-2</v>
      </c>
      <c r="N12" s="43">
        <v>3.0700000000000002E-2</v>
      </c>
      <c r="O12" s="39">
        <v>6.0900000000000003E-2</v>
      </c>
      <c r="P12" s="39">
        <v>7.8799999999999995E-2</v>
      </c>
      <c r="Q12" s="39">
        <v>1.29E-2</v>
      </c>
      <c r="R12" s="39">
        <v>-3.5400000000000001E-2</v>
      </c>
      <c r="S12" s="39">
        <v>-0.29949999999999999</v>
      </c>
      <c r="T12">
        <v>93.46</v>
      </c>
      <c r="U12">
        <v>72.55</v>
      </c>
      <c r="V12">
        <v>90.85</v>
      </c>
      <c r="W12" s="17">
        <v>2584.4726999999998</v>
      </c>
    </row>
    <row r="13" spans="1:28" x14ac:dyDescent="0.15">
      <c r="G13" s="11">
        <v>12</v>
      </c>
      <c r="H13" s="10" t="s">
        <v>170</v>
      </c>
      <c r="I13" t="s">
        <v>267</v>
      </c>
      <c r="J13" t="s">
        <v>266</v>
      </c>
      <c r="K13" s="43">
        <v>-2.0000000000000001E-4</v>
      </c>
      <c r="L13" s="39">
        <v>-5.1200000000000002E-2</v>
      </c>
      <c r="M13" s="39">
        <v>-1.34E-2</v>
      </c>
      <c r="N13" s="43">
        <v>9.2200000000000004E-2</v>
      </c>
      <c r="O13" s="39">
        <v>0.1925</v>
      </c>
      <c r="P13" s="39">
        <v>0.1101</v>
      </c>
      <c r="Q13" s="39">
        <v>0.1434</v>
      </c>
      <c r="R13" s="39">
        <v>0.27589999999999998</v>
      </c>
      <c r="S13" s="39">
        <v>-0.14680000000000001</v>
      </c>
      <c r="T13">
        <v>92.81</v>
      </c>
      <c r="U13">
        <v>95.42</v>
      </c>
      <c r="V13">
        <v>67.97</v>
      </c>
      <c r="W13" s="17">
        <v>79251.954483399997</v>
      </c>
    </row>
    <row r="14" spans="1:28" x14ac:dyDescent="0.15">
      <c r="G14" s="11">
        <v>13</v>
      </c>
      <c r="H14" s="10" t="s">
        <v>351</v>
      </c>
      <c r="I14" t="s">
        <v>926</v>
      </c>
      <c r="J14" t="s">
        <v>927</v>
      </c>
      <c r="K14" s="43">
        <v>1E-4</v>
      </c>
      <c r="L14" s="39">
        <v>-3.7000000000000002E-3</v>
      </c>
      <c r="M14" s="39">
        <v>0.1221</v>
      </c>
      <c r="N14" s="43">
        <v>0.1598</v>
      </c>
      <c r="O14" s="39">
        <v>0.3649</v>
      </c>
      <c r="P14" s="39">
        <v>0.30959999999999999</v>
      </c>
      <c r="Q14" s="39">
        <v>0.40739999999999998</v>
      </c>
      <c r="R14" s="39">
        <v>0.4602</v>
      </c>
      <c r="S14" s="39">
        <v>0.14990000000000001</v>
      </c>
      <c r="T14">
        <v>92.16</v>
      </c>
      <c r="U14">
        <v>99.35</v>
      </c>
      <c r="V14">
        <v>59.48</v>
      </c>
      <c r="W14" s="17">
        <v>7116.9291060000005</v>
      </c>
      <c r="X14" s="83" t="s">
        <v>639</v>
      </c>
    </row>
    <row r="15" spans="1:28" x14ac:dyDescent="0.15">
      <c r="G15" s="11">
        <v>14</v>
      </c>
      <c r="H15" s="10" t="s">
        <v>145</v>
      </c>
      <c r="I15" t="s">
        <v>190</v>
      </c>
      <c r="J15" t="s">
        <v>185</v>
      </c>
      <c r="K15" s="43">
        <v>-1.2999999999999999E-3</v>
      </c>
      <c r="L15" s="39">
        <v>-2.3900000000000001E-2</v>
      </c>
      <c r="M15" s="39">
        <v>-2.86E-2</v>
      </c>
      <c r="N15" s="43">
        <v>2.8299999999999999E-2</v>
      </c>
      <c r="O15" s="39">
        <v>5.8000000000000003E-2</v>
      </c>
      <c r="P15" s="39">
        <v>7.1000000000000004E-3</v>
      </c>
      <c r="Q15" s="39">
        <v>-0.124</v>
      </c>
      <c r="R15" s="39">
        <v>-0.22720000000000001</v>
      </c>
      <c r="S15" s="39">
        <v>-0.32300000000000001</v>
      </c>
      <c r="T15">
        <v>91.5</v>
      </c>
      <c r="U15">
        <v>69.28</v>
      </c>
      <c r="V15">
        <v>89.54</v>
      </c>
      <c r="W15" s="17">
        <v>5725.8422163000005</v>
      </c>
      <c r="X15" s="83" t="s">
        <v>639</v>
      </c>
    </row>
    <row r="16" spans="1:28" x14ac:dyDescent="0.15">
      <c r="G16" s="11">
        <v>15</v>
      </c>
      <c r="H16" s="10" t="s">
        <v>413</v>
      </c>
      <c r="I16" t="s">
        <v>414</v>
      </c>
      <c r="J16" t="s">
        <v>403</v>
      </c>
      <c r="K16" s="43">
        <v>-1.8E-3</v>
      </c>
      <c r="L16" s="39">
        <v>-8.6E-3</v>
      </c>
      <c r="M16" s="39">
        <v>-1.67E-2</v>
      </c>
      <c r="N16" s="43">
        <v>2.4199999999999999E-2</v>
      </c>
      <c r="O16" s="39">
        <v>8.3799999999999999E-2</v>
      </c>
      <c r="P16" s="39">
        <v>7.3200000000000001E-2</v>
      </c>
      <c r="Q16" s="39">
        <v>-0.1091</v>
      </c>
      <c r="R16" s="39">
        <v>-0.2757</v>
      </c>
      <c r="S16" s="39">
        <v>-0.2757</v>
      </c>
      <c r="T16">
        <v>90.85</v>
      </c>
      <c r="U16">
        <v>63.4</v>
      </c>
      <c r="V16">
        <v>92.81</v>
      </c>
      <c r="W16" s="17">
        <v>901.26170000000002</v>
      </c>
    </row>
    <row r="17" spans="7:24" x14ac:dyDescent="0.15">
      <c r="G17" s="11">
        <v>16</v>
      </c>
      <c r="H17" s="10" t="s">
        <v>65</v>
      </c>
      <c r="I17" t="s">
        <v>211</v>
      </c>
      <c r="J17" t="s">
        <v>185</v>
      </c>
      <c r="K17" s="43">
        <v>0</v>
      </c>
      <c r="L17" s="39">
        <v>-6.4999999999999997E-3</v>
      </c>
      <c r="M17" s="39">
        <v>7.4000000000000003E-3</v>
      </c>
      <c r="N17" s="43">
        <v>7.1800000000000003E-2</v>
      </c>
      <c r="O17" s="39">
        <v>0.1229</v>
      </c>
      <c r="P17" s="39">
        <v>0.12429999999999999</v>
      </c>
      <c r="Q17" s="39">
        <v>2.6200000000000001E-2</v>
      </c>
      <c r="R17" s="39">
        <v>-1.1000000000000001E-3</v>
      </c>
      <c r="S17" s="39">
        <v>2.5000000000000001E-2</v>
      </c>
      <c r="T17">
        <v>90.2</v>
      </c>
      <c r="U17">
        <v>90.2</v>
      </c>
      <c r="V17">
        <v>66.010000000000005</v>
      </c>
      <c r="W17" s="17">
        <v>2259.9756000000002</v>
      </c>
    </row>
    <row r="18" spans="7:24" x14ac:dyDescent="0.15">
      <c r="G18" s="11">
        <v>17</v>
      </c>
      <c r="H18" t="s">
        <v>286</v>
      </c>
      <c r="I18" t="s">
        <v>287</v>
      </c>
      <c r="J18" t="s">
        <v>321</v>
      </c>
      <c r="K18" s="43">
        <v>0</v>
      </c>
      <c r="L18" s="39">
        <v>-5.7200000000000001E-2</v>
      </c>
      <c r="M18" s="39">
        <v>8.0999999999999996E-3</v>
      </c>
      <c r="N18" s="43">
        <v>7.8700000000000006E-2</v>
      </c>
      <c r="O18" s="39">
        <v>4.5999999999999999E-3</v>
      </c>
      <c r="P18" s="39">
        <v>-8.8800000000000004E-2</v>
      </c>
      <c r="Q18" s="39">
        <v>-0.17860000000000001</v>
      </c>
      <c r="R18" s="39">
        <v>-0.32269999999999999</v>
      </c>
      <c r="S18" s="39">
        <v>-0.34100000000000003</v>
      </c>
      <c r="T18">
        <v>89.54</v>
      </c>
      <c r="U18">
        <v>92.81</v>
      </c>
      <c r="V18">
        <v>60.13</v>
      </c>
      <c r="W18" s="17">
        <v>1544.5020999999999</v>
      </c>
    </row>
    <row r="19" spans="7:24" x14ac:dyDescent="0.15">
      <c r="G19" s="11">
        <v>18</v>
      </c>
      <c r="H19" t="s">
        <v>138</v>
      </c>
      <c r="I19" t="s">
        <v>256</v>
      </c>
      <c r="J19" t="s">
        <v>185</v>
      </c>
      <c r="K19" s="43">
        <v>-5.0000000000000001E-4</v>
      </c>
      <c r="L19" s="39">
        <v>-2.1000000000000001E-2</v>
      </c>
      <c r="M19" s="39">
        <v>-4.7000000000000002E-3</v>
      </c>
      <c r="N19" s="43">
        <v>3.2099999999999997E-2</v>
      </c>
      <c r="O19" s="39">
        <v>8.0500000000000002E-2</v>
      </c>
      <c r="P19" s="39">
        <v>8.1600000000000006E-2</v>
      </c>
      <c r="Q19" s="39">
        <v>-3.73E-2</v>
      </c>
      <c r="R19" s="39">
        <v>-5.0299999999999997E-2</v>
      </c>
      <c r="S19" s="39">
        <v>-0.2447</v>
      </c>
      <c r="T19">
        <v>88.89</v>
      </c>
      <c r="U19">
        <v>73.86</v>
      </c>
      <c r="V19">
        <v>77.12</v>
      </c>
      <c r="W19" s="17">
        <v>12765.499900000001</v>
      </c>
    </row>
    <row r="20" spans="7:24" x14ac:dyDescent="0.15">
      <c r="G20" s="11">
        <v>19</v>
      </c>
      <c r="H20" s="10" t="s">
        <v>147</v>
      </c>
      <c r="I20" t="s">
        <v>221</v>
      </c>
      <c r="J20" t="s">
        <v>185</v>
      </c>
      <c r="K20" s="43">
        <v>-1E-4</v>
      </c>
      <c r="L20" s="39">
        <v>-1.6000000000000001E-3</v>
      </c>
      <c r="M20" s="39">
        <v>2.9700000000000001E-2</v>
      </c>
      <c r="N20" s="43">
        <v>4.4200000000000003E-2</v>
      </c>
      <c r="O20" s="39">
        <v>9.4E-2</v>
      </c>
      <c r="P20" s="39">
        <v>0.18890000000000001</v>
      </c>
      <c r="Q20" s="39">
        <v>0.13100000000000001</v>
      </c>
      <c r="R20" s="39">
        <v>0.159</v>
      </c>
      <c r="S20" s="39">
        <v>3.5900000000000001E-2</v>
      </c>
      <c r="T20">
        <v>88.24</v>
      </c>
      <c r="U20">
        <v>81.7</v>
      </c>
      <c r="V20">
        <v>66.67</v>
      </c>
      <c r="W20" s="17">
        <v>17060.485499999999</v>
      </c>
      <c r="X20" s="83" t="s">
        <v>639</v>
      </c>
    </row>
    <row r="21" spans="7:24" x14ac:dyDescent="0.15">
      <c r="G21" s="11">
        <v>20</v>
      </c>
      <c r="H21" s="10" t="s">
        <v>99</v>
      </c>
      <c r="I21" t="s">
        <v>209</v>
      </c>
      <c r="J21" t="s">
        <v>185</v>
      </c>
      <c r="K21" s="43">
        <v>-1.9E-3</v>
      </c>
      <c r="L21" s="39">
        <v>-3.6299999999999999E-2</v>
      </c>
      <c r="M21" s="39">
        <v>-1.89E-2</v>
      </c>
      <c r="N21" s="43">
        <v>1.8599999999999998E-2</v>
      </c>
      <c r="O21" s="39">
        <v>4.07E-2</v>
      </c>
      <c r="P21" s="39">
        <v>-1.4999999999999999E-2</v>
      </c>
      <c r="Q21" s="39">
        <v>-8.72E-2</v>
      </c>
      <c r="R21" s="39">
        <v>-0.1174</v>
      </c>
      <c r="S21" s="39">
        <v>-0.3009</v>
      </c>
      <c r="T21">
        <v>87.58</v>
      </c>
      <c r="U21">
        <v>53.59</v>
      </c>
      <c r="V21">
        <v>94.12</v>
      </c>
      <c r="W21" s="17">
        <v>5915.5125900000003</v>
      </c>
    </row>
    <row r="22" spans="7:24" x14ac:dyDescent="0.15">
      <c r="G22" s="11">
        <v>21</v>
      </c>
      <c r="H22" s="10" t="s">
        <v>153</v>
      </c>
      <c r="I22" t="s">
        <v>268</v>
      </c>
      <c r="J22" t="s">
        <v>266</v>
      </c>
      <c r="K22" s="43">
        <v>1E-4</v>
      </c>
      <c r="L22" s="39">
        <v>-5.7500000000000002E-2</v>
      </c>
      <c r="M22" s="39">
        <v>-2.6100000000000002E-2</v>
      </c>
      <c r="N22" s="43">
        <v>7.0800000000000002E-2</v>
      </c>
      <c r="O22" s="39">
        <v>0.14829999999999999</v>
      </c>
      <c r="P22" s="39">
        <v>8.0199999999999994E-2</v>
      </c>
      <c r="Q22" s="39">
        <v>0.1115</v>
      </c>
      <c r="R22" s="39">
        <v>0.25879999999999997</v>
      </c>
      <c r="S22" s="39">
        <v>-0.48470000000000002</v>
      </c>
      <c r="T22">
        <v>86.93</v>
      </c>
      <c r="U22">
        <v>88.89</v>
      </c>
      <c r="V22">
        <v>58.17</v>
      </c>
      <c r="W22" s="17">
        <v>1510.5450751000001</v>
      </c>
    </row>
    <row r="23" spans="7:24" x14ac:dyDescent="0.15">
      <c r="G23" s="11">
        <v>22</v>
      </c>
      <c r="H23" t="s">
        <v>126</v>
      </c>
      <c r="I23" t="s">
        <v>232</v>
      </c>
      <c r="J23" t="s">
        <v>185</v>
      </c>
      <c r="K23" s="43">
        <v>-8.0000000000000004E-4</v>
      </c>
      <c r="L23" s="39">
        <v>-2.7400000000000001E-2</v>
      </c>
      <c r="M23" s="39">
        <v>-2.2100000000000002E-2</v>
      </c>
      <c r="N23" s="43">
        <v>2.3099999999999999E-2</v>
      </c>
      <c r="O23" s="39">
        <v>2.7400000000000001E-2</v>
      </c>
      <c r="P23" s="39">
        <v>-1.44E-2</v>
      </c>
      <c r="Q23" s="39">
        <v>-0.13750000000000001</v>
      </c>
      <c r="R23" s="39">
        <v>-0.1421</v>
      </c>
      <c r="S23" s="39">
        <v>-0.35510000000000003</v>
      </c>
      <c r="T23">
        <v>86.27</v>
      </c>
      <c r="U23">
        <v>62.75</v>
      </c>
      <c r="V23">
        <v>82.35</v>
      </c>
      <c r="W23" s="17">
        <v>6834.4602799999993</v>
      </c>
      <c r="X23" s="83" t="s">
        <v>639</v>
      </c>
    </row>
    <row r="24" spans="7:24" x14ac:dyDescent="0.15">
      <c r="G24" s="11">
        <v>23</v>
      </c>
      <c r="H24" s="10" t="s">
        <v>60</v>
      </c>
      <c r="I24" t="s">
        <v>247</v>
      </c>
      <c r="J24" t="s">
        <v>185</v>
      </c>
      <c r="K24" s="43">
        <v>2.0000000000000001E-4</v>
      </c>
      <c r="L24" s="39">
        <v>5.7999999999999996E-3</v>
      </c>
      <c r="M24" s="39">
        <v>5.0799999999999998E-2</v>
      </c>
      <c r="N24" s="43">
        <v>6.6600000000000006E-2</v>
      </c>
      <c r="O24" s="39">
        <v>1.5800000000000002E-2</v>
      </c>
      <c r="P24" s="39">
        <v>0.1482</v>
      </c>
      <c r="Q24" s="39">
        <v>0.21249999999999999</v>
      </c>
      <c r="R24" s="39">
        <v>0.32569999999999999</v>
      </c>
      <c r="S24" s="39">
        <v>0.93079999999999996</v>
      </c>
      <c r="T24">
        <v>85.62</v>
      </c>
      <c r="U24">
        <v>88.24</v>
      </c>
      <c r="V24">
        <v>54.9</v>
      </c>
      <c r="W24" s="17">
        <v>14371.907800000001</v>
      </c>
      <c r="X24" s="83" t="s">
        <v>639</v>
      </c>
    </row>
    <row r="25" spans="7:24" x14ac:dyDescent="0.15">
      <c r="G25" s="11">
        <v>24</v>
      </c>
      <c r="H25" t="s">
        <v>408</v>
      </c>
      <c r="I25" t="s">
        <v>409</v>
      </c>
      <c r="J25" t="s">
        <v>403</v>
      </c>
      <c r="K25" s="43">
        <v>-2.5000000000000001E-3</v>
      </c>
      <c r="L25" s="39">
        <v>-1.9599999999999999E-2</v>
      </c>
      <c r="M25" s="39">
        <v>-5.21E-2</v>
      </c>
      <c r="N25" s="43">
        <v>1.5800000000000002E-2</v>
      </c>
      <c r="O25" s="39">
        <v>3.9199999999999999E-2</v>
      </c>
      <c r="P25" s="39">
        <v>-3.8600000000000002E-2</v>
      </c>
      <c r="Q25" s="39">
        <v>-0.1244</v>
      </c>
      <c r="R25" s="39">
        <v>6.0699999999999997E-2</v>
      </c>
      <c r="S25" s="39">
        <v>6.0699999999999997E-2</v>
      </c>
      <c r="T25">
        <v>84.97</v>
      </c>
      <c r="U25">
        <v>46.41</v>
      </c>
      <c r="V25">
        <v>96.73</v>
      </c>
      <c r="W25" s="17">
        <v>4930.9490359000001</v>
      </c>
    </row>
    <row r="26" spans="7:24" x14ac:dyDescent="0.15">
      <c r="G26" s="11">
        <v>25</v>
      </c>
      <c r="H26" t="s">
        <v>154</v>
      </c>
      <c r="I26" t="s">
        <v>249</v>
      </c>
      <c r="J26" t="s">
        <v>185</v>
      </c>
      <c r="K26" s="43">
        <v>5.9999999999999995E-4</v>
      </c>
      <c r="L26" s="39">
        <v>-6.6199999999999995E-2</v>
      </c>
      <c r="M26" s="39">
        <v>4.2099999999999999E-2</v>
      </c>
      <c r="N26" s="43">
        <v>0.17019999999999999</v>
      </c>
      <c r="O26" s="39">
        <v>-1.2699999999999999E-2</v>
      </c>
      <c r="P26" s="39">
        <v>-0.14849999999999999</v>
      </c>
      <c r="Q26" s="39">
        <v>-0.23230000000000001</v>
      </c>
      <c r="R26" s="39">
        <v>-0.34699999999999998</v>
      </c>
      <c r="S26" s="39">
        <v>-0.40239999999999998</v>
      </c>
      <c r="T26">
        <v>84.31</v>
      </c>
      <c r="U26">
        <v>100</v>
      </c>
      <c r="V26">
        <v>40.520000000000003</v>
      </c>
      <c r="W26" s="17">
        <v>42006.567199999998</v>
      </c>
      <c r="X26" s="83" t="s">
        <v>639</v>
      </c>
    </row>
    <row r="27" spans="7:24" x14ac:dyDescent="0.15">
      <c r="G27" s="11">
        <v>26</v>
      </c>
      <c r="H27" s="10" t="s">
        <v>139</v>
      </c>
      <c r="I27" t="s">
        <v>260</v>
      </c>
      <c r="J27" t="s">
        <v>185</v>
      </c>
      <c r="K27" s="43">
        <v>0</v>
      </c>
      <c r="L27" s="39">
        <v>-2.0799999999999999E-2</v>
      </c>
      <c r="M27" s="39">
        <v>-4.5999999999999999E-3</v>
      </c>
      <c r="N27" s="43">
        <v>3.2300000000000002E-2</v>
      </c>
      <c r="O27" s="39">
        <v>8.1199999999999994E-2</v>
      </c>
      <c r="P27" s="39">
        <v>8.2400000000000001E-2</v>
      </c>
      <c r="Q27" s="39">
        <v>-3.6600000000000001E-2</v>
      </c>
      <c r="R27" s="39">
        <v>-4.8099999999999997E-2</v>
      </c>
      <c r="S27" s="39">
        <v>-0.24210000000000001</v>
      </c>
      <c r="T27">
        <v>83.66</v>
      </c>
      <c r="U27">
        <v>74.510000000000005</v>
      </c>
      <c r="V27">
        <v>65.36</v>
      </c>
      <c r="W27" s="17">
        <v>2989.0727000000002</v>
      </c>
    </row>
    <row r="28" spans="7:24" x14ac:dyDescent="0.15">
      <c r="G28" s="11">
        <v>27</v>
      </c>
      <c r="H28" s="10" t="s">
        <v>284</v>
      </c>
      <c r="I28" t="s">
        <v>285</v>
      </c>
      <c r="J28" t="s">
        <v>321</v>
      </c>
      <c r="K28" s="43">
        <v>2.9999999999999997E-4</v>
      </c>
      <c r="L28" s="39">
        <v>3.9199999999999999E-2</v>
      </c>
      <c r="M28" s="39">
        <v>2.2700000000000001E-2</v>
      </c>
      <c r="N28" s="43">
        <v>5.9700000000000003E-2</v>
      </c>
      <c r="O28" s="39">
        <v>0.13009999999999999</v>
      </c>
      <c r="P28" s="39">
        <v>0.2079</v>
      </c>
      <c r="Q28" s="39">
        <v>9.6600000000000005E-2</v>
      </c>
      <c r="R28" s="39">
        <v>0.2445</v>
      </c>
      <c r="S28" s="39">
        <v>3.7699999999999997E-2</v>
      </c>
      <c r="T28">
        <v>83.01</v>
      </c>
      <c r="U28">
        <v>84.97</v>
      </c>
      <c r="V28">
        <v>52.29</v>
      </c>
      <c r="W28" s="17">
        <v>24295.363624000001</v>
      </c>
      <c r="X28" s="83" t="s">
        <v>639</v>
      </c>
    </row>
    <row r="29" spans="7:24" x14ac:dyDescent="0.15">
      <c r="G29" s="11">
        <v>28</v>
      </c>
      <c r="H29" s="10" t="s">
        <v>70</v>
      </c>
      <c r="I29" t="s">
        <v>236</v>
      </c>
      <c r="J29" t="s">
        <v>185</v>
      </c>
      <c r="K29" s="43">
        <v>-5.9999999999999995E-4</v>
      </c>
      <c r="L29" s="39">
        <v>-2.7E-2</v>
      </c>
      <c r="M29" s="39">
        <v>-2.63E-2</v>
      </c>
      <c r="N29" s="43">
        <v>1.9E-2</v>
      </c>
      <c r="O29" s="39">
        <v>0.1646</v>
      </c>
      <c r="P29" s="39">
        <v>0.1623</v>
      </c>
      <c r="Q29" s="39">
        <v>-1.9E-3</v>
      </c>
      <c r="R29" s="39">
        <v>1.9E-3</v>
      </c>
      <c r="S29" s="39">
        <v>-9.7999999999999997E-3</v>
      </c>
      <c r="T29">
        <v>82.35</v>
      </c>
      <c r="U29">
        <v>55.56</v>
      </c>
      <c r="V29">
        <v>79.739999999999995</v>
      </c>
      <c r="W29" s="17">
        <v>25293.817800000001</v>
      </c>
      <c r="X29" s="83" t="s">
        <v>639</v>
      </c>
    </row>
    <row r="30" spans="7:24" x14ac:dyDescent="0.15">
      <c r="G30" s="11">
        <v>29</v>
      </c>
      <c r="H30" s="10" t="s">
        <v>102</v>
      </c>
      <c r="I30" t="s">
        <v>990</v>
      </c>
      <c r="J30" t="s">
        <v>185</v>
      </c>
      <c r="K30" s="43">
        <v>-1E-3</v>
      </c>
      <c r="L30" s="39">
        <v>-8.0000000000000002E-3</v>
      </c>
      <c r="M30" s="39">
        <v>-4.5999999999999999E-3</v>
      </c>
      <c r="N30" s="43">
        <v>1.6400000000000001E-2</v>
      </c>
      <c r="O30" s="39">
        <v>3.27E-2</v>
      </c>
      <c r="P30" s="39">
        <v>5.9700000000000003E-2</v>
      </c>
      <c r="Q30" s="39">
        <v>-9.7999999999999997E-3</v>
      </c>
      <c r="R30" s="39">
        <v>0.12790000000000001</v>
      </c>
      <c r="S30" s="39">
        <v>9.8699999999999996E-2</v>
      </c>
      <c r="T30">
        <v>81.7</v>
      </c>
      <c r="U30">
        <v>48.37</v>
      </c>
      <c r="V30">
        <v>86.27</v>
      </c>
      <c r="W30" s="17">
        <v>441.60539999999997</v>
      </c>
    </row>
    <row r="31" spans="7:24" x14ac:dyDescent="0.15">
      <c r="G31" s="11">
        <v>30</v>
      </c>
      <c r="H31" s="10" t="s">
        <v>291</v>
      </c>
      <c r="I31" t="s">
        <v>292</v>
      </c>
      <c r="J31" t="s">
        <v>321</v>
      </c>
      <c r="K31" s="43">
        <v>2.0000000000000001E-4</v>
      </c>
      <c r="L31" s="39">
        <v>-1.4E-2</v>
      </c>
      <c r="M31" s="39">
        <v>-1.4E-2</v>
      </c>
      <c r="N31" s="43">
        <v>3.5200000000000002E-2</v>
      </c>
      <c r="O31" s="39">
        <v>2.92E-2</v>
      </c>
      <c r="P31" s="39">
        <v>-6.9500000000000006E-2</v>
      </c>
      <c r="Q31" s="39">
        <v>-0.28689999999999999</v>
      </c>
      <c r="R31" s="39">
        <v>-0.33550000000000002</v>
      </c>
      <c r="S31" s="39">
        <v>-0.52710000000000001</v>
      </c>
      <c r="T31">
        <v>81.05</v>
      </c>
      <c r="U31">
        <v>77.78</v>
      </c>
      <c r="V31">
        <v>55.56</v>
      </c>
      <c r="W31" s="17">
        <v>819.414084</v>
      </c>
    </row>
    <row r="32" spans="7:24" x14ac:dyDescent="0.15">
      <c r="G32" s="11">
        <v>31</v>
      </c>
      <c r="H32" t="s">
        <v>406</v>
      </c>
      <c r="I32" t="s">
        <v>407</v>
      </c>
      <c r="J32" t="s">
        <v>403</v>
      </c>
      <c r="K32" s="43">
        <v>-2.9999999999999997E-4</v>
      </c>
      <c r="L32" s="39">
        <v>-1.9E-2</v>
      </c>
      <c r="M32" s="39">
        <v>-1.44E-2</v>
      </c>
      <c r="N32" s="43">
        <v>2.1299999999999999E-2</v>
      </c>
      <c r="O32" s="39">
        <v>3.9199999999999999E-2</v>
      </c>
      <c r="P32" s="39">
        <v>3.5999999999999997E-2</v>
      </c>
      <c r="Q32" s="39">
        <v>-7.1800000000000003E-2</v>
      </c>
      <c r="R32" s="39">
        <v>-0.14269999999999999</v>
      </c>
      <c r="S32" s="39">
        <v>-0.14269999999999999</v>
      </c>
      <c r="T32">
        <v>80.39</v>
      </c>
      <c r="U32">
        <v>60.78</v>
      </c>
      <c r="V32">
        <v>72.55</v>
      </c>
      <c r="W32" s="17">
        <v>3088.6498999999999</v>
      </c>
    </row>
    <row r="33" spans="7:25" x14ac:dyDescent="0.15">
      <c r="G33" s="11">
        <v>32</v>
      </c>
      <c r="H33" t="s">
        <v>103</v>
      </c>
      <c r="I33" t="s">
        <v>191</v>
      </c>
      <c r="J33" t="s">
        <v>185</v>
      </c>
      <c r="K33" s="43">
        <v>-1.1000000000000001E-3</v>
      </c>
      <c r="L33" s="39">
        <v>-2.64E-2</v>
      </c>
      <c r="M33" s="39">
        <v>-2.2100000000000002E-2</v>
      </c>
      <c r="N33" s="43">
        <v>1.55E-2</v>
      </c>
      <c r="O33" s="39">
        <v>-1.23E-2</v>
      </c>
      <c r="P33" s="39">
        <v>-6.8500000000000005E-2</v>
      </c>
      <c r="Q33" s="39">
        <v>-9.69E-2</v>
      </c>
      <c r="R33" s="39">
        <v>-7.7600000000000002E-2</v>
      </c>
      <c r="S33" s="39">
        <v>-0.31769999999999998</v>
      </c>
      <c r="T33">
        <v>79.739999999999995</v>
      </c>
      <c r="U33">
        <v>44.44</v>
      </c>
      <c r="V33">
        <v>88.89</v>
      </c>
      <c r="W33" s="17">
        <v>906.79949999999997</v>
      </c>
    </row>
    <row r="34" spans="7:25" x14ac:dyDescent="0.15">
      <c r="G34" s="11">
        <v>33</v>
      </c>
      <c r="H34" s="10" t="s">
        <v>120</v>
      </c>
      <c r="I34" t="s">
        <v>227</v>
      </c>
      <c r="J34" t="s">
        <v>185</v>
      </c>
      <c r="K34" s="43">
        <v>-4.0000000000000002E-4</v>
      </c>
      <c r="L34" s="39">
        <v>-1.18E-2</v>
      </c>
      <c r="M34" s="39">
        <v>-6.7000000000000002E-3</v>
      </c>
      <c r="N34" s="43">
        <v>0.02</v>
      </c>
      <c r="O34" s="39">
        <v>2.9899999999999999E-2</v>
      </c>
      <c r="P34" s="39">
        <v>4.0099999999999997E-2</v>
      </c>
      <c r="Q34" s="39">
        <v>-3.4700000000000002E-2</v>
      </c>
      <c r="R34" s="39">
        <v>-5.7000000000000002E-3</v>
      </c>
      <c r="S34" s="39">
        <v>-0.15509999999999999</v>
      </c>
      <c r="T34">
        <v>79.08</v>
      </c>
      <c r="U34">
        <v>58.17</v>
      </c>
      <c r="V34">
        <v>74.510000000000005</v>
      </c>
      <c r="W34" s="17">
        <v>5357.9151000000002</v>
      </c>
    </row>
    <row r="35" spans="7:25" x14ac:dyDescent="0.15">
      <c r="G35" s="11">
        <v>34</v>
      </c>
      <c r="H35" s="10" t="s">
        <v>125</v>
      </c>
      <c r="I35" t="s">
        <v>198</v>
      </c>
      <c r="J35" t="s">
        <v>185</v>
      </c>
      <c r="K35" s="43">
        <v>-5.0000000000000001E-4</v>
      </c>
      <c r="L35" s="39">
        <v>-1.6199999999999999E-2</v>
      </c>
      <c r="M35" s="39">
        <v>-1.2200000000000001E-2</v>
      </c>
      <c r="N35" s="43">
        <v>1.8599999999999998E-2</v>
      </c>
      <c r="O35" s="39">
        <v>3.5299999999999998E-2</v>
      </c>
      <c r="P35" s="39">
        <v>2.7900000000000001E-2</v>
      </c>
      <c r="Q35" s="39">
        <v>-7.51E-2</v>
      </c>
      <c r="R35" s="39">
        <v>-7.51E-2</v>
      </c>
      <c r="S35" s="39">
        <v>-0.28570000000000001</v>
      </c>
      <c r="T35">
        <v>78.430000000000007</v>
      </c>
      <c r="U35">
        <v>54.25</v>
      </c>
      <c r="V35">
        <v>78.430000000000007</v>
      </c>
      <c r="W35" s="17">
        <v>619.70410000000004</v>
      </c>
    </row>
    <row r="36" spans="7:25" x14ac:dyDescent="0.15">
      <c r="G36" s="11">
        <v>35</v>
      </c>
      <c r="H36" t="s">
        <v>106</v>
      </c>
      <c r="I36" t="s">
        <v>195</v>
      </c>
      <c r="J36" t="s">
        <v>185</v>
      </c>
      <c r="K36" s="43">
        <v>5.0000000000000001E-4</v>
      </c>
      <c r="L36" s="39">
        <v>-3.0499999999999999E-2</v>
      </c>
      <c r="M36" s="39">
        <v>-1.1900000000000001E-2</v>
      </c>
      <c r="N36" s="43">
        <v>6.0100000000000001E-2</v>
      </c>
      <c r="O36" s="39">
        <v>7.1499999999999994E-2</v>
      </c>
      <c r="P36" s="39">
        <v>-1.11E-2</v>
      </c>
      <c r="Q36" s="39">
        <v>-6.3100000000000003E-2</v>
      </c>
      <c r="R36" s="39">
        <v>-0.18890000000000001</v>
      </c>
      <c r="S36" s="39">
        <v>-0.27079999999999999</v>
      </c>
      <c r="T36">
        <v>77.78</v>
      </c>
      <c r="U36">
        <v>85.62</v>
      </c>
      <c r="V36">
        <v>44.44</v>
      </c>
      <c r="W36" s="17">
        <v>5005.2390780000005</v>
      </c>
      <c r="X36" s="83" t="s">
        <v>639</v>
      </c>
    </row>
    <row r="37" spans="7:25" x14ac:dyDescent="0.15">
      <c r="G37" s="11">
        <v>36</v>
      </c>
      <c r="H37" s="10" t="s">
        <v>94</v>
      </c>
      <c r="I37" t="s">
        <v>248</v>
      </c>
      <c r="J37" t="s">
        <v>185</v>
      </c>
      <c r="K37" s="43">
        <v>-2.0000000000000001E-4</v>
      </c>
      <c r="L37" s="39">
        <v>-6.7000000000000002E-3</v>
      </c>
      <c r="M37" s="39">
        <v>-1.17E-2</v>
      </c>
      <c r="N37" s="43">
        <v>2.01E-2</v>
      </c>
      <c r="O37" s="39">
        <v>-5.2699999999999997E-2</v>
      </c>
      <c r="P37" s="39">
        <v>-0.1605</v>
      </c>
      <c r="Q37" s="39">
        <v>-0.2394</v>
      </c>
      <c r="R37" s="39">
        <v>-0.2445</v>
      </c>
      <c r="S37" s="39">
        <v>-0.32029999999999997</v>
      </c>
      <c r="T37">
        <v>77.12</v>
      </c>
      <c r="U37">
        <v>58.82</v>
      </c>
      <c r="V37">
        <v>70.59</v>
      </c>
      <c r="W37" s="17">
        <v>72548.423753700001</v>
      </c>
      <c r="X37" s="83" t="s">
        <v>639</v>
      </c>
    </row>
    <row r="38" spans="7:25" x14ac:dyDescent="0.15">
      <c r="G38" s="11">
        <v>37</v>
      </c>
      <c r="H38" t="s">
        <v>107</v>
      </c>
      <c r="I38" t="s">
        <v>217</v>
      </c>
      <c r="J38" t="s">
        <v>185</v>
      </c>
      <c r="K38" s="43">
        <v>-1.2999999999999999E-3</v>
      </c>
      <c r="L38" s="39">
        <v>-3.3099999999999997E-2</v>
      </c>
      <c r="M38" s="39">
        <v>-3.5299999999999998E-2</v>
      </c>
      <c r="N38" s="43">
        <v>8.6E-3</v>
      </c>
      <c r="O38" s="39">
        <v>-7.1000000000000004E-3</v>
      </c>
      <c r="P38" s="39">
        <v>-0.1241</v>
      </c>
      <c r="Q38" s="39">
        <v>-0.1782</v>
      </c>
      <c r="R38" s="39">
        <v>-9.35E-2</v>
      </c>
      <c r="S38" s="39">
        <v>-0.1241</v>
      </c>
      <c r="T38">
        <v>76.47</v>
      </c>
      <c r="U38">
        <v>38.56</v>
      </c>
      <c r="V38">
        <v>90.2</v>
      </c>
      <c r="W38" s="17">
        <v>37382.3640428</v>
      </c>
    </row>
    <row r="39" spans="7:25" x14ac:dyDescent="0.15">
      <c r="G39" s="11">
        <v>38</v>
      </c>
      <c r="H39" s="10" t="s">
        <v>124</v>
      </c>
      <c r="I39" t="s">
        <v>218</v>
      </c>
      <c r="J39" t="s">
        <v>185</v>
      </c>
      <c r="K39" s="43">
        <v>-2.0999999999999999E-3</v>
      </c>
      <c r="L39" s="39">
        <v>-3.04E-2</v>
      </c>
      <c r="M39" s="39">
        <v>-2.53E-2</v>
      </c>
      <c r="N39" s="43">
        <v>4.7000000000000002E-3</v>
      </c>
      <c r="O39" s="39">
        <v>-4.5100000000000001E-2</v>
      </c>
      <c r="P39" s="39">
        <v>-0.13159999999999999</v>
      </c>
      <c r="Q39" s="39">
        <v>-0.186</v>
      </c>
      <c r="R39" s="39">
        <v>-6.2700000000000006E-2</v>
      </c>
      <c r="S39" s="39">
        <v>-0.29370000000000002</v>
      </c>
      <c r="T39">
        <v>75.819999999999993</v>
      </c>
      <c r="U39">
        <v>32.03</v>
      </c>
      <c r="V39">
        <v>94.77</v>
      </c>
      <c r="W39" s="17">
        <v>1694.1847399999999</v>
      </c>
    </row>
    <row r="40" spans="7:25" x14ac:dyDescent="0.15">
      <c r="G40" s="11">
        <v>39</v>
      </c>
      <c r="H40" t="s">
        <v>67</v>
      </c>
      <c r="I40" t="s">
        <v>201</v>
      </c>
      <c r="J40" t="s">
        <v>185</v>
      </c>
      <c r="K40" s="43">
        <v>5.0000000000000001E-4</v>
      </c>
      <c r="L40" s="39">
        <v>9.1000000000000004E-3</v>
      </c>
      <c r="M40" s="39">
        <v>-4.1000000000000003E-3</v>
      </c>
      <c r="N40" s="43">
        <v>4.3999999999999997E-2</v>
      </c>
      <c r="O40" s="39">
        <v>1.23E-2</v>
      </c>
      <c r="P40" s="39">
        <v>-2.5000000000000001E-2</v>
      </c>
      <c r="Q40" s="39">
        <v>-0.28339999999999999</v>
      </c>
      <c r="R40" s="39">
        <v>-0.31430000000000002</v>
      </c>
      <c r="S40" s="39">
        <v>-0.19139999999999999</v>
      </c>
      <c r="T40">
        <v>75.16</v>
      </c>
      <c r="U40">
        <v>80.39</v>
      </c>
      <c r="V40">
        <v>43.79</v>
      </c>
      <c r="W40" s="17">
        <v>1315.39435</v>
      </c>
    </row>
    <row r="41" spans="7:25" x14ac:dyDescent="0.15">
      <c r="G41" s="11">
        <v>40</v>
      </c>
      <c r="H41" s="10" t="s">
        <v>62</v>
      </c>
      <c r="I41" t="s">
        <v>907</v>
      </c>
      <c r="J41" t="s">
        <v>655</v>
      </c>
      <c r="K41" s="43">
        <v>-3.8E-3</v>
      </c>
      <c r="L41" s="39">
        <v>8.9999999999999998E-4</v>
      </c>
      <c r="M41" s="39">
        <v>1.5E-3</v>
      </c>
      <c r="N41" s="43">
        <v>2.0999999999999999E-3</v>
      </c>
      <c r="O41" s="39">
        <v>1.18E-2</v>
      </c>
      <c r="P41" s="39">
        <v>2.98E-2</v>
      </c>
      <c r="Q41" s="39">
        <v>4.0300000000000002E-2</v>
      </c>
      <c r="R41" s="39">
        <v>7.0599999999999996E-2</v>
      </c>
      <c r="S41" s="39">
        <v>0.12039999999999999</v>
      </c>
      <c r="T41">
        <v>74.510000000000005</v>
      </c>
      <c r="U41">
        <v>24.18</v>
      </c>
      <c r="V41">
        <v>98.69</v>
      </c>
      <c r="W41" s="17">
        <v>14505.490900000001</v>
      </c>
    </row>
    <row r="42" spans="7:25" x14ac:dyDescent="0.15">
      <c r="G42" s="11">
        <v>41</v>
      </c>
      <c r="H42" s="10" t="s">
        <v>144</v>
      </c>
      <c r="I42" t="s">
        <v>263</v>
      </c>
      <c r="J42" t="s">
        <v>185</v>
      </c>
      <c r="K42" s="43">
        <v>-2.0000000000000001E-4</v>
      </c>
      <c r="L42" s="39">
        <v>-1.11E-2</v>
      </c>
      <c r="M42" s="39">
        <v>-2.3E-3</v>
      </c>
      <c r="N42" s="43">
        <v>1.8499999999999999E-2</v>
      </c>
      <c r="O42" s="39">
        <v>2.7E-2</v>
      </c>
      <c r="P42" s="39">
        <v>3.8600000000000002E-2</v>
      </c>
      <c r="Q42" s="39">
        <v>-2.7300000000000001E-2</v>
      </c>
      <c r="R42" s="39">
        <v>-3.1300000000000001E-2</v>
      </c>
      <c r="S42" s="39">
        <v>-0.20480000000000001</v>
      </c>
      <c r="T42">
        <v>73.86</v>
      </c>
      <c r="U42">
        <v>52.94</v>
      </c>
      <c r="V42">
        <v>69.930000000000007</v>
      </c>
      <c r="W42" s="17">
        <v>125143.3919</v>
      </c>
    </row>
    <row r="43" spans="7:25" x14ac:dyDescent="0.15">
      <c r="G43" s="11">
        <v>42</v>
      </c>
      <c r="H43" s="10" t="s">
        <v>411</v>
      </c>
      <c r="I43" t="s">
        <v>412</v>
      </c>
      <c r="J43" t="s">
        <v>403</v>
      </c>
      <c r="K43" s="43">
        <v>-1E-4</v>
      </c>
      <c r="L43" s="39">
        <v>-3.1099999999999999E-2</v>
      </c>
      <c r="M43" s="39">
        <v>-2.9100000000000001E-2</v>
      </c>
      <c r="N43" s="43">
        <v>1.9E-2</v>
      </c>
      <c r="O43" s="39">
        <v>-5.0000000000000001E-3</v>
      </c>
      <c r="P43" s="39">
        <v>-0.1434</v>
      </c>
      <c r="Q43" s="39">
        <v>-0.13750000000000001</v>
      </c>
      <c r="R43" s="39">
        <v>-0.1419</v>
      </c>
      <c r="S43" s="39">
        <v>-0.1419</v>
      </c>
      <c r="T43">
        <v>73.2</v>
      </c>
      <c r="U43">
        <v>54.9</v>
      </c>
      <c r="V43">
        <v>67.319999999999993</v>
      </c>
      <c r="W43" s="17">
        <v>6797.7973299999994</v>
      </c>
      <c r="X43" s="83" t="s">
        <v>639</v>
      </c>
    </row>
    <row r="44" spans="7:25" x14ac:dyDescent="0.15">
      <c r="G44" s="11">
        <v>43</v>
      </c>
      <c r="H44" t="s">
        <v>415</v>
      </c>
      <c r="I44" t="s">
        <v>416</v>
      </c>
      <c r="J44" t="s">
        <v>403</v>
      </c>
      <c r="K44" s="43">
        <v>-8.9999999999999998E-4</v>
      </c>
      <c r="L44" s="39">
        <v>-3.7199999999999997E-2</v>
      </c>
      <c r="M44" s="39">
        <v>-2.9399999999999999E-2</v>
      </c>
      <c r="N44" s="43">
        <v>6.0000000000000001E-3</v>
      </c>
      <c r="O44" s="39">
        <v>-1.6400000000000001E-2</v>
      </c>
      <c r="P44" s="39">
        <v>-0.14979999999999999</v>
      </c>
      <c r="Q44" s="39">
        <v>-0.23269999999999999</v>
      </c>
      <c r="R44" s="39">
        <v>-0.33079999999999998</v>
      </c>
      <c r="S44" s="39">
        <v>-0.33079999999999998</v>
      </c>
      <c r="T44">
        <v>72.55</v>
      </c>
      <c r="U44">
        <v>33.99</v>
      </c>
      <c r="V44">
        <v>84.97</v>
      </c>
      <c r="W44" s="17">
        <v>3570.2879336999999</v>
      </c>
    </row>
    <row r="45" spans="7:25" x14ac:dyDescent="0.15">
      <c r="G45" s="11">
        <v>44</v>
      </c>
      <c r="H45" s="10" t="s">
        <v>87</v>
      </c>
      <c r="I45" t="s">
        <v>189</v>
      </c>
      <c r="J45" t="s">
        <v>185</v>
      </c>
      <c r="K45" s="43">
        <v>-8.0000000000000004E-4</v>
      </c>
      <c r="L45" s="39">
        <v>-2.81E-2</v>
      </c>
      <c r="M45" s="39">
        <v>-2.8500000000000001E-2</v>
      </c>
      <c r="N45" s="43">
        <v>7.6E-3</v>
      </c>
      <c r="O45" s="39">
        <v>-3.7400000000000003E-2</v>
      </c>
      <c r="P45" s="39">
        <v>-6.83E-2</v>
      </c>
      <c r="Q45" s="39">
        <v>-0.17749999999999999</v>
      </c>
      <c r="R45" s="39">
        <v>-0.19439999999999999</v>
      </c>
      <c r="S45" s="39">
        <v>-0.43780000000000002</v>
      </c>
      <c r="T45">
        <v>71.900000000000006</v>
      </c>
      <c r="U45">
        <v>37.25</v>
      </c>
      <c r="V45">
        <v>81.7</v>
      </c>
      <c r="W45" s="17">
        <v>389.697</v>
      </c>
    </row>
    <row r="46" spans="7:25" x14ac:dyDescent="0.15">
      <c r="G46" s="11">
        <v>45</v>
      </c>
      <c r="H46" s="10" t="s">
        <v>311</v>
      </c>
      <c r="I46" t="s">
        <v>646</v>
      </c>
      <c r="J46" t="s">
        <v>321</v>
      </c>
      <c r="K46" s="43">
        <v>1E-4</v>
      </c>
      <c r="L46" s="39">
        <v>-1.83E-2</v>
      </c>
      <c r="M46" s="39">
        <v>-1.7500000000000002E-2</v>
      </c>
      <c r="N46" s="43">
        <v>1.9900000000000001E-2</v>
      </c>
      <c r="O46" s="39">
        <v>5.4399999999999997E-2</v>
      </c>
      <c r="P46" s="39">
        <v>4.7699999999999999E-2</v>
      </c>
      <c r="Q46" s="39">
        <v>-4.2200000000000001E-2</v>
      </c>
      <c r="R46" s="39">
        <v>5.1000000000000004E-3</v>
      </c>
      <c r="S46" s="39">
        <v>-0.21510000000000001</v>
      </c>
      <c r="T46">
        <v>71.239999999999995</v>
      </c>
      <c r="U46">
        <v>57.52</v>
      </c>
      <c r="V46">
        <v>58.82</v>
      </c>
      <c r="W46" s="17">
        <v>3711.9942999999998</v>
      </c>
      <c r="X46" s="83" t="s">
        <v>639</v>
      </c>
      <c r="Y46" s="81" t="s">
        <v>657</v>
      </c>
    </row>
    <row r="47" spans="7:25" x14ac:dyDescent="0.15">
      <c r="G47" s="11">
        <v>46</v>
      </c>
      <c r="H47" s="10" t="s">
        <v>80</v>
      </c>
      <c r="I47" t="s">
        <v>193</v>
      </c>
      <c r="J47" t="s">
        <v>185</v>
      </c>
      <c r="K47" s="43">
        <v>4.0000000000000002E-4</v>
      </c>
      <c r="L47" s="39">
        <v>-6.4999999999999997E-3</v>
      </c>
      <c r="M47" s="39">
        <v>6.1999999999999998E-3</v>
      </c>
      <c r="N47" s="43">
        <v>2.75E-2</v>
      </c>
      <c r="O47" s="39">
        <v>0.1208</v>
      </c>
      <c r="P47" s="39">
        <v>0.20319999999999999</v>
      </c>
      <c r="Q47" s="39">
        <v>0.15509999999999999</v>
      </c>
      <c r="R47" s="39">
        <v>0.312</v>
      </c>
      <c r="S47" s="39">
        <v>0.55740000000000001</v>
      </c>
      <c r="T47">
        <v>70.59</v>
      </c>
      <c r="U47">
        <v>68.63</v>
      </c>
      <c r="V47">
        <v>47.71</v>
      </c>
      <c r="W47" s="17">
        <v>2046.925</v>
      </c>
    </row>
    <row r="48" spans="7:25" x14ac:dyDescent="0.15">
      <c r="G48" s="11">
        <v>47</v>
      </c>
      <c r="H48" t="s">
        <v>90</v>
      </c>
      <c r="I48" t="s">
        <v>191</v>
      </c>
      <c r="J48" t="s">
        <v>185</v>
      </c>
      <c r="K48" s="43">
        <v>-4.0000000000000002E-4</v>
      </c>
      <c r="L48" s="39">
        <v>-2.53E-2</v>
      </c>
      <c r="M48" s="39">
        <v>-2.24E-2</v>
      </c>
      <c r="N48" s="43">
        <v>1.2200000000000001E-2</v>
      </c>
      <c r="O48" s="39">
        <v>-2.5399999999999999E-2</v>
      </c>
      <c r="P48" s="39">
        <v>-0.1033</v>
      </c>
      <c r="Q48" s="39">
        <v>-0.1215</v>
      </c>
      <c r="R48" s="39">
        <v>-7.4899999999999994E-2</v>
      </c>
      <c r="S48" s="39">
        <v>-0.31590000000000001</v>
      </c>
      <c r="T48">
        <v>69.930000000000007</v>
      </c>
      <c r="U48">
        <v>42.48</v>
      </c>
      <c r="V48">
        <v>73.2</v>
      </c>
      <c r="W48" s="17">
        <v>2536.7601100000002</v>
      </c>
    </row>
    <row r="49" spans="7:25" x14ac:dyDescent="0.15">
      <c r="G49" s="11">
        <v>48</v>
      </c>
      <c r="H49" s="10" t="s">
        <v>303</v>
      </c>
      <c r="I49" t="s">
        <v>304</v>
      </c>
      <c r="J49" t="s">
        <v>321</v>
      </c>
      <c r="K49" s="43">
        <v>-2.9999999999999997E-4</v>
      </c>
      <c r="L49" s="39">
        <v>-2.76E-2</v>
      </c>
      <c r="M49" s="39">
        <v>-2.92E-2</v>
      </c>
      <c r="N49" s="43">
        <v>1.29E-2</v>
      </c>
      <c r="O49" s="39">
        <v>2.3400000000000001E-2</v>
      </c>
      <c r="P49" s="39">
        <v>-2.0899999999999998E-2</v>
      </c>
      <c r="Q49" s="39">
        <v>-0.1085</v>
      </c>
      <c r="R49" s="39">
        <v>-8.0799999999999997E-2</v>
      </c>
      <c r="S49" s="39">
        <v>-0.2959</v>
      </c>
      <c r="T49">
        <v>69.28</v>
      </c>
      <c r="U49">
        <v>43.14</v>
      </c>
      <c r="V49">
        <v>71.900000000000006</v>
      </c>
      <c r="W49" s="17">
        <v>1319.5668000000001</v>
      </c>
    </row>
    <row r="50" spans="7:25" x14ac:dyDescent="0.15">
      <c r="G50" s="11">
        <v>49</v>
      </c>
      <c r="H50" s="10" t="s">
        <v>111</v>
      </c>
      <c r="I50" t="s">
        <v>241</v>
      </c>
      <c r="J50" t="s">
        <v>185</v>
      </c>
      <c r="K50" s="43">
        <v>-5.0000000000000001E-4</v>
      </c>
      <c r="L50" s="39">
        <v>-3.5499999999999997E-2</v>
      </c>
      <c r="M50" s="39">
        <v>-3.1399999999999997E-2</v>
      </c>
      <c r="N50" s="43">
        <v>6.8999999999999999E-3</v>
      </c>
      <c r="O50" s="39">
        <v>-4.1000000000000003E-3</v>
      </c>
      <c r="P50" s="39">
        <v>-1.78E-2</v>
      </c>
      <c r="Q50" s="39">
        <v>-0.25600000000000001</v>
      </c>
      <c r="R50" s="39">
        <v>-0.25919999999999999</v>
      </c>
      <c r="S50" s="39">
        <v>-0.39460000000000001</v>
      </c>
      <c r="T50">
        <v>68.63</v>
      </c>
      <c r="U50">
        <v>35.29</v>
      </c>
      <c r="V50">
        <v>79.08</v>
      </c>
      <c r="W50" s="17">
        <v>5750.1969777999993</v>
      </c>
    </row>
    <row r="51" spans="7:25" x14ac:dyDescent="0.15">
      <c r="G51" s="11">
        <v>50</v>
      </c>
      <c r="H51" s="10" t="s">
        <v>288</v>
      </c>
      <c r="I51" t="s">
        <v>289</v>
      </c>
      <c r="J51" t="s">
        <v>321</v>
      </c>
      <c r="K51" s="43">
        <v>6.9999999999999999E-4</v>
      </c>
      <c r="L51" s="39">
        <v>6.7000000000000002E-3</v>
      </c>
      <c r="M51" s="39">
        <v>-4.0000000000000002E-4</v>
      </c>
      <c r="N51" s="43">
        <v>4.41E-2</v>
      </c>
      <c r="O51" s="39">
        <v>4.3700000000000003E-2</v>
      </c>
      <c r="P51" s="39">
        <v>9.4999999999999998E-3</v>
      </c>
      <c r="Q51" s="39">
        <v>-0.25850000000000001</v>
      </c>
      <c r="R51" s="39">
        <v>-0.28989999999999999</v>
      </c>
      <c r="S51" s="39">
        <v>-0.44640000000000002</v>
      </c>
      <c r="T51">
        <v>67.97</v>
      </c>
      <c r="U51">
        <v>81.05</v>
      </c>
      <c r="V51">
        <v>32.68</v>
      </c>
      <c r="W51" s="17">
        <v>1879.6567155</v>
      </c>
    </row>
    <row r="52" spans="7:25" x14ac:dyDescent="0.15">
      <c r="G52" s="11">
        <v>51</v>
      </c>
      <c r="H52" s="10" t="s">
        <v>93</v>
      </c>
      <c r="I52" t="s">
        <v>234</v>
      </c>
      <c r="J52" t="s">
        <v>185</v>
      </c>
      <c r="K52" s="43">
        <v>2.9999999999999997E-4</v>
      </c>
      <c r="L52" s="39">
        <v>-3.4200000000000001E-2</v>
      </c>
      <c r="M52" s="39">
        <v>-2.6200000000000001E-2</v>
      </c>
      <c r="N52" s="43">
        <v>2.29E-2</v>
      </c>
      <c r="O52" s="39">
        <v>2.3E-3</v>
      </c>
      <c r="P52" s="39">
        <v>-0.15620000000000001</v>
      </c>
      <c r="Q52" s="39">
        <v>-0.2581</v>
      </c>
      <c r="R52" s="39">
        <v>-0.2853</v>
      </c>
      <c r="S52" s="39">
        <v>-0.25019999999999998</v>
      </c>
      <c r="T52">
        <v>67.319999999999993</v>
      </c>
      <c r="U52">
        <v>62.09</v>
      </c>
      <c r="V52">
        <v>51.63</v>
      </c>
      <c r="W52" s="17">
        <v>7703.8951999999999</v>
      </c>
    </row>
    <row r="53" spans="7:25" x14ac:dyDescent="0.15">
      <c r="G53" s="11">
        <v>52</v>
      </c>
      <c r="H53" t="s">
        <v>977</v>
      </c>
      <c r="I53" t="s">
        <v>978</v>
      </c>
      <c r="J53" t="s">
        <v>185</v>
      </c>
      <c r="K53" s="43">
        <v>2.7000000000000001E-3</v>
      </c>
      <c r="L53" s="39">
        <v>-5.0700000000000002E-2</v>
      </c>
      <c r="M53" s="39">
        <v>-1.2500000000000001E-2</v>
      </c>
      <c r="N53" s="43">
        <v>9.3200000000000005E-2</v>
      </c>
      <c r="O53" s="39">
        <v>0.19389999999999999</v>
      </c>
      <c r="P53" s="39">
        <v>0.1055</v>
      </c>
      <c r="Q53" s="39">
        <v>0.1348</v>
      </c>
      <c r="R53" s="39">
        <v>0.26179999999999998</v>
      </c>
      <c r="S53" s="39">
        <v>-0.15229999999999999</v>
      </c>
      <c r="T53">
        <v>66.67</v>
      </c>
      <c r="U53">
        <v>96.08</v>
      </c>
      <c r="V53">
        <v>16.34</v>
      </c>
      <c r="W53" s="17">
        <v>19512.9229648</v>
      </c>
      <c r="X53" s="83" t="s">
        <v>639</v>
      </c>
    </row>
    <row r="54" spans="7:25" x14ac:dyDescent="0.15">
      <c r="G54" s="11">
        <v>53</v>
      </c>
      <c r="H54" s="10" t="s">
        <v>146</v>
      </c>
      <c r="I54" t="s">
        <v>202</v>
      </c>
      <c r="J54" t="s">
        <v>185</v>
      </c>
      <c r="K54" s="43">
        <v>6.9999999999999999E-4</v>
      </c>
      <c r="L54" s="39">
        <v>-1.43E-2</v>
      </c>
      <c r="M54" s="39">
        <v>-1.17E-2</v>
      </c>
      <c r="N54" s="43">
        <v>3.3599999999999998E-2</v>
      </c>
      <c r="O54" s="39">
        <v>8.5300000000000001E-2</v>
      </c>
      <c r="P54" s="39">
        <v>0.13150000000000001</v>
      </c>
      <c r="Q54" s="39">
        <v>0.13569999999999999</v>
      </c>
      <c r="R54" s="39">
        <v>0.23799999999999999</v>
      </c>
      <c r="S54" s="39">
        <v>0.29289999999999999</v>
      </c>
      <c r="T54">
        <v>66.010000000000005</v>
      </c>
      <c r="U54">
        <v>77.12</v>
      </c>
      <c r="V54">
        <v>35.29</v>
      </c>
      <c r="W54" s="17">
        <v>7384.8834999999999</v>
      </c>
    </row>
    <row r="55" spans="7:25" x14ac:dyDescent="0.15">
      <c r="G55" s="11">
        <v>54</v>
      </c>
      <c r="H55" s="10" t="s">
        <v>119</v>
      </c>
      <c r="I55" t="s">
        <v>258</v>
      </c>
      <c r="J55" t="s">
        <v>185</v>
      </c>
      <c r="K55" s="43">
        <v>6.9999999999999999E-4</v>
      </c>
      <c r="L55" s="39">
        <v>-2.07E-2</v>
      </c>
      <c r="M55" s="39">
        <v>-4.4999999999999997E-3</v>
      </c>
      <c r="N55" s="43">
        <v>3.2399999999999998E-2</v>
      </c>
      <c r="O55" s="39">
        <v>8.1299999999999997E-2</v>
      </c>
      <c r="P55" s="39">
        <v>8.09E-2</v>
      </c>
      <c r="Q55" s="39">
        <v>-3.7600000000000001E-2</v>
      </c>
      <c r="R55" s="39">
        <v>-4.8899999999999999E-2</v>
      </c>
      <c r="S55" s="39">
        <v>-0.24149999999999999</v>
      </c>
      <c r="T55">
        <v>65.36</v>
      </c>
      <c r="U55">
        <v>75.819999999999993</v>
      </c>
      <c r="V55">
        <v>35.950000000000003</v>
      </c>
      <c r="W55" s="17">
        <v>3793.8713939999998</v>
      </c>
    </row>
    <row r="56" spans="7:25" x14ac:dyDescent="0.15">
      <c r="G56" s="11">
        <v>55</v>
      </c>
      <c r="H56" t="s">
        <v>59</v>
      </c>
      <c r="I56" t="s">
        <v>906</v>
      </c>
      <c r="J56" t="s">
        <v>655</v>
      </c>
      <c r="K56" s="43">
        <v>-2.2000000000000001E-3</v>
      </c>
      <c r="L56" s="39">
        <v>8.0000000000000004E-4</v>
      </c>
      <c r="M56" s="39">
        <v>6.9999999999999999E-4</v>
      </c>
      <c r="N56" s="43">
        <v>-8.0000000000000004E-4</v>
      </c>
      <c r="O56" s="39">
        <v>1.38E-2</v>
      </c>
      <c r="P56" s="39">
        <v>4.1300000000000003E-2</v>
      </c>
      <c r="Q56" s="39">
        <v>5.2600000000000001E-2</v>
      </c>
      <c r="R56" s="39">
        <v>9.0200000000000002E-2</v>
      </c>
      <c r="S56" s="39">
        <v>0.15129999999999999</v>
      </c>
      <c r="T56">
        <v>64.709999999999994</v>
      </c>
      <c r="U56">
        <v>15.69</v>
      </c>
      <c r="V56">
        <v>95.42</v>
      </c>
      <c r="W56" s="17">
        <v>39910.232400000001</v>
      </c>
    </row>
    <row r="57" spans="7:25" x14ac:dyDescent="0.15">
      <c r="G57" s="11">
        <v>56</v>
      </c>
      <c r="H57" s="10" t="s">
        <v>150</v>
      </c>
      <c r="I57" t="s">
        <v>264</v>
      </c>
      <c r="J57" t="s">
        <v>185</v>
      </c>
      <c r="K57" s="43">
        <v>4.0000000000000002E-4</v>
      </c>
      <c r="L57" s="39">
        <v>-1.5100000000000001E-2</v>
      </c>
      <c r="M57" s="39">
        <v>-9.9000000000000008E-3</v>
      </c>
      <c r="N57" s="43">
        <v>2.0500000000000001E-2</v>
      </c>
      <c r="O57" s="39">
        <v>2.87E-2</v>
      </c>
      <c r="P57" s="39">
        <v>2.3199999999999998E-2</v>
      </c>
      <c r="Q57" s="39">
        <v>-6.1600000000000002E-2</v>
      </c>
      <c r="R57" s="39">
        <v>-4.0099999999999997E-2</v>
      </c>
      <c r="S57" s="39">
        <v>-0.2288</v>
      </c>
      <c r="T57">
        <v>64.05</v>
      </c>
      <c r="U57">
        <v>59.48</v>
      </c>
      <c r="V57">
        <v>49.67</v>
      </c>
      <c r="W57" s="17">
        <v>192395.9394</v>
      </c>
    </row>
    <row r="58" spans="7:25" x14ac:dyDescent="0.15">
      <c r="G58" s="11">
        <v>57</v>
      </c>
      <c r="H58" t="s">
        <v>404</v>
      </c>
      <c r="I58" t="s">
        <v>405</v>
      </c>
      <c r="J58" t="s">
        <v>403</v>
      </c>
      <c r="K58" s="43">
        <v>1E-4</v>
      </c>
      <c r="L58" s="39">
        <v>-8.0999999999999996E-3</v>
      </c>
      <c r="M58" s="39">
        <v>-4.4999999999999997E-3</v>
      </c>
      <c r="N58" s="43">
        <v>1.6799999999999999E-2</v>
      </c>
      <c r="O58" s="39">
        <v>3.3500000000000002E-2</v>
      </c>
      <c r="P58" s="39">
        <v>6.1699999999999998E-2</v>
      </c>
      <c r="Q58" s="39">
        <v>-8.3000000000000001E-3</v>
      </c>
      <c r="R58" s="39">
        <v>0.13089999999999999</v>
      </c>
      <c r="S58" s="39">
        <v>0.1134</v>
      </c>
      <c r="T58">
        <v>63.4</v>
      </c>
      <c r="U58">
        <v>49.02</v>
      </c>
      <c r="V58">
        <v>57.52</v>
      </c>
      <c r="W58" s="17">
        <v>870.23569999999995</v>
      </c>
    </row>
    <row r="59" spans="7:25" x14ac:dyDescent="0.15">
      <c r="G59" s="11">
        <v>58</v>
      </c>
      <c r="H59" t="s">
        <v>116</v>
      </c>
      <c r="I59" t="s">
        <v>254</v>
      </c>
      <c r="J59" t="s">
        <v>185</v>
      </c>
      <c r="K59" s="43">
        <v>2.9999999999999997E-4</v>
      </c>
      <c r="L59" s="39">
        <v>-2.12E-2</v>
      </c>
      <c r="M59" s="39">
        <v>-1.0699999999999999E-2</v>
      </c>
      <c r="N59" s="43">
        <v>1.7899999999999999E-2</v>
      </c>
      <c r="O59" s="39">
        <v>4.1799999999999997E-2</v>
      </c>
      <c r="P59" s="39">
        <v>5.2299999999999999E-2</v>
      </c>
      <c r="Q59" s="39">
        <v>-0.1578</v>
      </c>
      <c r="R59" s="39">
        <v>-0.1137</v>
      </c>
      <c r="S59" s="39">
        <v>6.6699999999999995E-2</v>
      </c>
      <c r="T59">
        <v>62.75</v>
      </c>
      <c r="U59">
        <v>51.63</v>
      </c>
      <c r="V59">
        <v>54.25</v>
      </c>
      <c r="W59" s="17">
        <v>5606.6773999999996</v>
      </c>
      <c r="X59" s="83" t="s">
        <v>639</v>
      </c>
    </row>
    <row r="60" spans="7:25" x14ac:dyDescent="0.15">
      <c r="G60" s="11">
        <v>59</v>
      </c>
      <c r="H60" t="s">
        <v>162</v>
      </c>
      <c r="I60" t="s">
        <v>277</v>
      </c>
      <c r="J60" t="s">
        <v>276</v>
      </c>
      <c r="K60" s="43">
        <v>1.7100000000000001E-2</v>
      </c>
      <c r="L60" s="39">
        <v>-1.4E-2</v>
      </c>
      <c r="M60" s="39">
        <v>-5.1999999999999998E-3</v>
      </c>
      <c r="N60" s="43">
        <v>0.1</v>
      </c>
      <c r="O60" s="39">
        <v>0.161</v>
      </c>
      <c r="P60" s="39">
        <v>8.5099999999999995E-2</v>
      </c>
      <c r="Q60" s="39">
        <v>9.2999999999999992E-3</v>
      </c>
      <c r="R60" s="39">
        <v>8.0100000000000005E-2</v>
      </c>
      <c r="S60" s="39">
        <v>-0.2155</v>
      </c>
      <c r="T60">
        <v>62.09</v>
      </c>
      <c r="U60">
        <v>96.73</v>
      </c>
      <c r="V60">
        <v>7.84</v>
      </c>
      <c r="W60" s="17">
        <v>10405.7953</v>
      </c>
    </row>
    <row r="61" spans="7:25" x14ac:dyDescent="0.15">
      <c r="G61" s="11">
        <v>60</v>
      </c>
      <c r="H61" s="10" t="s">
        <v>167</v>
      </c>
      <c r="I61" t="s">
        <v>252</v>
      </c>
      <c r="J61" t="s">
        <v>185</v>
      </c>
      <c r="K61" s="43">
        <v>1.9199999999999998E-2</v>
      </c>
      <c r="L61" s="39">
        <v>-3.85E-2</v>
      </c>
      <c r="M61" s="39">
        <v>-3.7600000000000001E-2</v>
      </c>
      <c r="N61" s="43">
        <v>0.1082</v>
      </c>
      <c r="O61" s="39">
        <v>-3.3999999999999998E-3</v>
      </c>
      <c r="P61" s="39">
        <v>-9.7100000000000006E-2</v>
      </c>
      <c r="Q61" s="39">
        <v>-0.13800000000000001</v>
      </c>
      <c r="R61" s="39">
        <v>-3.2399999999999998E-2</v>
      </c>
      <c r="S61" s="39">
        <v>-0.2112</v>
      </c>
      <c r="T61">
        <v>61.44</v>
      </c>
      <c r="U61">
        <v>97.39</v>
      </c>
      <c r="V61">
        <v>6.54</v>
      </c>
      <c r="W61" s="17">
        <v>52481.542399999998</v>
      </c>
      <c r="X61" s="83" t="s">
        <v>639</v>
      </c>
    </row>
    <row r="62" spans="7:25" x14ac:dyDescent="0.15">
      <c r="G62" s="11">
        <v>61</v>
      </c>
      <c r="H62" t="s">
        <v>81</v>
      </c>
      <c r="I62" t="s">
        <v>210</v>
      </c>
      <c r="J62" t="s">
        <v>185</v>
      </c>
      <c r="K62" s="43">
        <v>0</v>
      </c>
      <c r="L62" s="39">
        <v>-2.7400000000000001E-2</v>
      </c>
      <c r="M62" s="39">
        <v>-5.5599999999999997E-2</v>
      </c>
      <c r="N62" s="43">
        <v>1.0500000000000001E-2</v>
      </c>
      <c r="O62" s="39">
        <v>-5.79E-2</v>
      </c>
      <c r="P62" s="39">
        <v>-0.17460000000000001</v>
      </c>
      <c r="Q62" s="39">
        <v>-0.22620000000000001</v>
      </c>
      <c r="R62" s="39">
        <v>-0.2429</v>
      </c>
      <c r="S62" s="39">
        <v>-0.52949999999999997</v>
      </c>
      <c r="T62">
        <v>60.78</v>
      </c>
      <c r="U62">
        <v>40.520000000000003</v>
      </c>
      <c r="V62">
        <v>63.4</v>
      </c>
      <c r="W62" s="17">
        <v>29312.181</v>
      </c>
      <c r="X62" s="83" t="s">
        <v>639</v>
      </c>
    </row>
    <row r="63" spans="7:25" x14ac:dyDescent="0.15">
      <c r="G63" s="11">
        <v>62</v>
      </c>
      <c r="H63" t="s">
        <v>1065</v>
      </c>
      <c r="I63" t="s">
        <v>1066</v>
      </c>
      <c r="J63" t="s">
        <v>321</v>
      </c>
      <c r="K63" s="43">
        <v>1.9900000000000001E-2</v>
      </c>
      <c r="L63" s="39">
        <v>2.8E-3</v>
      </c>
      <c r="M63" s="39">
        <v>2.8899999999999999E-2</v>
      </c>
      <c r="N63" s="43">
        <v>0.1172</v>
      </c>
      <c r="O63" s="39">
        <v>0.1236</v>
      </c>
      <c r="P63" s="39">
        <v>0.1236</v>
      </c>
      <c r="Q63" s="39">
        <v>0.1236</v>
      </c>
      <c r="R63" s="39">
        <v>0.1236</v>
      </c>
      <c r="S63" s="39">
        <v>0.1236</v>
      </c>
      <c r="T63">
        <v>60.13</v>
      </c>
      <c r="U63">
        <v>98.04</v>
      </c>
      <c r="V63">
        <v>5.23</v>
      </c>
      <c r="W63" s="17">
        <v>5011.6927999999998</v>
      </c>
      <c r="X63" s="83" t="s">
        <v>639</v>
      </c>
      <c r="Y63" s="81" t="s">
        <v>657</v>
      </c>
    </row>
    <row r="64" spans="7:25" x14ac:dyDescent="0.15">
      <c r="G64" s="11">
        <v>63</v>
      </c>
      <c r="H64" s="10" t="s">
        <v>169</v>
      </c>
      <c r="I64" t="s">
        <v>279</v>
      </c>
      <c r="J64" t="s">
        <v>276</v>
      </c>
      <c r="K64" s="43">
        <v>6.3E-3</v>
      </c>
      <c r="L64" s="39">
        <v>-4.9200000000000001E-2</v>
      </c>
      <c r="M64" s="39">
        <v>-4.7800000000000002E-2</v>
      </c>
      <c r="N64" s="43">
        <v>7.3800000000000004E-2</v>
      </c>
      <c r="O64" s="39">
        <v>0.1668</v>
      </c>
      <c r="P64" s="39">
        <v>-1.9699999999999999E-2</v>
      </c>
      <c r="Q64" s="39">
        <v>-6.25E-2</v>
      </c>
      <c r="R64" s="39">
        <v>-0.1042</v>
      </c>
      <c r="S64" s="39">
        <v>-0.56369999999999998</v>
      </c>
      <c r="T64">
        <v>59.48</v>
      </c>
      <c r="U64">
        <v>91.5</v>
      </c>
      <c r="V64">
        <v>11.76</v>
      </c>
      <c r="W64" s="17">
        <v>284946.4706</v>
      </c>
    </row>
    <row r="65" spans="7:25" x14ac:dyDescent="0.15">
      <c r="G65" s="11">
        <v>64</v>
      </c>
      <c r="H65" s="10" t="s">
        <v>152</v>
      </c>
      <c r="I65" t="s">
        <v>245</v>
      </c>
      <c r="J65" t="s">
        <v>185</v>
      </c>
      <c r="K65" s="43">
        <v>1.1999999999999999E-3</v>
      </c>
      <c r="L65" s="39">
        <v>-3.2099999999999997E-2</v>
      </c>
      <c r="M65" s="39">
        <v>-1.38E-2</v>
      </c>
      <c r="N65" s="43">
        <v>3.9399999999999998E-2</v>
      </c>
      <c r="O65" s="39">
        <v>-3.7400000000000003E-2</v>
      </c>
      <c r="P65" s="39">
        <v>-5.2299999999999999E-2</v>
      </c>
      <c r="Q65" s="39">
        <v>-0.1249</v>
      </c>
      <c r="R65" s="39">
        <v>2.8500000000000001E-2</v>
      </c>
      <c r="S65" s="39">
        <v>-0.2109</v>
      </c>
      <c r="T65">
        <v>58.82</v>
      </c>
      <c r="U65">
        <v>79.08</v>
      </c>
      <c r="V65">
        <v>24.18</v>
      </c>
      <c r="W65" s="17">
        <v>8895.6664000000001</v>
      </c>
      <c r="X65" s="83" t="s">
        <v>639</v>
      </c>
    </row>
    <row r="66" spans="7:25" x14ac:dyDescent="0.15">
      <c r="G66" s="11">
        <v>65</v>
      </c>
      <c r="H66" s="10" t="s">
        <v>110</v>
      </c>
      <c r="I66" t="s">
        <v>261</v>
      </c>
      <c r="J66" t="s">
        <v>185</v>
      </c>
      <c r="K66" s="43">
        <v>6.9999999999999999E-4</v>
      </c>
      <c r="L66" s="39">
        <v>-2.8500000000000001E-2</v>
      </c>
      <c r="M66" s="39">
        <v>-2.5100000000000001E-2</v>
      </c>
      <c r="N66" s="43">
        <v>2.98E-2</v>
      </c>
      <c r="O66" s="39">
        <v>1.26E-2</v>
      </c>
      <c r="P66" s="39">
        <v>-5.8400000000000001E-2</v>
      </c>
      <c r="Q66" s="39">
        <v>-0.2069</v>
      </c>
      <c r="R66" s="39">
        <v>-0.19839999999999999</v>
      </c>
      <c r="S66" s="39">
        <v>-0.38419999999999999</v>
      </c>
      <c r="T66">
        <v>58.17</v>
      </c>
      <c r="U66">
        <v>71.239999999999995</v>
      </c>
      <c r="V66">
        <v>31.37</v>
      </c>
      <c r="W66" s="17">
        <v>75231.472006700002</v>
      </c>
      <c r="X66" s="83" t="s">
        <v>639</v>
      </c>
    </row>
    <row r="67" spans="7:25" x14ac:dyDescent="0.15">
      <c r="G67" s="11">
        <v>66</v>
      </c>
      <c r="H67" t="s">
        <v>888</v>
      </c>
      <c r="I67" t="s">
        <v>889</v>
      </c>
      <c r="J67" t="s">
        <v>266</v>
      </c>
      <c r="K67" s="43">
        <v>5.0000000000000001E-3</v>
      </c>
      <c r="L67" s="39">
        <v>7.0000000000000001E-3</v>
      </c>
      <c r="M67" s="39">
        <v>3.3000000000000002E-2</v>
      </c>
      <c r="N67" s="43">
        <v>7.0900000000000005E-2</v>
      </c>
      <c r="O67" s="39">
        <v>4.4200000000000003E-2</v>
      </c>
      <c r="P67" s="39">
        <v>0.16420000000000001</v>
      </c>
      <c r="Q67" s="39">
        <v>0.14030000000000001</v>
      </c>
      <c r="R67" s="39">
        <v>0.14030000000000001</v>
      </c>
      <c r="S67" s="39">
        <v>0.14030000000000001</v>
      </c>
      <c r="T67">
        <v>57.52</v>
      </c>
      <c r="U67">
        <v>89.54</v>
      </c>
      <c r="V67">
        <v>12.42</v>
      </c>
      <c r="W67" s="17">
        <v>7197.3197299999993</v>
      </c>
      <c r="X67" s="83" t="s">
        <v>639</v>
      </c>
      <c r="Y67" s="81" t="s">
        <v>657</v>
      </c>
    </row>
    <row r="68" spans="7:25" x14ac:dyDescent="0.15">
      <c r="G68" s="11">
        <v>67</v>
      </c>
      <c r="H68" s="10" t="s">
        <v>165</v>
      </c>
      <c r="I68" t="s">
        <v>257</v>
      </c>
      <c r="J68" t="s">
        <v>276</v>
      </c>
      <c r="K68" s="43">
        <v>1.7899999999999999E-2</v>
      </c>
      <c r="L68" s="39">
        <v>-1.9300000000000001E-2</v>
      </c>
      <c r="M68" s="39">
        <v>-6.1000000000000004E-3</v>
      </c>
      <c r="N68" s="43">
        <v>9.0499999999999997E-2</v>
      </c>
      <c r="O68" s="39">
        <v>0.14369999999999999</v>
      </c>
      <c r="P68" s="39">
        <v>9.7500000000000003E-2</v>
      </c>
      <c r="Q68" s="39">
        <v>4.8399999999999999E-2</v>
      </c>
      <c r="R68" s="39">
        <v>0.1052</v>
      </c>
      <c r="S68" s="39">
        <v>-0.28710000000000002</v>
      </c>
      <c r="T68">
        <v>56.86</v>
      </c>
      <c r="U68">
        <v>94.77</v>
      </c>
      <c r="V68">
        <v>7.19</v>
      </c>
      <c r="W68" s="17">
        <v>55071.3226</v>
      </c>
    </row>
    <row r="69" spans="7:25" x14ac:dyDescent="0.15">
      <c r="G69" s="11">
        <v>68</v>
      </c>
      <c r="H69" s="10" t="s">
        <v>300</v>
      </c>
      <c r="I69" t="s">
        <v>648</v>
      </c>
      <c r="J69" t="s">
        <v>321</v>
      </c>
      <c r="K69" s="43">
        <v>2.1999999999999999E-2</v>
      </c>
      <c r="L69" s="39">
        <v>1.34E-2</v>
      </c>
      <c r="M69" s="39">
        <v>3.4299999999999997E-2</v>
      </c>
      <c r="N69" s="43">
        <v>0.15440000000000001</v>
      </c>
      <c r="O69" s="39">
        <v>0.19639999999999999</v>
      </c>
      <c r="P69" s="39">
        <v>0.26939999999999997</v>
      </c>
      <c r="Q69" s="39">
        <v>0.20710000000000001</v>
      </c>
      <c r="R69" s="39">
        <v>0.41370000000000001</v>
      </c>
      <c r="S69" s="39">
        <v>0.38319999999999999</v>
      </c>
      <c r="T69">
        <v>56.21</v>
      </c>
      <c r="U69">
        <v>98.69</v>
      </c>
      <c r="V69">
        <v>3.27</v>
      </c>
      <c r="W69" s="17">
        <v>7875.3557000000001</v>
      </c>
      <c r="X69" s="83" t="s">
        <v>639</v>
      </c>
    </row>
    <row r="70" spans="7:25" x14ac:dyDescent="0.15">
      <c r="G70" s="11">
        <v>69</v>
      </c>
      <c r="H70" s="10" t="s">
        <v>79</v>
      </c>
      <c r="I70" t="s">
        <v>905</v>
      </c>
      <c r="J70" t="s">
        <v>185</v>
      </c>
      <c r="K70" s="43">
        <v>0</v>
      </c>
      <c r="L70" s="39">
        <v>-3.4099999999999998E-2</v>
      </c>
      <c r="M70" s="39">
        <v>-5.79E-2</v>
      </c>
      <c r="N70" s="43">
        <v>8.8999999999999999E-3</v>
      </c>
      <c r="O70" s="39">
        <v>-3.9899999999999998E-2</v>
      </c>
      <c r="P70" s="39">
        <v>-9.4200000000000006E-2</v>
      </c>
      <c r="Q70" s="39">
        <v>-0.16839999999999999</v>
      </c>
      <c r="R70" s="39">
        <v>-0.16400000000000001</v>
      </c>
      <c r="S70" s="39">
        <v>-0.46800000000000003</v>
      </c>
      <c r="T70">
        <v>55.56</v>
      </c>
      <c r="U70">
        <v>39.22</v>
      </c>
      <c r="V70">
        <v>62.09</v>
      </c>
      <c r="W70" s="17">
        <v>1067.52631</v>
      </c>
      <c r="X70" s="83" t="s">
        <v>639</v>
      </c>
    </row>
    <row r="71" spans="7:25" x14ac:dyDescent="0.15">
      <c r="G71" s="11">
        <v>70</v>
      </c>
      <c r="H71" s="10" t="s">
        <v>105</v>
      </c>
      <c r="I71" t="s">
        <v>908</v>
      </c>
      <c r="J71" t="s">
        <v>185</v>
      </c>
      <c r="K71" s="43">
        <v>-1E-3</v>
      </c>
      <c r="L71" s="39">
        <v>-4.53E-2</v>
      </c>
      <c r="M71" s="39">
        <v>-3.3700000000000001E-2</v>
      </c>
      <c r="N71" s="43">
        <v>-2.7000000000000001E-3</v>
      </c>
      <c r="O71" s="39">
        <v>-4.9399999999999999E-2</v>
      </c>
      <c r="P71" s="39">
        <v>-6.8099999999999994E-2</v>
      </c>
      <c r="Q71" s="39">
        <v>-0.15709999999999999</v>
      </c>
      <c r="R71" s="39">
        <v>3.6900000000000002E-2</v>
      </c>
      <c r="S71" s="39">
        <v>-0.2258</v>
      </c>
      <c r="T71">
        <v>54.9</v>
      </c>
      <c r="U71">
        <v>13.73</v>
      </c>
      <c r="V71">
        <v>86.93</v>
      </c>
      <c r="W71" s="17">
        <v>25586.4870615</v>
      </c>
      <c r="X71" s="83" t="s">
        <v>639</v>
      </c>
    </row>
    <row r="72" spans="7:25" x14ac:dyDescent="0.15">
      <c r="G72" s="11">
        <v>71</v>
      </c>
      <c r="H72" s="10" t="s">
        <v>75</v>
      </c>
      <c r="I72" t="s">
        <v>235</v>
      </c>
      <c r="J72" t="s">
        <v>185</v>
      </c>
      <c r="K72" s="43">
        <v>0</v>
      </c>
      <c r="L72" s="39">
        <v>-3.4099999999999998E-2</v>
      </c>
      <c r="M72" s="39">
        <v>-3.9199999999999999E-2</v>
      </c>
      <c r="N72" s="43">
        <v>9.2999999999999992E-3</v>
      </c>
      <c r="O72" s="39">
        <v>2.9899999999999999E-2</v>
      </c>
      <c r="P72" s="39">
        <v>-9.0200000000000002E-2</v>
      </c>
      <c r="Q72" s="39">
        <v>-0.34039999999999998</v>
      </c>
      <c r="R72" s="39">
        <v>-0.36799999999999999</v>
      </c>
      <c r="S72" s="39">
        <v>-0.436</v>
      </c>
      <c r="T72">
        <v>54.25</v>
      </c>
      <c r="U72">
        <v>39.869999999999997</v>
      </c>
      <c r="V72">
        <v>60.78</v>
      </c>
      <c r="W72" s="17">
        <v>4641.6948499999999</v>
      </c>
      <c r="X72" s="83" t="s">
        <v>639</v>
      </c>
    </row>
    <row r="73" spans="7:25" x14ac:dyDescent="0.15">
      <c r="G73" s="11">
        <v>72</v>
      </c>
      <c r="H73" s="10" t="s">
        <v>109</v>
      </c>
      <c r="I73" t="s">
        <v>16</v>
      </c>
      <c r="J73" t="s">
        <v>321</v>
      </c>
      <c r="K73" s="43">
        <v>6.9999999999999999E-4</v>
      </c>
      <c r="L73" s="39">
        <v>-3.2000000000000002E-3</v>
      </c>
      <c r="M73" s="39">
        <v>-1.1999999999999999E-3</v>
      </c>
      <c r="N73" s="43">
        <v>2.75E-2</v>
      </c>
      <c r="O73" s="39">
        <v>3.7600000000000001E-2</v>
      </c>
      <c r="P73" s="39">
        <v>3.2399999999999998E-2</v>
      </c>
      <c r="Q73" s="39">
        <v>-4.1999999999999997E-3</v>
      </c>
      <c r="R73" s="39">
        <v>2.23E-2</v>
      </c>
      <c r="S73" s="39">
        <v>8.1299999999999997E-2</v>
      </c>
      <c r="T73">
        <v>53.59</v>
      </c>
      <c r="U73">
        <v>67.97</v>
      </c>
      <c r="V73">
        <v>32.03</v>
      </c>
      <c r="W73" s="17">
        <v>84403.604399999997</v>
      </c>
    </row>
    <row r="74" spans="7:25" x14ac:dyDescent="0.15">
      <c r="G74" s="11">
        <v>73</v>
      </c>
      <c r="H74" t="s">
        <v>98</v>
      </c>
      <c r="I74" t="s">
        <v>296</v>
      </c>
      <c r="J74" t="s">
        <v>321</v>
      </c>
      <c r="K74" s="43">
        <v>6.9999999999999999E-4</v>
      </c>
      <c r="L74" s="39">
        <v>4.0000000000000002E-4</v>
      </c>
      <c r="M74" s="39">
        <v>1.6999999999999999E-3</v>
      </c>
      <c r="N74" s="43">
        <v>2.58E-2</v>
      </c>
      <c r="O74" s="39">
        <v>4.0899999999999999E-2</v>
      </c>
      <c r="P74" s="39">
        <v>5.8999999999999997E-2</v>
      </c>
      <c r="Q74" s="39">
        <v>2.7E-2</v>
      </c>
      <c r="R74" s="39">
        <v>4.5199999999999997E-2</v>
      </c>
      <c r="S74" s="39">
        <v>0.08</v>
      </c>
      <c r="T74">
        <v>52.94</v>
      </c>
      <c r="U74">
        <v>65.36</v>
      </c>
      <c r="V74">
        <v>33.99</v>
      </c>
      <c r="W74" s="17">
        <v>26178.629199999999</v>
      </c>
    </row>
    <row r="75" spans="7:25" x14ac:dyDescent="0.15">
      <c r="G75" s="11">
        <v>74</v>
      </c>
      <c r="H75" s="10" t="s">
        <v>72</v>
      </c>
      <c r="I75" t="s">
        <v>265</v>
      </c>
      <c r="J75" t="s">
        <v>265</v>
      </c>
      <c r="K75" s="43">
        <v>0</v>
      </c>
      <c r="L75" s="39">
        <v>-2.86E-2</v>
      </c>
      <c r="M75" s="39">
        <v>3.5000000000000001E-3</v>
      </c>
      <c r="N75" s="43">
        <v>7.6E-3</v>
      </c>
      <c r="O75" s="39">
        <v>0.14710000000000001</v>
      </c>
      <c r="P75" s="39">
        <v>0.17380000000000001</v>
      </c>
      <c r="Q75" s="39">
        <v>0.22420000000000001</v>
      </c>
      <c r="R75" s="39">
        <v>0.36009999999999998</v>
      </c>
      <c r="S75" s="39">
        <v>0.45960000000000001</v>
      </c>
      <c r="T75">
        <v>52.29</v>
      </c>
      <c r="U75">
        <v>36.6</v>
      </c>
      <c r="V75">
        <v>62.75</v>
      </c>
      <c r="W75" s="17">
        <v>19055.03097</v>
      </c>
      <c r="X75" s="83" t="s">
        <v>639</v>
      </c>
      <c r="Y75" s="81" t="s">
        <v>657</v>
      </c>
    </row>
    <row r="76" spans="7:25" x14ac:dyDescent="0.15">
      <c r="G76" s="11">
        <v>75</v>
      </c>
      <c r="H76" t="s">
        <v>136</v>
      </c>
      <c r="I76" t="s">
        <v>991</v>
      </c>
      <c r="J76" t="s">
        <v>185</v>
      </c>
      <c r="K76" s="43">
        <v>-1E-3</v>
      </c>
      <c r="L76" s="39">
        <v>-8.5000000000000006E-3</v>
      </c>
      <c r="M76" s="39">
        <v>-1.12E-2</v>
      </c>
      <c r="N76" s="43">
        <v>-4.1000000000000003E-3</v>
      </c>
      <c r="O76" s="39">
        <v>4.0399999999999998E-2</v>
      </c>
      <c r="P76" s="39">
        <v>9.3799999999999994E-2</v>
      </c>
      <c r="Q76" s="39">
        <v>2.3999999999999998E-3</v>
      </c>
      <c r="R76" s="39">
        <v>0.2084</v>
      </c>
      <c r="S76" s="39">
        <v>0.29010000000000002</v>
      </c>
      <c r="T76">
        <v>51.63</v>
      </c>
      <c r="U76">
        <v>13.07</v>
      </c>
      <c r="V76">
        <v>85.62</v>
      </c>
      <c r="W76" s="17">
        <v>5772.1355000000003</v>
      </c>
    </row>
    <row r="77" spans="7:25" x14ac:dyDescent="0.15">
      <c r="G77" s="11">
        <v>76</v>
      </c>
      <c r="H77" s="10" t="s">
        <v>91</v>
      </c>
      <c r="I77" t="s">
        <v>187</v>
      </c>
      <c r="J77" t="s">
        <v>185</v>
      </c>
      <c r="K77" s="43">
        <v>4.0000000000000002E-4</v>
      </c>
      <c r="L77" s="39">
        <v>-8.2000000000000007E-3</v>
      </c>
      <c r="M77" s="39">
        <v>-4.5999999999999999E-3</v>
      </c>
      <c r="N77" s="43">
        <v>1.7000000000000001E-2</v>
      </c>
      <c r="O77" s="39">
        <v>3.4000000000000002E-2</v>
      </c>
      <c r="P77" s="39">
        <v>6.1600000000000002E-2</v>
      </c>
      <c r="Q77" s="39">
        <v>-1.11E-2</v>
      </c>
      <c r="R77" s="39">
        <v>0.12820000000000001</v>
      </c>
      <c r="S77" s="39">
        <v>9.5500000000000002E-2</v>
      </c>
      <c r="T77">
        <v>50.98</v>
      </c>
      <c r="U77">
        <v>49.67</v>
      </c>
      <c r="V77">
        <v>49.02</v>
      </c>
      <c r="W77" s="17">
        <v>892.73440000000005</v>
      </c>
    </row>
    <row r="78" spans="7:25" x14ac:dyDescent="0.15">
      <c r="G78" s="11">
        <v>77</v>
      </c>
      <c r="H78" t="s">
        <v>104</v>
      </c>
      <c r="I78" t="s">
        <v>205</v>
      </c>
      <c r="J78" t="s">
        <v>185</v>
      </c>
      <c r="K78" s="43">
        <v>-1.4E-3</v>
      </c>
      <c r="L78" s="39">
        <v>-5.8400000000000001E-2</v>
      </c>
      <c r="M78" s="39">
        <v>-3.1399999999999997E-2</v>
      </c>
      <c r="N78" s="43">
        <v>-2.4299999999999999E-2</v>
      </c>
      <c r="O78" s="39">
        <v>-8.6900000000000005E-2</v>
      </c>
      <c r="P78" s="39">
        <v>-0.1012</v>
      </c>
      <c r="Q78" s="39">
        <v>-0.22009999999999999</v>
      </c>
      <c r="R78" s="39">
        <v>0.18890000000000001</v>
      </c>
      <c r="S78" s="39">
        <v>-0.14990000000000001</v>
      </c>
      <c r="T78">
        <v>50.33</v>
      </c>
      <c r="U78">
        <v>7.19</v>
      </c>
      <c r="V78">
        <v>91.5</v>
      </c>
      <c r="W78" s="17">
        <v>6804.3783000000003</v>
      </c>
    </row>
    <row r="79" spans="7:25" x14ac:dyDescent="0.15">
      <c r="G79" s="11">
        <v>78</v>
      </c>
      <c r="H79" s="10" t="s">
        <v>301</v>
      </c>
      <c r="I79" t="s">
        <v>302</v>
      </c>
      <c r="J79" t="s">
        <v>321</v>
      </c>
      <c r="K79" s="43">
        <v>-2.0000000000000001E-4</v>
      </c>
      <c r="L79" s="39">
        <v>-2.7E-2</v>
      </c>
      <c r="M79" s="39">
        <v>-4.53E-2</v>
      </c>
      <c r="N79" s="43">
        <v>3.7000000000000002E-3</v>
      </c>
      <c r="O79" s="39">
        <v>1.7299999999999999E-2</v>
      </c>
      <c r="P79" s="39">
        <v>-4.4400000000000002E-2</v>
      </c>
      <c r="Q79" s="39">
        <v>-0.25119999999999998</v>
      </c>
      <c r="R79" s="39">
        <v>-0.31559999999999999</v>
      </c>
      <c r="S79" s="39">
        <v>-0.51790000000000003</v>
      </c>
      <c r="T79">
        <v>49.67</v>
      </c>
      <c r="U79">
        <v>28.76</v>
      </c>
      <c r="V79">
        <v>68.63</v>
      </c>
      <c r="W79" s="17">
        <v>2330.3040999999998</v>
      </c>
    </row>
    <row r="80" spans="7:25" x14ac:dyDescent="0.15">
      <c r="G80" s="11">
        <v>79</v>
      </c>
      <c r="H80" s="10" t="s">
        <v>924</v>
      </c>
      <c r="I80" t="s">
        <v>925</v>
      </c>
      <c r="J80" t="s">
        <v>266</v>
      </c>
      <c r="K80" s="43">
        <v>1.4800000000000001E-2</v>
      </c>
      <c r="L80" s="39">
        <v>-9.9000000000000008E-3</v>
      </c>
      <c r="M80" s="39">
        <v>9.4000000000000004E-3</v>
      </c>
      <c r="N80" s="43">
        <v>6.5100000000000005E-2</v>
      </c>
      <c r="O80" s="39">
        <v>-2.35E-2</v>
      </c>
      <c r="P80" s="39">
        <v>0.15479999999999999</v>
      </c>
      <c r="Q80" s="39">
        <v>8.3199999999999996E-2</v>
      </c>
      <c r="R80" s="39">
        <v>0.14499999999999999</v>
      </c>
      <c r="S80" s="39">
        <v>0.14499999999999999</v>
      </c>
      <c r="T80">
        <v>49.02</v>
      </c>
      <c r="U80">
        <v>87.58</v>
      </c>
      <c r="V80">
        <v>9.15</v>
      </c>
      <c r="W80" s="17">
        <v>3299.0830999999998</v>
      </c>
      <c r="X80" s="83" t="s">
        <v>639</v>
      </c>
    </row>
    <row r="81" spans="7:25" x14ac:dyDescent="0.15">
      <c r="G81" s="11">
        <v>80</v>
      </c>
      <c r="H81" t="s">
        <v>957</v>
      </c>
      <c r="I81" t="s">
        <v>956</v>
      </c>
      <c r="J81" t="s">
        <v>276</v>
      </c>
      <c r="K81" s="43">
        <v>1.11E-2</v>
      </c>
      <c r="L81" s="39">
        <v>-2E-3</v>
      </c>
      <c r="M81" s="39">
        <v>4.53E-2</v>
      </c>
      <c r="N81" s="43">
        <v>6.1100000000000002E-2</v>
      </c>
      <c r="O81" s="39">
        <v>5.8900000000000001E-2</v>
      </c>
      <c r="P81" s="39">
        <v>7.3099999999999998E-2</v>
      </c>
      <c r="Q81" s="39">
        <v>7.3099999999999998E-2</v>
      </c>
      <c r="R81" s="39">
        <v>7.3099999999999998E-2</v>
      </c>
      <c r="S81" s="39">
        <v>7.3099999999999998E-2</v>
      </c>
      <c r="T81">
        <v>48.37</v>
      </c>
      <c r="U81">
        <v>86.27</v>
      </c>
      <c r="V81">
        <v>10.46</v>
      </c>
      <c r="W81" s="17">
        <v>610.30219999999997</v>
      </c>
      <c r="X81" s="83" t="s">
        <v>639</v>
      </c>
    </row>
    <row r="82" spans="7:25" x14ac:dyDescent="0.15">
      <c r="G82" s="11">
        <v>81</v>
      </c>
      <c r="H82" t="s">
        <v>100</v>
      </c>
      <c r="I82" t="s">
        <v>223</v>
      </c>
      <c r="J82" t="s">
        <v>185</v>
      </c>
      <c r="K82" s="43">
        <v>1.2999999999999999E-3</v>
      </c>
      <c r="L82" s="39">
        <v>-5.1999999999999998E-3</v>
      </c>
      <c r="M82" s="39">
        <v>1.6E-2</v>
      </c>
      <c r="N82" s="43">
        <v>3.2099999999999997E-2</v>
      </c>
      <c r="O82" s="39">
        <v>5.0799999999999998E-2</v>
      </c>
      <c r="P82" s="39">
        <v>0.1074</v>
      </c>
      <c r="Q82" s="39">
        <v>8.5000000000000006E-2</v>
      </c>
      <c r="R82" s="39">
        <v>0.23469999999999999</v>
      </c>
      <c r="S82" s="39">
        <v>0.31759999999999999</v>
      </c>
      <c r="T82">
        <v>47.71</v>
      </c>
      <c r="U82">
        <v>73.2</v>
      </c>
      <c r="V82">
        <v>22.22</v>
      </c>
      <c r="W82" s="17">
        <v>17029.058199999999</v>
      </c>
    </row>
    <row r="83" spans="7:25" x14ac:dyDescent="0.15">
      <c r="G83" s="11">
        <v>82</v>
      </c>
      <c r="H83" s="10" t="s">
        <v>68</v>
      </c>
      <c r="I83" t="s">
        <v>238</v>
      </c>
      <c r="J83" t="s">
        <v>655</v>
      </c>
      <c r="K83" s="43">
        <v>-4.0000000000000002E-4</v>
      </c>
      <c r="L83" s="39">
        <v>1.5E-3</v>
      </c>
      <c r="M83" s="39">
        <v>1.5E-3</v>
      </c>
      <c r="N83" s="43">
        <v>1.5E-3</v>
      </c>
      <c r="O83" s="39">
        <v>1.0999999999999999E-2</v>
      </c>
      <c r="P83" s="39">
        <v>0.03</v>
      </c>
      <c r="Q83" s="39">
        <v>4.02E-2</v>
      </c>
      <c r="R83" s="39">
        <v>6.5199999999999994E-2</v>
      </c>
      <c r="S83" s="39">
        <v>0.109</v>
      </c>
      <c r="T83">
        <v>47.06</v>
      </c>
      <c r="U83">
        <v>19.61</v>
      </c>
      <c r="V83">
        <v>75.16</v>
      </c>
      <c r="W83" s="17">
        <v>41963.081599999998</v>
      </c>
      <c r="X83" s="83" t="s">
        <v>639</v>
      </c>
    </row>
    <row r="84" spans="7:25" x14ac:dyDescent="0.15">
      <c r="G84" s="11">
        <v>83</v>
      </c>
      <c r="H84" s="10" t="s">
        <v>68</v>
      </c>
      <c r="I84" t="s">
        <v>238</v>
      </c>
      <c r="J84" t="s">
        <v>185</v>
      </c>
      <c r="K84" s="43">
        <v>-4.0000000000000002E-4</v>
      </c>
      <c r="L84" s="39">
        <v>1.5E-3</v>
      </c>
      <c r="M84" s="39">
        <v>1.5E-3</v>
      </c>
      <c r="N84" s="43">
        <v>1.5E-3</v>
      </c>
      <c r="O84" s="39">
        <v>1.0999999999999999E-2</v>
      </c>
      <c r="P84" s="39">
        <v>0.03</v>
      </c>
      <c r="Q84" s="39">
        <v>4.02E-2</v>
      </c>
      <c r="R84" s="39">
        <v>6.5199999999999994E-2</v>
      </c>
      <c r="S84" s="39">
        <v>0.109</v>
      </c>
      <c r="T84">
        <v>46.41</v>
      </c>
      <c r="U84">
        <v>18.95</v>
      </c>
      <c r="V84">
        <v>75.819999999999993</v>
      </c>
      <c r="W84" s="17">
        <v>41963.081599999998</v>
      </c>
    </row>
    <row r="85" spans="7:25" x14ac:dyDescent="0.15">
      <c r="G85" s="11">
        <v>84</v>
      </c>
      <c r="H85" s="10" t="s">
        <v>141</v>
      </c>
      <c r="I85" t="s">
        <v>200</v>
      </c>
      <c r="J85" t="s">
        <v>185</v>
      </c>
      <c r="K85" s="43">
        <v>-1.5E-3</v>
      </c>
      <c r="L85" s="39">
        <v>-5.3699999999999998E-2</v>
      </c>
      <c r="M85" s="39">
        <v>-6.3799999999999996E-2</v>
      </c>
      <c r="N85" s="43">
        <v>-4.4200000000000003E-2</v>
      </c>
      <c r="O85" s="39">
        <v>-0.1113</v>
      </c>
      <c r="P85" s="39">
        <v>-0.13750000000000001</v>
      </c>
      <c r="Q85" s="39">
        <v>-0.2457</v>
      </c>
      <c r="R85" s="39">
        <v>0.12709999999999999</v>
      </c>
      <c r="S85" s="39">
        <v>-0.19139999999999999</v>
      </c>
      <c r="T85">
        <v>45.75</v>
      </c>
      <c r="U85">
        <v>2.61</v>
      </c>
      <c r="V85">
        <v>92.16</v>
      </c>
      <c r="W85" s="17">
        <v>8677.7906999999996</v>
      </c>
    </row>
    <row r="86" spans="7:25" x14ac:dyDescent="0.15">
      <c r="G86" s="11">
        <v>85</v>
      </c>
      <c r="H86" s="10" t="s">
        <v>58</v>
      </c>
      <c r="I86" t="s">
        <v>290</v>
      </c>
      <c r="J86" t="s">
        <v>321</v>
      </c>
      <c r="K86" s="43">
        <v>-4.0000000000000002E-4</v>
      </c>
      <c r="L86" s="39">
        <v>2E-3</v>
      </c>
      <c r="M86" s="39">
        <v>1.4E-3</v>
      </c>
      <c r="N86" s="43">
        <v>1.2999999999999999E-3</v>
      </c>
      <c r="O86" s="39">
        <v>1.15E-2</v>
      </c>
      <c r="P86" s="39">
        <v>3.5999999999999997E-2</v>
      </c>
      <c r="Q86" s="39">
        <v>4.87E-2</v>
      </c>
      <c r="R86" s="39">
        <v>7.6799999999999993E-2</v>
      </c>
      <c r="S86" s="39">
        <v>0.12720000000000001</v>
      </c>
      <c r="T86">
        <v>45.1</v>
      </c>
      <c r="U86">
        <v>17.649999999999999</v>
      </c>
      <c r="V86">
        <v>76.47</v>
      </c>
      <c r="W86" s="17">
        <v>49063.184099999999</v>
      </c>
    </row>
    <row r="87" spans="7:25" x14ac:dyDescent="0.15">
      <c r="G87" s="11">
        <v>86</v>
      </c>
      <c r="H87" s="10" t="s">
        <v>979</v>
      </c>
      <c r="I87" t="s">
        <v>980</v>
      </c>
      <c r="J87" t="s">
        <v>655</v>
      </c>
      <c r="K87" s="43">
        <v>-8.0000000000000004E-4</v>
      </c>
      <c r="L87" s="39">
        <v>7.4999999999999997E-3</v>
      </c>
      <c r="M87" s="39">
        <v>2.7000000000000001E-3</v>
      </c>
      <c r="N87" s="43">
        <v>-6.7000000000000002E-3</v>
      </c>
      <c r="O87" s="39">
        <v>6.1000000000000004E-3</v>
      </c>
      <c r="P87" s="39">
        <v>0.1055</v>
      </c>
      <c r="Q87" s="39">
        <v>0.1333</v>
      </c>
      <c r="R87" s="39">
        <v>0.1333</v>
      </c>
      <c r="S87" s="39">
        <v>0.1333</v>
      </c>
      <c r="T87">
        <v>44.44</v>
      </c>
      <c r="U87">
        <v>11.11</v>
      </c>
      <c r="V87">
        <v>83.01</v>
      </c>
      <c r="W87" s="17">
        <v>45809.243600000002</v>
      </c>
      <c r="X87" s="83" t="s">
        <v>639</v>
      </c>
    </row>
    <row r="88" spans="7:25" x14ac:dyDescent="0.15">
      <c r="G88" s="11">
        <v>87</v>
      </c>
      <c r="H88" s="10" t="s">
        <v>307</v>
      </c>
      <c r="I88" t="s">
        <v>308</v>
      </c>
      <c r="J88" t="s">
        <v>321</v>
      </c>
      <c r="K88" s="43">
        <v>6.9999999999999999E-4</v>
      </c>
      <c r="L88" s="39">
        <v>-2.4899999999999999E-2</v>
      </c>
      <c r="M88" s="39">
        <v>-2.4899999999999999E-2</v>
      </c>
      <c r="N88" s="43">
        <v>2.1000000000000001E-2</v>
      </c>
      <c r="O88" s="39">
        <v>4.0599999999999997E-2</v>
      </c>
      <c r="P88" s="39">
        <v>2.3900000000000001E-2</v>
      </c>
      <c r="Q88" s="39">
        <v>-3.0499999999999999E-2</v>
      </c>
      <c r="R88" s="39">
        <v>4.0099999999999997E-2</v>
      </c>
      <c r="S88" s="39">
        <v>-0.13159999999999999</v>
      </c>
      <c r="T88">
        <v>43.79</v>
      </c>
      <c r="U88">
        <v>60.13</v>
      </c>
      <c r="V88">
        <v>33.33</v>
      </c>
      <c r="W88" s="17">
        <v>1842.3920000000001</v>
      </c>
      <c r="X88" s="83" t="s">
        <v>639</v>
      </c>
      <c r="Y88" s="81" t="s">
        <v>657</v>
      </c>
    </row>
    <row r="89" spans="7:25" x14ac:dyDescent="0.15">
      <c r="G89" s="11">
        <v>88</v>
      </c>
      <c r="H89" s="10" t="s">
        <v>651</v>
      </c>
      <c r="I89" t="s">
        <v>654</v>
      </c>
      <c r="J89" t="s">
        <v>655</v>
      </c>
      <c r="K89" s="43">
        <v>-5.0000000000000001E-4</v>
      </c>
      <c r="L89" s="39">
        <v>1.9E-3</v>
      </c>
      <c r="M89" s="39">
        <v>8.0000000000000004E-4</v>
      </c>
      <c r="N89" s="43">
        <v>-1.1000000000000001E-3</v>
      </c>
      <c r="O89" s="39">
        <v>1.54E-2</v>
      </c>
      <c r="P89" s="39">
        <v>4.6100000000000002E-2</v>
      </c>
      <c r="Q89" s="39">
        <v>6.4399999999999999E-2</v>
      </c>
      <c r="R89" s="39">
        <v>8.2100000000000006E-2</v>
      </c>
      <c r="S89" s="39">
        <v>8.2100000000000006E-2</v>
      </c>
      <c r="T89">
        <v>43.14</v>
      </c>
      <c r="U89">
        <v>15.03</v>
      </c>
      <c r="V89">
        <v>77.78</v>
      </c>
      <c r="W89" s="17">
        <v>916490.77980000002</v>
      </c>
      <c r="X89" s="83" t="s">
        <v>639</v>
      </c>
      <c r="Y89" s="81" t="s">
        <v>657</v>
      </c>
    </row>
    <row r="90" spans="7:25" x14ac:dyDescent="0.15">
      <c r="G90" s="11">
        <v>89</v>
      </c>
      <c r="H90" s="10" t="s">
        <v>132</v>
      </c>
      <c r="I90" t="s">
        <v>224</v>
      </c>
      <c r="J90" t="s">
        <v>185</v>
      </c>
      <c r="K90" s="43">
        <v>-8.9999999999999998E-4</v>
      </c>
      <c r="L90" s="39">
        <v>-3.8800000000000001E-2</v>
      </c>
      <c r="M90" s="39">
        <v>-4.7E-2</v>
      </c>
      <c r="N90" s="43">
        <v>-1.34E-2</v>
      </c>
      <c r="O90" s="39">
        <v>-4.2799999999999998E-2</v>
      </c>
      <c r="P90" s="39">
        <v>-0.18010000000000001</v>
      </c>
      <c r="Q90" s="39">
        <v>-9.2600000000000002E-2</v>
      </c>
      <c r="R90" s="39">
        <v>-2.63E-2</v>
      </c>
      <c r="S90" s="39">
        <v>-0.19919999999999999</v>
      </c>
      <c r="T90">
        <v>42.48</v>
      </c>
      <c r="U90">
        <v>9.15</v>
      </c>
      <c r="V90">
        <v>83.66</v>
      </c>
      <c r="W90" s="17">
        <v>2499.4351999999999</v>
      </c>
    </row>
    <row r="91" spans="7:25" x14ac:dyDescent="0.15">
      <c r="G91" s="11">
        <v>90</v>
      </c>
      <c r="H91" s="10" t="s">
        <v>128</v>
      </c>
      <c r="I91" t="s">
        <v>271</v>
      </c>
      <c r="J91" t="s">
        <v>266</v>
      </c>
      <c r="K91" s="43">
        <v>2.3300000000000001E-2</v>
      </c>
      <c r="L91" s="39">
        <v>7.7999999999999996E-3</v>
      </c>
      <c r="M91" s="39">
        <v>3.44E-2</v>
      </c>
      <c r="N91" s="43">
        <v>7.3499999999999996E-2</v>
      </c>
      <c r="O91" s="39">
        <v>4.8800000000000003E-2</v>
      </c>
      <c r="P91" s="39">
        <v>0.17100000000000001</v>
      </c>
      <c r="Q91" s="39">
        <v>0.4214</v>
      </c>
      <c r="R91" s="39">
        <v>0.60960000000000003</v>
      </c>
      <c r="S91" s="39">
        <v>0.44529999999999997</v>
      </c>
      <c r="T91">
        <v>41.83</v>
      </c>
      <c r="U91">
        <v>90.85</v>
      </c>
      <c r="V91">
        <v>1.96</v>
      </c>
      <c r="W91" s="17">
        <v>41913.28613</v>
      </c>
    </row>
    <row r="92" spans="7:25" x14ac:dyDescent="0.15">
      <c r="G92" s="11">
        <v>91</v>
      </c>
      <c r="H92" s="10" t="s">
        <v>64</v>
      </c>
      <c r="I92" t="s">
        <v>206</v>
      </c>
      <c r="J92" t="s">
        <v>185</v>
      </c>
      <c r="K92" s="43">
        <v>4.4999999999999997E-3</v>
      </c>
      <c r="L92" s="39">
        <v>1.6400000000000001E-2</v>
      </c>
      <c r="M92" s="39">
        <v>4.53E-2</v>
      </c>
      <c r="N92" s="43">
        <v>3.5499999999999997E-2</v>
      </c>
      <c r="O92" s="39">
        <v>5.4800000000000001E-2</v>
      </c>
      <c r="P92" s="39">
        <v>0.2445</v>
      </c>
      <c r="Q92" s="39">
        <v>0.26600000000000001</v>
      </c>
      <c r="R92" s="39">
        <v>0.59209999999999996</v>
      </c>
      <c r="S92" s="39">
        <v>1.2189000000000001</v>
      </c>
      <c r="T92">
        <v>41.18</v>
      </c>
      <c r="U92">
        <v>78.430000000000007</v>
      </c>
      <c r="V92">
        <v>13.73</v>
      </c>
      <c r="W92" s="17">
        <v>3652.1635784</v>
      </c>
    </row>
    <row r="93" spans="7:25" x14ac:dyDescent="0.15">
      <c r="G93" s="11">
        <v>92</v>
      </c>
      <c r="H93" s="10" t="s">
        <v>57</v>
      </c>
      <c r="I93" t="s">
        <v>282</v>
      </c>
      <c r="J93" t="s">
        <v>321</v>
      </c>
      <c r="K93" s="43">
        <v>-2.0000000000000001E-4</v>
      </c>
      <c r="L93" s="39">
        <v>8.9999999999999998E-4</v>
      </c>
      <c r="M93" s="39">
        <v>1.5E-3</v>
      </c>
      <c r="N93" s="43">
        <v>1.9E-3</v>
      </c>
      <c r="O93" s="39">
        <v>9.7000000000000003E-3</v>
      </c>
      <c r="P93" s="39">
        <v>2.46E-2</v>
      </c>
      <c r="Q93" s="39">
        <v>3.7699999999999997E-2</v>
      </c>
      <c r="R93" s="39">
        <v>6.3399999999999998E-2</v>
      </c>
      <c r="S93" s="39">
        <v>9.98E-2</v>
      </c>
      <c r="T93">
        <v>40.520000000000003</v>
      </c>
      <c r="U93">
        <v>22.88</v>
      </c>
      <c r="V93">
        <v>69.28</v>
      </c>
      <c r="W93" s="17">
        <v>4656.0370299999995</v>
      </c>
    </row>
    <row r="94" spans="7:25" x14ac:dyDescent="0.15">
      <c r="G94" s="11">
        <v>93</v>
      </c>
      <c r="H94" s="10" t="s">
        <v>61</v>
      </c>
      <c r="I94" t="s">
        <v>233</v>
      </c>
      <c r="J94" t="s">
        <v>185</v>
      </c>
      <c r="K94" s="43">
        <v>-5.9999999999999995E-4</v>
      </c>
      <c r="L94" s="39">
        <v>-3.3399999999999999E-2</v>
      </c>
      <c r="M94" s="39">
        <v>-6.5500000000000003E-2</v>
      </c>
      <c r="N94" s="43">
        <v>-6.1000000000000004E-3</v>
      </c>
      <c r="O94" s="39">
        <v>-8.1299999999999997E-2</v>
      </c>
      <c r="P94" s="39">
        <v>-0.2344</v>
      </c>
      <c r="Q94" s="39">
        <v>-0.25940000000000002</v>
      </c>
      <c r="R94" s="39">
        <v>-0.29649999999999999</v>
      </c>
      <c r="S94" s="39">
        <v>-0.53849999999999998</v>
      </c>
      <c r="T94">
        <v>39.869999999999997</v>
      </c>
      <c r="U94">
        <v>11.76</v>
      </c>
      <c r="V94">
        <v>80.39</v>
      </c>
      <c r="W94" s="17">
        <v>17467.656130199997</v>
      </c>
    </row>
    <row r="95" spans="7:25" x14ac:dyDescent="0.15">
      <c r="G95" s="11">
        <v>94</v>
      </c>
      <c r="H95" s="10" t="s">
        <v>97</v>
      </c>
      <c r="I95" t="s">
        <v>219</v>
      </c>
      <c r="J95" t="s">
        <v>185</v>
      </c>
      <c r="K95" s="43">
        <v>2.0000000000000001E-4</v>
      </c>
      <c r="L95" s="39">
        <v>-4.0399999999999998E-2</v>
      </c>
      <c r="M95" s="39">
        <v>-6.5299999999999997E-2</v>
      </c>
      <c r="N95" s="43">
        <v>6.7999999999999996E-3</v>
      </c>
      <c r="O95" s="39">
        <v>-8.9099999999999999E-2</v>
      </c>
      <c r="P95" s="39">
        <v>-0.21609999999999999</v>
      </c>
      <c r="Q95" s="39">
        <v>-0.30280000000000001</v>
      </c>
      <c r="R95" s="39">
        <v>-0.36799999999999999</v>
      </c>
      <c r="S95" s="39">
        <v>-0.59850000000000003</v>
      </c>
      <c r="T95">
        <v>39.22</v>
      </c>
      <c r="U95">
        <v>34.64</v>
      </c>
      <c r="V95">
        <v>56.86</v>
      </c>
      <c r="W95" s="17">
        <v>3273.4308000000001</v>
      </c>
    </row>
    <row r="96" spans="7:25" x14ac:dyDescent="0.15">
      <c r="G96" s="11">
        <v>95</v>
      </c>
      <c r="H96" s="10" t="s">
        <v>76</v>
      </c>
      <c r="I96" t="s">
        <v>215</v>
      </c>
      <c r="J96" t="s">
        <v>185</v>
      </c>
      <c r="K96" s="43">
        <v>6.9999999999999999E-4</v>
      </c>
      <c r="L96" s="39">
        <v>-1.3599999999999999E-2</v>
      </c>
      <c r="M96" s="39">
        <v>-7.3000000000000001E-3</v>
      </c>
      <c r="N96" s="43">
        <v>1.9699999999999999E-2</v>
      </c>
      <c r="O96" s="39">
        <v>3.8399999999999997E-2</v>
      </c>
      <c r="P96" s="39">
        <v>4.5199999999999997E-2</v>
      </c>
      <c r="Q96" s="39">
        <v>1.0200000000000001E-2</v>
      </c>
      <c r="R96" s="39">
        <v>0.1484</v>
      </c>
      <c r="S96" s="39">
        <v>8.5900000000000004E-2</v>
      </c>
      <c r="T96">
        <v>38.56</v>
      </c>
      <c r="U96">
        <v>56.21</v>
      </c>
      <c r="V96">
        <v>34.64</v>
      </c>
      <c r="W96" s="17">
        <v>10471.880300000001</v>
      </c>
    </row>
    <row r="97" spans="7:25" x14ac:dyDescent="0.15">
      <c r="G97" s="11">
        <v>96</v>
      </c>
      <c r="H97" s="10" t="s">
        <v>652</v>
      </c>
      <c r="I97" t="s">
        <v>653</v>
      </c>
      <c r="J97" t="s">
        <v>655</v>
      </c>
      <c r="K97" s="43">
        <v>0</v>
      </c>
      <c r="L97" s="39">
        <v>1.1999999999999999E-3</v>
      </c>
      <c r="M97" s="39">
        <v>1.1999999999999999E-3</v>
      </c>
      <c r="N97" s="43">
        <v>2.3E-3</v>
      </c>
      <c r="O97" s="39">
        <v>1.11E-2</v>
      </c>
      <c r="P97" s="39">
        <v>3.2099999999999997E-2</v>
      </c>
      <c r="Q97" s="39">
        <v>4.4600000000000001E-2</v>
      </c>
      <c r="R97" s="39">
        <v>6.4899999999999999E-2</v>
      </c>
      <c r="S97" s="39">
        <v>6.4899999999999999E-2</v>
      </c>
      <c r="T97">
        <v>37.909999999999997</v>
      </c>
      <c r="U97">
        <v>26.14</v>
      </c>
      <c r="V97">
        <v>64.709999999999994</v>
      </c>
      <c r="W97" s="17">
        <v>13386.8501</v>
      </c>
      <c r="X97" s="83" t="s">
        <v>639</v>
      </c>
      <c r="Y97" s="81" t="s">
        <v>657</v>
      </c>
    </row>
    <row r="98" spans="7:25" x14ac:dyDescent="0.15">
      <c r="G98" s="11">
        <v>97</v>
      </c>
      <c r="H98" t="s">
        <v>63</v>
      </c>
      <c r="I98" t="s">
        <v>242</v>
      </c>
      <c r="J98" t="s">
        <v>185</v>
      </c>
      <c r="K98" s="43">
        <v>-4.0000000000000002E-4</v>
      </c>
      <c r="L98" s="39">
        <v>2.3999999999999998E-3</v>
      </c>
      <c r="M98" s="39">
        <v>1.6000000000000001E-3</v>
      </c>
      <c r="N98" s="43">
        <v>8.0000000000000004E-4</v>
      </c>
      <c r="O98" s="39">
        <v>1.1900000000000001E-2</v>
      </c>
      <c r="P98" s="39">
        <v>3.73E-2</v>
      </c>
      <c r="Q98" s="39">
        <v>5.3499999999999999E-2</v>
      </c>
      <c r="R98" s="39">
        <v>8.8499999999999995E-2</v>
      </c>
      <c r="S98" s="39">
        <v>0.14810000000000001</v>
      </c>
      <c r="T98">
        <v>37.25</v>
      </c>
      <c r="U98">
        <v>16.34</v>
      </c>
      <c r="V98">
        <v>73.86</v>
      </c>
      <c r="W98" s="17">
        <v>34616.047200000001</v>
      </c>
    </row>
    <row r="99" spans="7:25" x14ac:dyDescent="0.15">
      <c r="G99" s="11">
        <v>98</v>
      </c>
      <c r="H99" s="10" t="s">
        <v>66</v>
      </c>
      <c r="I99" t="s">
        <v>230</v>
      </c>
      <c r="J99" t="s">
        <v>185</v>
      </c>
      <c r="K99" s="43">
        <v>1.6000000000000001E-3</v>
      </c>
      <c r="L99" s="39">
        <v>1.0200000000000001E-2</v>
      </c>
      <c r="M99" s="39">
        <v>-1.47E-2</v>
      </c>
      <c r="N99" s="43">
        <v>2.8299999999999999E-2</v>
      </c>
      <c r="O99" s="39">
        <v>-5.16E-2</v>
      </c>
      <c r="P99" s="39">
        <v>-0.10730000000000001</v>
      </c>
      <c r="Q99" s="39">
        <v>-0.37290000000000001</v>
      </c>
      <c r="R99" s="39">
        <v>-0.36370000000000002</v>
      </c>
      <c r="S99" s="39">
        <v>-0.2626</v>
      </c>
      <c r="T99">
        <v>36.6</v>
      </c>
      <c r="U99">
        <v>69.930000000000007</v>
      </c>
      <c r="V99">
        <v>20.260000000000002</v>
      </c>
      <c r="W99" s="17">
        <v>42780.034800000001</v>
      </c>
      <c r="X99" s="83" t="s">
        <v>639</v>
      </c>
    </row>
    <row r="100" spans="7:25" x14ac:dyDescent="0.15">
      <c r="G100" s="11">
        <v>99</v>
      </c>
      <c r="H100" s="10" t="s">
        <v>294</v>
      </c>
      <c r="I100" t="s">
        <v>295</v>
      </c>
      <c r="J100" t="s">
        <v>321</v>
      </c>
      <c r="K100" s="43">
        <v>0</v>
      </c>
      <c r="L100" s="39">
        <v>-4.4299999999999999E-2</v>
      </c>
      <c r="M100" s="39">
        <v>-2.92E-2</v>
      </c>
      <c r="N100" s="43">
        <v>3.5999999999999999E-3</v>
      </c>
      <c r="O100" s="39">
        <v>1.49E-2</v>
      </c>
      <c r="P100" s="39">
        <v>-6.8599999999999994E-2</v>
      </c>
      <c r="Q100" s="39">
        <v>-0.1434</v>
      </c>
      <c r="R100" s="39">
        <v>-0.15029999999999999</v>
      </c>
      <c r="S100" s="39">
        <v>-0.251</v>
      </c>
      <c r="T100">
        <v>35.950000000000003</v>
      </c>
      <c r="U100">
        <v>27.45</v>
      </c>
      <c r="V100">
        <v>61.44</v>
      </c>
      <c r="W100" s="17">
        <v>1331.98576</v>
      </c>
    </row>
    <row r="101" spans="7:25" x14ac:dyDescent="0.15">
      <c r="G101" s="11">
        <v>100</v>
      </c>
      <c r="H101" t="s">
        <v>84</v>
      </c>
      <c r="I101" t="s">
        <v>244</v>
      </c>
      <c r="J101" t="s">
        <v>185</v>
      </c>
      <c r="K101" s="43">
        <v>2.9999999999999997E-4</v>
      </c>
      <c r="L101" s="39">
        <v>-3.32E-2</v>
      </c>
      <c r="M101" s="39">
        <v>-3.5299999999999998E-2</v>
      </c>
      <c r="N101" s="43">
        <v>8.5000000000000006E-3</v>
      </c>
      <c r="O101" s="39">
        <v>-7.1000000000000004E-3</v>
      </c>
      <c r="P101" s="39">
        <v>-0.12429999999999999</v>
      </c>
      <c r="Q101" s="39">
        <v>-0.17799999999999999</v>
      </c>
      <c r="R101" s="39">
        <v>-9.0700000000000003E-2</v>
      </c>
      <c r="S101" s="39">
        <v>-0.1394</v>
      </c>
      <c r="T101">
        <v>35.29</v>
      </c>
      <c r="U101">
        <v>37.909999999999997</v>
      </c>
      <c r="V101">
        <v>50.98</v>
      </c>
      <c r="W101" s="17">
        <v>54189.732499999998</v>
      </c>
      <c r="X101" s="83" t="s">
        <v>639</v>
      </c>
    </row>
    <row r="102" spans="7:25" x14ac:dyDescent="0.15">
      <c r="G102" s="11">
        <v>101</v>
      </c>
      <c r="H102" t="s">
        <v>164</v>
      </c>
      <c r="I102" t="s">
        <v>212</v>
      </c>
      <c r="J102" t="s">
        <v>185</v>
      </c>
      <c r="K102" s="43">
        <v>5.0000000000000001E-4</v>
      </c>
      <c r="L102" s="39">
        <v>-3.2000000000000001E-2</v>
      </c>
      <c r="M102" s="39">
        <v>-4.8399999999999999E-2</v>
      </c>
      <c r="N102" s="43">
        <v>1.5800000000000002E-2</v>
      </c>
      <c r="O102" s="39">
        <v>-7.6899999999999996E-2</v>
      </c>
      <c r="P102" s="39">
        <v>-0.1124</v>
      </c>
      <c r="Q102" s="39">
        <v>-0.1089</v>
      </c>
      <c r="R102" s="39">
        <v>-1.72E-2</v>
      </c>
      <c r="S102" s="39">
        <v>-0.16470000000000001</v>
      </c>
      <c r="T102">
        <v>34.64</v>
      </c>
      <c r="U102">
        <v>45.75</v>
      </c>
      <c r="V102">
        <v>41.83</v>
      </c>
      <c r="W102" s="17">
        <v>4638.3560399999997</v>
      </c>
    </row>
    <row r="103" spans="7:25" x14ac:dyDescent="0.15">
      <c r="G103" s="11">
        <v>102</v>
      </c>
      <c r="H103" s="10" t="s">
        <v>101</v>
      </c>
      <c r="I103" t="s">
        <v>246</v>
      </c>
      <c r="J103" t="s">
        <v>185</v>
      </c>
      <c r="K103" s="43">
        <v>2.9999999999999997E-4</v>
      </c>
      <c r="L103" s="39">
        <v>-3.3599999999999998E-2</v>
      </c>
      <c r="M103" s="39">
        <v>-4.1200000000000001E-2</v>
      </c>
      <c r="N103" s="43">
        <v>5.3E-3</v>
      </c>
      <c r="O103" s="39">
        <v>-4.1999999999999997E-3</v>
      </c>
      <c r="P103" s="39">
        <v>-0.1116</v>
      </c>
      <c r="Q103" s="39">
        <v>-0.32</v>
      </c>
      <c r="R103" s="39">
        <v>-0.35020000000000001</v>
      </c>
      <c r="S103" s="39">
        <v>-0.28699999999999998</v>
      </c>
      <c r="T103">
        <v>33.99</v>
      </c>
      <c r="U103">
        <v>33.33</v>
      </c>
      <c r="V103">
        <v>52.94</v>
      </c>
      <c r="W103" s="17">
        <v>4249.1722</v>
      </c>
    </row>
    <row r="104" spans="7:25" x14ac:dyDescent="0.15">
      <c r="G104" s="11">
        <v>103</v>
      </c>
      <c r="H104" t="s">
        <v>174</v>
      </c>
      <c r="I104" t="s">
        <v>269</v>
      </c>
      <c r="J104" t="s">
        <v>266</v>
      </c>
      <c r="K104" s="43">
        <v>1.43E-2</v>
      </c>
      <c r="L104" s="39">
        <v>1.49E-2</v>
      </c>
      <c r="M104" s="39">
        <v>4.1000000000000002E-2</v>
      </c>
      <c r="N104" s="43">
        <v>3.2500000000000001E-2</v>
      </c>
      <c r="O104" s="39">
        <v>3.61E-2</v>
      </c>
      <c r="P104" s="39">
        <v>0.15959999999999999</v>
      </c>
      <c r="Q104" s="39">
        <v>0.27579999999999999</v>
      </c>
      <c r="R104" s="39">
        <v>0.32929999999999998</v>
      </c>
      <c r="S104" s="39">
        <v>0.46429999999999999</v>
      </c>
      <c r="T104">
        <v>33.33</v>
      </c>
      <c r="U104">
        <v>76.47</v>
      </c>
      <c r="V104">
        <v>9.8000000000000007</v>
      </c>
      <c r="W104" s="17">
        <v>14367.152255500001</v>
      </c>
      <c r="X104" s="83" t="s">
        <v>639</v>
      </c>
      <c r="Y104" s="81" t="s">
        <v>657</v>
      </c>
    </row>
    <row r="105" spans="7:25" x14ac:dyDescent="0.15">
      <c r="G105" s="11">
        <v>104</v>
      </c>
      <c r="H105" s="10" t="s">
        <v>113</v>
      </c>
      <c r="I105" t="s">
        <v>207</v>
      </c>
      <c r="J105" t="s">
        <v>185</v>
      </c>
      <c r="K105" s="43">
        <v>1E-3</v>
      </c>
      <c r="L105" s="39">
        <v>-1.8100000000000002E-2</v>
      </c>
      <c r="M105" s="39">
        <v>-1.46E-2</v>
      </c>
      <c r="N105" s="43">
        <v>1.9800000000000002E-2</v>
      </c>
      <c r="O105" s="39">
        <v>2.46E-2</v>
      </c>
      <c r="P105" s="39">
        <v>1.09E-2</v>
      </c>
      <c r="Q105" s="39">
        <v>-7.4999999999999997E-2</v>
      </c>
      <c r="R105" s="39">
        <v>-2.76E-2</v>
      </c>
      <c r="S105" s="39">
        <v>-0.20430000000000001</v>
      </c>
      <c r="T105">
        <v>32.68</v>
      </c>
      <c r="U105">
        <v>56.86</v>
      </c>
      <c r="V105">
        <v>27.45</v>
      </c>
      <c r="W105" s="17">
        <v>8332.5018999999993</v>
      </c>
    </row>
    <row r="106" spans="7:25" x14ac:dyDescent="0.15">
      <c r="G106" s="11">
        <v>105</v>
      </c>
      <c r="H106" t="s">
        <v>78</v>
      </c>
      <c r="I106" t="s">
        <v>297</v>
      </c>
      <c r="J106" t="s">
        <v>321</v>
      </c>
      <c r="K106" s="43">
        <v>0</v>
      </c>
      <c r="L106" s="39">
        <v>5.0000000000000001E-4</v>
      </c>
      <c r="M106" s="39">
        <v>6.9999999999999999E-4</v>
      </c>
      <c r="N106" s="43">
        <v>1.6999999999999999E-3</v>
      </c>
      <c r="O106" s="39">
        <v>5.8999999999999999E-3</v>
      </c>
      <c r="P106" s="39">
        <v>1.34E-2</v>
      </c>
      <c r="Q106" s="39">
        <v>2.4299999999999999E-2</v>
      </c>
      <c r="R106" s="39">
        <v>4.65E-2</v>
      </c>
      <c r="S106" s="39">
        <v>7.7200000000000005E-2</v>
      </c>
      <c r="T106">
        <v>32.03</v>
      </c>
      <c r="U106">
        <v>20.260000000000002</v>
      </c>
      <c r="V106">
        <v>64.05</v>
      </c>
      <c r="W106" s="17">
        <v>988646.45349999995</v>
      </c>
    </row>
    <row r="107" spans="7:25" x14ac:dyDescent="0.15">
      <c r="G107" s="11">
        <v>106</v>
      </c>
      <c r="H107" s="10" t="s">
        <v>149</v>
      </c>
      <c r="I107" t="s">
        <v>228</v>
      </c>
      <c r="J107" t="s">
        <v>185</v>
      </c>
      <c r="K107" s="43">
        <v>5.0000000000000001E-4</v>
      </c>
      <c r="L107" s="39">
        <v>-2.6800000000000001E-2</v>
      </c>
      <c r="M107" s="39">
        <v>-1.8499999999999999E-2</v>
      </c>
      <c r="N107" s="43">
        <v>1.21E-2</v>
      </c>
      <c r="O107" s="39">
        <v>3.5499999999999997E-2</v>
      </c>
      <c r="P107" s="39">
        <v>3.4799999999999998E-2</v>
      </c>
      <c r="Q107" s="39">
        <v>4.0000000000000002E-4</v>
      </c>
      <c r="R107" s="39">
        <v>5.4999999999999997E-3</v>
      </c>
      <c r="S107" s="39">
        <v>-0.3024</v>
      </c>
      <c r="T107">
        <v>31.37</v>
      </c>
      <c r="U107">
        <v>41.83</v>
      </c>
      <c r="V107">
        <v>41.18</v>
      </c>
      <c r="W107" s="17">
        <v>3215.0657999999999</v>
      </c>
    </row>
    <row r="108" spans="7:25" x14ac:dyDescent="0.15">
      <c r="G108" s="11">
        <v>107</v>
      </c>
      <c r="H108" s="10" t="s">
        <v>121</v>
      </c>
      <c r="I108" t="s">
        <v>199</v>
      </c>
      <c r="J108" t="s">
        <v>185</v>
      </c>
      <c r="K108" s="43">
        <v>5.9999999999999995E-4</v>
      </c>
      <c r="L108" s="39">
        <v>-2.6599999999999999E-2</v>
      </c>
      <c r="M108" s="39">
        <v>-2.23E-2</v>
      </c>
      <c r="N108" s="43">
        <v>1.55E-2</v>
      </c>
      <c r="O108" s="39">
        <v>-1.43E-2</v>
      </c>
      <c r="P108" s="39">
        <v>-7.8600000000000003E-2</v>
      </c>
      <c r="Q108" s="39">
        <v>-0.1163</v>
      </c>
      <c r="R108" s="39">
        <v>-0.1095</v>
      </c>
      <c r="S108" s="39">
        <v>-0.33789999999999998</v>
      </c>
      <c r="T108">
        <v>30.72</v>
      </c>
      <c r="U108">
        <v>45.1</v>
      </c>
      <c r="V108">
        <v>37.909999999999997</v>
      </c>
      <c r="W108" s="17">
        <v>516.11090000000002</v>
      </c>
    </row>
    <row r="109" spans="7:25" x14ac:dyDescent="0.15">
      <c r="G109" s="11">
        <v>108</v>
      </c>
      <c r="H109" s="10" t="s">
        <v>140</v>
      </c>
      <c r="I109" t="s">
        <v>270</v>
      </c>
      <c r="J109" t="s">
        <v>266</v>
      </c>
      <c r="K109" s="43">
        <v>3.2500000000000001E-2</v>
      </c>
      <c r="L109" s="39">
        <v>-1E-4</v>
      </c>
      <c r="M109" s="39">
        <v>1.72E-2</v>
      </c>
      <c r="N109" s="43">
        <v>4.65E-2</v>
      </c>
      <c r="O109" s="39">
        <v>4.6399999999999997E-2</v>
      </c>
      <c r="P109" s="39">
        <v>0.1636</v>
      </c>
      <c r="Q109" s="39">
        <v>0.3226</v>
      </c>
      <c r="R109" s="39">
        <v>0.4113</v>
      </c>
      <c r="S109" s="39">
        <v>0.39200000000000002</v>
      </c>
      <c r="T109">
        <v>30.07</v>
      </c>
      <c r="U109">
        <v>82.35</v>
      </c>
      <c r="V109">
        <v>0.65</v>
      </c>
      <c r="W109" s="17">
        <v>10502.9202</v>
      </c>
      <c r="X109" s="83" t="s">
        <v>639</v>
      </c>
      <c r="Y109" s="81" t="s">
        <v>657</v>
      </c>
    </row>
    <row r="110" spans="7:25" x14ac:dyDescent="0.15">
      <c r="G110" s="11">
        <v>109</v>
      </c>
      <c r="H110" s="10" t="s">
        <v>166</v>
      </c>
      <c r="I110" t="s">
        <v>275</v>
      </c>
      <c r="J110" t="s">
        <v>266</v>
      </c>
      <c r="K110" s="43">
        <v>2.3E-2</v>
      </c>
      <c r="L110" s="39">
        <v>-2.0999999999999999E-3</v>
      </c>
      <c r="M110" s="39">
        <v>5.7999999999999996E-3</v>
      </c>
      <c r="N110" s="43">
        <v>4.3400000000000001E-2</v>
      </c>
      <c r="O110" s="39">
        <v>6.6600000000000006E-2</v>
      </c>
      <c r="P110" s="39">
        <v>0.14369999999999999</v>
      </c>
      <c r="Q110" s="39">
        <v>0.1726</v>
      </c>
      <c r="R110" s="39">
        <v>0.4541</v>
      </c>
      <c r="S110" s="39">
        <v>0.1216</v>
      </c>
      <c r="T110">
        <v>29.41</v>
      </c>
      <c r="U110">
        <v>79.739999999999995</v>
      </c>
      <c r="V110">
        <v>2.61</v>
      </c>
      <c r="W110" s="17">
        <v>5366.1846999999998</v>
      </c>
    </row>
    <row r="111" spans="7:25" x14ac:dyDescent="0.15">
      <c r="G111" s="11">
        <v>110</v>
      </c>
      <c r="H111" s="10" t="s">
        <v>133</v>
      </c>
      <c r="I111" t="s">
        <v>262</v>
      </c>
      <c r="J111" t="s">
        <v>185</v>
      </c>
      <c r="K111" s="43">
        <v>5.9999999999999995E-4</v>
      </c>
      <c r="L111" s="39">
        <v>-2.7799999999999998E-2</v>
      </c>
      <c r="M111" s="39">
        <v>-3.04E-2</v>
      </c>
      <c r="N111" s="43">
        <v>1.4500000000000001E-2</v>
      </c>
      <c r="O111" s="39">
        <v>5.0000000000000001E-3</v>
      </c>
      <c r="P111" s="39">
        <v>-4.2999999999999997E-2</v>
      </c>
      <c r="Q111" s="39">
        <v>-0.11890000000000001</v>
      </c>
      <c r="R111" s="39">
        <v>-3.0599999999999999E-2</v>
      </c>
      <c r="S111" s="39">
        <v>-0.1318</v>
      </c>
      <c r="T111">
        <v>28.76</v>
      </c>
      <c r="U111">
        <v>43.79</v>
      </c>
      <c r="V111">
        <v>38.56</v>
      </c>
      <c r="W111" s="17">
        <v>114874.0742</v>
      </c>
    </row>
    <row r="112" spans="7:25" x14ac:dyDescent="0.15">
      <c r="G112" s="11">
        <v>111</v>
      </c>
      <c r="H112" s="10" t="s">
        <v>142</v>
      </c>
      <c r="I112" t="s">
        <v>214</v>
      </c>
      <c r="J112" t="s">
        <v>185</v>
      </c>
      <c r="K112" s="43">
        <v>2.3E-3</v>
      </c>
      <c r="L112" s="39">
        <v>-4.1399999999999999E-2</v>
      </c>
      <c r="M112" s="39">
        <v>-1.6199999999999999E-2</v>
      </c>
      <c r="N112" s="43">
        <v>2.5000000000000001E-2</v>
      </c>
      <c r="O112" s="39">
        <v>1.9300000000000001E-2</v>
      </c>
      <c r="P112" s="39">
        <v>1.38E-2</v>
      </c>
      <c r="Q112" s="39">
        <v>2.1499999999999998E-2</v>
      </c>
      <c r="R112" s="39">
        <v>0.1087</v>
      </c>
      <c r="S112" s="39">
        <v>-0.12640000000000001</v>
      </c>
      <c r="T112">
        <v>28.1</v>
      </c>
      <c r="U112">
        <v>64.709999999999994</v>
      </c>
      <c r="V112">
        <v>16.989999999999998</v>
      </c>
      <c r="W112" s="17">
        <v>4713.3759</v>
      </c>
    </row>
    <row r="113" spans="7:25" x14ac:dyDescent="0.15">
      <c r="G113" s="11">
        <v>112</v>
      </c>
      <c r="H113" s="10" t="s">
        <v>114</v>
      </c>
      <c r="I113" t="s">
        <v>231</v>
      </c>
      <c r="J113" t="s">
        <v>185</v>
      </c>
      <c r="K113" s="43">
        <v>2.9999999999999997E-4</v>
      </c>
      <c r="L113" s="39">
        <v>-4.2000000000000003E-2</v>
      </c>
      <c r="M113" s="39">
        <v>-2.4500000000000001E-2</v>
      </c>
      <c r="N113" s="43">
        <v>3.7000000000000002E-3</v>
      </c>
      <c r="O113" s="39">
        <v>2.4799999999999999E-2</v>
      </c>
      <c r="P113" s="39">
        <v>-4.3700000000000003E-2</v>
      </c>
      <c r="Q113" s="39">
        <v>-0.1191</v>
      </c>
      <c r="R113" s="39">
        <v>-0.1162</v>
      </c>
      <c r="S113" s="39">
        <v>-0.3075</v>
      </c>
      <c r="T113">
        <v>27.45</v>
      </c>
      <c r="U113">
        <v>28.1</v>
      </c>
      <c r="V113">
        <v>53.59</v>
      </c>
      <c r="W113" s="17">
        <v>3975.7415999999998</v>
      </c>
    </row>
    <row r="114" spans="7:25" x14ac:dyDescent="0.15">
      <c r="G114" s="11">
        <v>113</v>
      </c>
      <c r="H114" s="10" t="s">
        <v>89</v>
      </c>
      <c r="I114" t="s">
        <v>298</v>
      </c>
      <c r="J114" t="s">
        <v>321</v>
      </c>
      <c r="K114" s="43">
        <v>2.0000000000000001E-4</v>
      </c>
      <c r="L114" s="39">
        <v>8.0000000000000004E-4</v>
      </c>
      <c r="M114" s="39">
        <v>1.2999999999999999E-3</v>
      </c>
      <c r="N114" s="43">
        <v>2.2000000000000001E-3</v>
      </c>
      <c r="O114" s="39">
        <v>9.5999999999999992E-3</v>
      </c>
      <c r="P114" s="39">
        <v>2.1899999999999999E-2</v>
      </c>
      <c r="Q114" s="39">
        <v>2.7799999999999998E-2</v>
      </c>
      <c r="R114" s="39">
        <v>4.5499999999999999E-2</v>
      </c>
      <c r="S114" s="39">
        <v>7.6300000000000007E-2</v>
      </c>
      <c r="T114">
        <v>26.8</v>
      </c>
      <c r="U114">
        <v>24.84</v>
      </c>
      <c r="V114">
        <v>56.21</v>
      </c>
      <c r="W114" s="17">
        <v>57955.465499999998</v>
      </c>
      <c r="X114" s="83" t="s">
        <v>639</v>
      </c>
    </row>
    <row r="115" spans="7:25" x14ac:dyDescent="0.15">
      <c r="G115" s="11">
        <v>114</v>
      </c>
      <c r="H115" s="10" t="s">
        <v>299</v>
      </c>
      <c r="I115" t="s">
        <v>647</v>
      </c>
      <c r="J115" t="s">
        <v>321</v>
      </c>
      <c r="K115" s="43">
        <v>5.0000000000000001E-3</v>
      </c>
      <c r="L115" s="39">
        <v>9.4999999999999998E-3</v>
      </c>
      <c r="M115" s="39">
        <v>1.8599999999999998E-2</v>
      </c>
      <c r="N115" s="43">
        <v>2.64E-2</v>
      </c>
      <c r="O115" s="39">
        <v>9.3299999999999994E-2</v>
      </c>
      <c r="P115" s="39">
        <v>0.23830000000000001</v>
      </c>
      <c r="Q115" s="39">
        <v>0.15160000000000001</v>
      </c>
      <c r="R115" s="39">
        <v>0.5</v>
      </c>
      <c r="S115" s="39">
        <v>0.56279999999999997</v>
      </c>
      <c r="T115">
        <v>26.14</v>
      </c>
      <c r="U115">
        <v>66.010000000000005</v>
      </c>
      <c r="V115">
        <v>13.07</v>
      </c>
      <c r="W115" s="17">
        <v>7720.4781999999996</v>
      </c>
      <c r="X115" s="83" t="s">
        <v>639</v>
      </c>
    </row>
    <row r="116" spans="7:25" x14ac:dyDescent="0.15">
      <c r="G116" s="11">
        <v>115</v>
      </c>
      <c r="H116" s="10" t="s">
        <v>82</v>
      </c>
      <c r="I116" t="s">
        <v>250</v>
      </c>
      <c r="J116" t="s">
        <v>185</v>
      </c>
      <c r="K116" s="43">
        <v>2.9999999999999997E-4</v>
      </c>
      <c r="L116" s="39">
        <v>-3.2599999999999997E-2</v>
      </c>
      <c r="M116" s="39">
        <v>-3.4799999999999998E-2</v>
      </c>
      <c r="N116" s="43">
        <v>2.8999999999999998E-3</v>
      </c>
      <c r="O116" s="39">
        <v>3.3E-3</v>
      </c>
      <c r="P116" s="39">
        <v>-0.10199999999999999</v>
      </c>
      <c r="Q116" s="39">
        <v>-0.20280000000000001</v>
      </c>
      <c r="R116" s="39">
        <v>-0.14699999999999999</v>
      </c>
      <c r="S116" s="39">
        <v>-0.14430000000000001</v>
      </c>
      <c r="T116">
        <v>25.49</v>
      </c>
      <c r="U116">
        <v>26.8</v>
      </c>
      <c r="V116">
        <v>50.33</v>
      </c>
      <c r="W116" s="17">
        <v>18686.046999999999</v>
      </c>
      <c r="X116" s="83" t="s">
        <v>639</v>
      </c>
    </row>
    <row r="117" spans="7:25" x14ac:dyDescent="0.15">
      <c r="G117" s="11">
        <v>116</v>
      </c>
      <c r="H117" t="s">
        <v>130</v>
      </c>
      <c r="I117" t="s">
        <v>208</v>
      </c>
      <c r="J117" t="s">
        <v>185</v>
      </c>
      <c r="K117" s="43">
        <v>-2.9999999999999997E-4</v>
      </c>
      <c r="L117" s="39">
        <v>-3.5700000000000003E-2</v>
      </c>
      <c r="M117" s="39">
        <v>-6.1100000000000002E-2</v>
      </c>
      <c r="N117" s="43">
        <v>-3.0700000000000002E-2</v>
      </c>
      <c r="O117" s="39">
        <v>1.0800000000000001E-2</v>
      </c>
      <c r="P117" s="39">
        <v>-5.2600000000000001E-2</v>
      </c>
      <c r="Q117" s="39">
        <v>7.0999999999999994E-2</v>
      </c>
      <c r="R117" s="39">
        <v>0.15160000000000001</v>
      </c>
      <c r="S117" s="39">
        <v>3.3099999999999997E-2</v>
      </c>
      <c r="T117">
        <v>24.84</v>
      </c>
      <c r="U117">
        <v>5.23</v>
      </c>
      <c r="V117">
        <v>71.239999999999995</v>
      </c>
      <c r="W117" s="17">
        <v>4452.6615000000002</v>
      </c>
      <c r="X117" s="83" t="s">
        <v>639</v>
      </c>
    </row>
    <row r="118" spans="7:25" x14ac:dyDescent="0.15">
      <c r="G118" s="11">
        <v>117</v>
      </c>
      <c r="H118" t="s">
        <v>88</v>
      </c>
      <c r="I118" t="s">
        <v>255</v>
      </c>
      <c r="J118" t="s">
        <v>185</v>
      </c>
      <c r="K118" s="43">
        <v>4.0000000000000002E-4</v>
      </c>
      <c r="L118" s="39">
        <v>-3.4599999999999999E-2</v>
      </c>
      <c r="M118" s="39">
        <v>-4.2500000000000003E-2</v>
      </c>
      <c r="N118" s="43">
        <v>4.1000000000000003E-3</v>
      </c>
      <c r="O118" s="39">
        <v>-8.3999999999999995E-3</v>
      </c>
      <c r="P118" s="39">
        <v>-0.1116</v>
      </c>
      <c r="Q118" s="39">
        <v>-0.32890000000000003</v>
      </c>
      <c r="R118" s="39">
        <v>-0.36570000000000003</v>
      </c>
      <c r="S118" s="39">
        <v>-0.32619999999999999</v>
      </c>
      <c r="T118">
        <v>24.18</v>
      </c>
      <c r="U118">
        <v>30.72</v>
      </c>
      <c r="V118">
        <v>45.1</v>
      </c>
      <c r="W118" s="17">
        <v>7574.8139000000001</v>
      </c>
    </row>
    <row r="119" spans="7:25" x14ac:dyDescent="0.15">
      <c r="G119" s="11">
        <v>118</v>
      </c>
      <c r="H119" t="s">
        <v>117</v>
      </c>
      <c r="I119" t="s">
        <v>278</v>
      </c>
      <c r="J119" t="s">
        <v>276</v>
      </c>
      <c r="K119" s="43">
        <v>3.8999999999999998E-3</v>
      </c>
      <c r="L119" s="39">
        <v>-4.24E-2</v>
      </c>
      <c r="M119" s="39">
        <v>-7.4999999999999997E-2</v>
      </c>
      <c r="N119" s="43">
        <v>2.1999999999999999E-2</v>
      </c>
      <c r="O119" s="39">
        <v>-8.5300000000000001E-2</v>
      </c>
      <c r="P119" s="39">
        <v>-0.27800000000000002</v>
      </c>
      <c r="Q119" s="39">
        <v>-0.31409999999999999</v>
      </c>
      <c r="R119" s="39">
        <v>-0.1996</v>
      </c>
      <c r="S119" s="39">
        <v>-0.67130000000000001</v>
      </c>
      <c r="T119">
        <v>23.53</v>
      </c>
      <c r="U119">
        <v>61.44</v>
      </c>
      <c r="V119">
        <v>14.38</v>
      </c>
      <c r="W119" s="17">
        <v>95971.476599999995</v>
      </c>
    </row>
    <row r="120" spans="7:25" x14ac:dyDescent="0.15">
      <c r="G120" s="11">
        <v>119</v>
      </c>
      <c r="H120" t="s">
        <v>85</v>
      </c>
      <c r="I120" t="s">
        <v>1073</v>
      </c>
      <c r="J120" t="s">
        <v>185</v>
      </c>
      <c r="K120" s="43">
        <v>1.1999999999999999E-3</v>
      </c>
      <c r="L120" s="39">
        <v>-0.01</v>
      </c>
      <c r="M120" s="39">
        <v>-3.1099999999999999E-2</v>
      </c>
      <c r="N120" s="43">
        <v>1.83E-2</v>
      </c>
      <c r="O120" s="39">
        <v>3.6999999999999998E-2</v>
      </c>
      <c r="P120" s="39">
        <v>1.23E-2</v>
      </c>
      <c r="Q120" s="39">
        <v>-0.24360000000000001</v>
      </c>
      <c r="R120" s="39">
        <v>-0.24129999999999999</v>
      </c>
      <c r="S120" s="39">
        <v>-0.28349999999999997</v>
      </c>
      <c r="T120">
        <v>22.88</v>
      </c>
      <c r="U120">
        <v>52.29</v>
      </c>
      <c r="V120">
        <v>23.53</v>
      </c>
      <c r="W120" s="17">
        <v>1217.0086199999998</v>
      </c>
    </row>
    <row r="121" spans="7:25" x14ac:dyDescent="0.15">
      <c r="G121" s="11">
        <v>120</v>
      </c>
      <c r="H121" s="10" t="s">
        <v>160</v>
      </c>
      <c r="I121" t="s">
        <v>212</v>
      </c>
      <c r="J121" t="s">
        <v>185</v>
      </c>
      <c r="K121" s="43">
        <v>1E-3</v>
      </c>
      <c r="L121" s="39">
        <v>-3.2399999999999998E-2</v>
      </c>
      <c r="M121" s="39">
        <v>-4.9000000000000002E-2</v>
      </c>
      <c r="N121" s="43">
        <v>1.6E-2</v>
      </c>
      <c r="O121" s="39">
        <v>-7.7799999999999994E-2</v>
      </c>
      <c r="P121" s="39">
        <v>-0.113</v>
      </c>
      <c r="Q121" s="39">
        <v>-0.1114</v>
      </c>
      <c r="R121" s="39">
        <v>-2.18E-2</v>
      </c>
      <c r="S121" s="39">
        <v>-0.17699999999999999</v>
      </c>
      <c r="T121">
        <v>22.22</v>
      </c>
      <c r="U121">
        <v>47.06</v>
      </c>
      <c r="V121">
        <v>26.8</v>
      </c>
      <c r="W121" s="17">
        <v>43207.931600000004</v>
      </c>
    </row>
    <row r="122" spans="7:25" x14ac:dyDescent="0.15">
      <c r="G122" s="11">
        <v>121</v>
      </c>
      <c r="H122" s="10" t="s">
        <v>157</v>
      </c>
      <c r="I122" t="s">
        <v>240</v>
      </c>
      <c r="J122" t="s">
        <v>185</v>
      </c>
      <c r="K122" s="43">
        <v>1.1999999999999999E-3</v>
      </c>
      <c r="L122" s="39">
        <v>-3.2399999999999998E-2</v>
      </c>
      <c r="M122" s="39">
        <v>-4.9000000000000002E-2</v>
      </c>
      <c r="N122" s="43">
        <v>1.61E-2</v>
      </c>
      <c r="O122" s="39">
        <v>-7.7700000000000005E-2</v>
      </c>
      <c r="P122" s="39">
        <v>-0.11360000000000001</v>
      </c>
      <c r="Q122" s="39">
        <v>-0.1115</v>
      </c>
      <c r="R122" s="39">
        <v>-2.1999999999999999E-2</v>
      </c>
      <c r="S122" s="39">
        <v>-0.1784</v>
      </c>
      <c r="T122">
        <v>21.57</v>
      </c>
      <c r="U122">
        <v>47.71</v>
      </c>
      <c r="V122">
        <v>25.49</v>
      </c>
      <c r="W122" s="17">
        <v>68472.719899999996</v>
      </c>
    </row>
    <row r="123" spans="7:25" x14ac:dyDescent="0.15">
      <c r="G123" s="11">
        <v>122</v>
      </c>
      <c r="H123" t="s">
        <v>108</v>
      </c>
      <c r="I123" t="s">
        <v>231</v>
      </c>
      <c r="J123" t="s">
        <v>185</v>
      </c>
      <c r="K123" s="43">
        <v>4.0000000000000002E-4</v>
      </c>
      <c r="L123" s="39">
        <v>-4.2299999999999997E-2</v>
      </c>
      <c r="M123" s="39">
        <v>-2.46E-2</v>
      </c>
      <c r="N123" s="43">
        <v>2E-3</v>
      </c>
      <c r="O123" s="39">
        <v>2.23E-2</v>
      </c>
      <c r="P123" s="39">
        <v>-4.6100000000000002E-2</v>
      </c>
      <c r="Q123" s="39">
        <v>-0.11219999999999999</v>
      </c>
      <c r="R123" s="39">
        <v>-9.4500000000000001E-2</v>
      </c>
      <c r="S123" s="39">
        <v>-0.25440000000000002</v>
      </c>
      <c r="T123">
        <v>20.92</v>
      </c>
      <c r="U123">
        <v>23.53</v>
      </c>
      <c r="V123">
        <v>48.37</v>
      </c>
      <c r="W123" s="17">
        <v>1164.9821199999999</v>
      </c>
    </row>
    <row r="124" spans="7:25" x14ac:dyDescent="0.15">
      <c r="G124" s="11">
        <v>123</v>
      </c>
      <c r="H124" s="10" t="s">
        <v>173</v>
      </c>
      <c r="I124" t="s">
        <v>936</v>
      </c>
      <c r="J124" t="s">
        <v>266</v>
      </c>
      <c r="K124" s="43">
        <v>2.1600000000000001E-2</v>
      </c>
      <c r="L124" s="39">
        <v>-6.3E-3</v>
      </c>
      <c r="M124" s="39">
        <v>4.0000000000000002E-4</v>
      </c>
      <c r="N124" s="43">
        <v>2.7400000000000001E-2</v>
      </c>
      <c r="O124" s="39">
        <v>3.8899999999999997E-2</v>
      </c>
      <c r="P124" s="39">
        <v>0.1124</v>
      </c>
      <c r="Q124" s="39">
        <v>0.1308</v>
      </c>
      <c r="R124" s="39">
        <v>0.49959999999999999</v>
      </c>
      <c r="S124" s="39">
        <v>0.33360000000000001</v>
      </c>
      <c r="T124">
        <v>20.260000000000002</v>
      </c>
      <c r="U124">
        <v>67.319999999999993</v>
      </c>
      <c r="V124">
        <v>4.58</v>
      </c>
      <c r="W124" s="17">
        <v>1612.1533999999999</v>
      </c>
      <c r="X124" s="83" t="s">
        <v>639</v>
      </c>
    </row>
    <row r="125" spans="7:25" x14ac:dyDescent="0.15">
      <c r="G125" s="11">
        <v>124</v>
      </c>
      <c r="H125" t="s">
        <v>77</v>
      </c>
      <c r="I125" t="s">
        <v>904</v>
      </c>
      <c r="J125" t="s">
        <v>185</v>
      </c>
      <c r="K125" s="43">
        <v>1.5E-3</v>
      </c>
      <c r="L125" s="39">
        <v>-7.4000000000000003E-3</v>
      </c>
      <c r="M125" s="39">
        <v>6.9999999999999999E-4</v>
      </c>
      <c r="N125" s="43">
        <v>1.72E-2</v>
      </c>
      <c r="O125" s="39">
        <v>3.8199999999999998E-2</v>
      </c>
      <c r="P125" s="39">
        <v>4.3799999999999999E-2</v>
      </c>
      <c r="Q125" s="39">
        <v>3.5000000000000003E-2</v>
      </c>
      <c r="R125" s="39">
        <v>0.20619999999999999</v>
      </c>
      <c r="S125" s="39">
        <v>0.40350000000000003</v>
      </c>
      <c r="T125">
        <v>19.61</v>
      </c>
      <c r="U125">
        <v>50.33</v>
      </c>
      <c r="V125">
        <v>20.92</v>
      </c>
      <c r="W125" s="17">
        <v>7183.2749000000003</v>
      </c>
      <c r="X125" s="83" t="s">
        <v>639</v>
      </c>
      <c r="Y125" s="81" t="s">
        <v>657</v>
      </c>
    </row>
    <row r="126" spans="7:25" x14ac:dyDescent="0.15">
      <c r="G126" s="11">
        <v>125</v>
      </c>
      <c r="H126" t="s">
        <v>173</v>
      </c>
      <c r="I126" t="s">
        <v>271</v>
      </c>
      <c r="J126" t="s">
        <v>266</v>
      </c>
      <c r="K126" s="43">
        <v>2.1600000000000001E-2</v>
      </c>
      <c r="L126" s="39">
        <v>-6.3E-3</v>
      </c>
      <c r="M126" s="39">
        <v>4.0000000000000002E-4</v>
      </c>
      <c r="N126" s="43">
        <v>2.7400000000000001E-2</v>
      </c>
      <c r="O126" s="39">
        <v>3.8899999999999997E-2</v>
      </c>
      <c r="P126" s="39">
        <v>0.1124</v>
      </c>
      <c r="Q126" s="39">
        <v>0.1308</v>
      </c>
      <c r="R126" s="39">
        <v>0.49959999999999999</v>
      </c>
      <c r="S126" s="39">
        <v>0.33360000000000001</v>
      </c>
      <c r="T126">
        <v>18.95</v>
      </c>
      <c r="U126">
        <v>66.67</v>
      </c>
      <c r="V126">
        <v>3.92</v>
      </c>
      <c r="W126" s="17">
        <v>1612.1533999999999</v>
      </c>
      <c r="X126" s="83" t="s">
        <v>639</v>
      </c>
      <c r="Y126" s="81" t="s">
        <v>657</v>
      </c>
    </row>
    <row r="127" spans="7:25" x14ac:dyDescent="0.15">
      <c r="G127" s="11">
        <v>126</v>
      </c>
      <c r="H127" t="s">
        <v>74</v>
      </c>
      <c r="I127" t="s">
        <v>216</v>
      </c>
      <c r="J127" t="s">
        <v>185</v>
      </c>
      <c r="K127" s="43">
        <v>5.9999999999999995E-4</v>
      </c>
      <c r="L127" s="39">
        <v>-3.44E-2</v>
      </c>
      <c r="M127" s="39">
        <v>-4.2200000000000001E-2</v>
      </c>
      <c r="N127" s="43">
        <v>4.5999999999999999E-3</v>
      </c>
      <c r="O127" s="39">
        <v>-8.0999999999999996E-3</v>
      </c>
      <c r="P127" s="39">
        <v>-0.1105</v>
      </c>
      <c r="Q127" s="39">
        <v>-0.32650000000000001</v>
      </c>
      <c r="R127" s="39">
        <v>-0.35799999999999998</v>
      </c>
      <c r="S127" s="39">
        <v>-0.31419999999999998</v>
      </c>
      <c r="T127">
        <v>18.3</v>
      </c>
      <c r="U127">
        <v>31.37</v>
      </c>
      <c r="V127">
        <v>39.22</v>
      </c>
      <c r="W127" s="17">
        <v>1125.6676699999998</v>
      </c>
    </row>
    <row r="128" spans="7:25" x14ac:dyDescent="0.15">
      <c r="G128" s="11">
        <v>127</v>
      </c>
      <c r="H128" s="10" t="s">
        <v>115</v>
      </c>
      <c r="I128" t="s">
        <v>253</v>
      </c>
      <c r="J128" t="s">
        <v>185</v>
      </c>
      <c r="K128" s="43">
        <v>5.9999999999999995E-4</v>
      </c>
      <c r="L128" s="39">
        <v>-3.2300000000000002E-2</v>
      </c>
      <c r="M128" s="39">
        <v>-1.8800000000000001E-2</v>
      </c>
      <c r="N128" s="43">
        <v>4.0000000000000001E-3</v>
      </c>
      <c r="O128" s="39">
        <v>2.07E-2</v>
      </c>
      <c r="P128" s="39">
        <v>-4.7600000000000003E-2</v>
      </c>
      <c r="Q128" s="39">
        <v>-9.6600000000000005E-2</v>
      </c>
      <c r="R128" s="39">
        <v>-5.96E-2</v>
      </c>
      <c r="S128" s="39">
        <v>-0.2019</v>
      </c>
      <c r="T128">
        <v>17.649999999999999</v>
      </c>
      <c r="U128">
        <v>30.07</v>
      </c>
      <c r="V128">
        <v>39.869999999999997</v>
      </c>
      <c r="W128" s="17">
        <v>24526.994999999999</v>
      </c>
      <c r="X128" s="83" t="s">
        <v>639</v>
      </c>
    </row>
    <row r="129" spans="7:25" x14ac:dyDescent="0.15">
      <c r="G129" s="11">
        <v>128</v>
      </c>
      <c r="H129" s="10" t="s">
        <v>71</v>
      </c>
      <c r="I129" t="s">
        <v>209</v>
      </c>
      <c r="J129" t="s">
        <v>185</v>
      </c>
      <c r="K129" s="43">
        <v>5.9999999999999995E-4</v>
      </c>
      <c r="L129" s="39">
        <v>-3.2300000000000002E-2</v>
      </c>
      <c r="M129" s="39">
        <v>-4.7500000000000001E-2</v>
      </c>
      <c r="N129" s="43">
        <v>5.0000000000000001E-3</v>
      </c>
      <c r="O129" s="39">
        <v>-3.5000000000000001E-3</v>
      </c>
      <c r="P129" s="39">
        <v>-6.4699999999999994E-2</v>
      </c>
      <c r="Q129" s="39">
        <v>-0.113</v>
      </c>
      <c r="R129" s="39">
        <v>-0.14249999999999999</v>
      </c>
      <c r="S129" s="39">
        <v>-0.35589999999999999</v>
      </c>
      <c r="T129">
        <v>16.989999999999998</v>
      </c>
      <c r="U129">
        <v>32.68</v>
      </c>
      <c r="V129">
        <v>37.25</v>
      </c>
      <c r="W129" s="17">
        <v>1580.7147</v>
      </c>
    </row>
    <row r="130" spans="7:25" x14ac:dyDescent="0.15">
      <c r="G130" s="11">
        <v>129</v>
      </c>
      <c r="H130" s="10" t="s">
        <v>86</v>
      </c>
      <c r="I130" t="s">
        <v>251</v>
      </c>
      <c r="J130" t="s">
        <v>185</v>
      </c>
      <c r="K130" s="43">
        <v>1.8E-3</v>
      </c>
      <c r="L130" s="39">
        <v>-4.1000000000000003E-3</v>
      </c>
      <c r="M130" s="39">
        <v>-8.0999999999999996E-3</v>
      </c>
      <c r="N130" s="43">
        <v>1.78E-2</v>
      </c>
      <c r="O130" s="39">
        <v>-6.0199999999999997E-2</v>
      </c>
      <c r="P130" s="39">
        <v>-0.19470000000000001</v>
      </c>
      <c r="Q130" s="39">
        <v>-0.2485</v>
      </c>
      <c r="R130" s="39">
        <v>-0.22239999999999999</v>
      </c>
      <c r="S130" s="39">
        <v>-0.30969999999999998</v>
      </c>
      <c r="T130">
        <v>16.34</v>
      </c>
      <c r="U130">
        <v>50.98</v>
      </c>
      <c r="V130">
        <v>18.95</v>
      </c>
      <c r="W130" s="17">
        <v>156303.97779999999</v>
      </c>
    </row>
    <row r="131" spans="7:25" x14ac:dyDescent="0.15">
      <c r="G131" s="11">
        <v>130</v>
      </c>
      <c r="H131" t="s">
        <v>96</v>
      </c>
      <c r="I131" t="s">
        <v>293</v>
      </c>
      <c r="J131" t="s">
        <v>655</v>
      </c>
      <c r="K131" s="43">
        <v>5.0000000000000001E-4</v>
      </c>
      <c r="L131" s="39">
        <v>8.9999999999999998E-4</v>
      </c>
      <c r="M131" s="39">
        <v>1.2999999999999999E-3</v>
      </c>
      <c r="N131" s="43">
        <v>2.3E-3</v>
      </c>
      <c r="O131" s="39">
        <v>8.6999999999999994E-3</v>
      </c>
      <c r="P131" s="39">
        <v>2.1299999999999999E-2</v>
      </c>
      <c r="Q131" s="39">
        <v>3.4299999999999997E-2</v>
      </c>
      <c r="R131" s="39">
        <v>5.79E-2</v>
      </c>
      <c r="S131" s="39">
        <v>9.8799999999999999E-2</v>
      </c>
      <c r="T131">
        <v>15.69</v>
      </c>
      <c r="U131">
        <v>25.49</v>
      </c>
      <c r="V131">
        <v>42.48</v>
      </c>
      <c r="W131" s="17">
        <v>28608.867099999999</v>
      </c>
      <c r="X131" s="83" t="s">
        <v>639</v>
      </c>
    </row>
    <row r="132" spans="7:25" x14ac:dyDescent="0.15">
      <c r="G132" s="11">
        <v>131</v>
      </c>
      <c r="H132" t="s">
        <v>56</v>
      </c>
      <c r="I132" t="s">
        <v>283</v>
      </c>
      <c r="J132" t="s">
        <v>321</v>
      </c>
      <c r="K132" s="43">
        <v>4.0000000000000002E-4</v>
      </c>
      <c r="L132" s="39">
        <v>1.5E-3</v>
      </c>
      <c r="M132" s="39">
        <v>2.3E-3</v>
      </c>
      <c r="N132" s="43">
        <v>1.8E-3</v>
      </c>
      <c r="O132" s="39">
        <v>1.2800000000000001E-2</v>
      </c>
      <c r="P132" s="39">
        <v>3.6200000000000003E-2</v>
      </c>
      <c r="Q132" s="39">
        <v>4.7699999999999999E-2</v>
      </c>
      <c r="R132" s="39">
        <v>8.1000000000000003E-2</v>
      </c>
      <c r="S132" s="39">
        <v>0.13400000000000001</v>
      </c>
      <c r="T132">
        <v>15.03</v>
      </c>
      <c r="U132">
        <v>20.92</v>
      </c>
      <c r="V132">
        <v>45.75</v>
      </c>
      <c r="W132" s="17">
        <v>6228.0673500000003</v>
      </c>
    </row>
    <row r="133" spans="7:25" x14ac:dyDescent="0.15">
      <c r="G133" s="11">
        <v>132</v>
      </c>
      <c r="H133" t="s">
        <v>163</v>
      </c>
      <c r="I133" t="s">
        <v>181</v>
      </c>
      <c r="J133" t="s">
        <v>276</v>
      </c>
      <c r="K133" s="43">
        <v>2.9700000000000001E-2</v>
      </c>
      <c r="L133" s="39">
        <v>-3.8E-3</v>
      </c>
      <c r="M133" s="39">
        <v>1.2699999999999999E-2</v>
      </c>
      <c r="N133" s="43">
        <v>2.47E-2</v>
      </c>
      <c r="O133" s="39">
        <v>-3.7900000000000003E-2</v>
      </c>
      <c r="P133" s="39">
        <v>0.12720000000000001</v>
      </c>
      <c r="Q133" s="39">
        <v>0.17599999999999999</v>
      </c>
      <c r="R133" s="39">
        <v>0.36620000000000003</v>
      </c>
      <c r="S133" s="39">
        <v>5.7700000000000001E-2</v>
      </c>
      <c r="T133">
        <v>14.38</v>
      </c>
      <c r="U133">
        <v>64.05</v>
      </c>
      <c r="V133">
        <v>1.31</v>
      </c>
      <c r="W133" s="17">
        <v>3120.8973000000001</v>
      </c>
      <c r="X133" s="83" t="s">
        <v>639</v>
      </c>
      <c r="Y133" s="81" t="s">
        <v>657</v>
      </c>
    </row>
    <row r="134" spans="7:25" x14ac:dyDescent="0.15">
      <c r="G134" s="11">
        <v>133</v>
      </c>
      <c r="H134" t="s">
        <v>92</v>
      </c>
      <c r="I134" t="s">
        <v>219</v>
      </c>
      <c r="J134" t="s">
        <v>185</v>
      </c>
      <c r="K134" s="43">
        <v>8.9999999999999998E-4</v>
      </c>
      <c r="L134" s="39">
        <v>-3.9899999999999998E-2</v>
      </c>
      <c r="M134" s="39">
        <v>-6.4799999999999996E-2</v>
      </c>
      <c r="N134" s="43">
        <v>7.1000000000000004E-3</v>
      </c>
      <c r="O134" s="39">
        <v>-8.8700000000000001E-2</v>
      </c>
      <c r="P134" s="39">
        <v>-0.20880000000000001</v>
      </c>
      <c r="Q134" s="39">
        <v>-0.29339999999999999</v>
      </c>
      <c r="R134" s="39">
        <v>-0.35799999999999998</v>
      </c>
      <c r="S134" s="39">
        <v>-0.60599999999999998</v>
      </c>
      <c r="T134">
        <v>13.73</v>
      </c>
      <c r="U134">
        <v>35.950000000000003</v>
      </c>
      <c r="V134">
        <v>28.76</v>
      </c>
      <c r="W134" s="17">
        <v>34771.392899999999</v>
      </c>
    </row>
    <row r="135" spans="7:25" x14ac:dyDescent="0.15">
      <c r="G135" s="11">
        <v>134</v>
      </c>
      <c r="H135" s="10" t="s">
        <v>345</v>
      </c>
      <c r="I135" t="s">
        <v>650</v>
      </c>
      <c r="J135" t="s">
        <v>655</v>
      </c>
      <c r="K135" s="43">
        <v>4.0000000000000002E-4</v>
      </c>
      <c r="L135" s="39">
        <v>8.9999999999999998E-4</v>
      </c>
      <c r="M135" s="39">
        <v>1.1000000000000001E-3</v>
      </c>
      <c r="N135" s="43">
        <v>1.5E-3</v>
      </c>
      <c r="O135" s="39">
        <v>8.6999999999999994E-3</v>
      </c>
      <c r="P135" s="39">
        <v>2.8299999999999999E-2</v>
      </c>
      <c r="Q135" s="39">
        <v>4.41E-2</v>
      </c>
      <c r="R135" s="39">
        <v>7.6700000000000004E-2</v>
      </c>
      <c r="S135" s="39">
        <v>0.13220000000000001</v>
      </c>
      <c r="T135">
        <v>13.07</v>
      </c>
      <c r="U135">
        <v>18.3</v>
      </c>
      <c r="V135">
        <v>46.41</v>
      </c>
      <c r="W135" s="17">
        <v>4015.2534571999995</v>
      </c>
      <c r="Y135" s="81" t="s">
        <v>657</v>
      </c>
    </row>
    <row r="136" spans="7:25" x14ac:dyDescent="0.15">
      <c r="G136" s="11">
        <v>135</v>
      </c>
      <c r="H136" s="10" t="s">
        <v>129</v>
      </c>
      <c r="I136" t="s">
        <v>215</v>
      </c>
      <c r="J136" t="s">
        <v>185</v>
      </c>
      <c r="K136" s="43">
        <v>1.2999999999999999E-3</v>
      </c>
      <c r="L136" s="39">
        <v>-1.2999999999999999E-2</v>
      </c>
      <c r="M136" s="39">
        <v>-1.06E-2</v>
      </c>
      <c r="N136" s="43">
        <v>1.14E-2</v>
      </c>
      <c r="O136" s="39">
        <v>1.4E-2</v>
      </c>
      <c r="P136" s="39">
        <v>9.4999999999999998E-3</v>
      </c>
      <c r="Q136" s="39">
        <v>-3.7499999999999999E-2</v>
      </c>
      <c r="R136" s="39">
        <v>6.7799999999999999E-2</v>
      </c>
      <c r="S136" s="39">
        <v>-1.7299999999999999E-2</v>
      </c>
      <c r="T136">
        <v>12.42</v>
      </c>
      <c r="U136">
        <v>41.18</v>
      </c>
      <c r="V136">
        <v>22.88</v>
      </c>
      <c r="W136" s="17">
        <v>15924.7981</v>
      </c>
      <c r="X136" s="83" t="s">
        <v>639</v>
      </c>
    </row>
    <row r="137" spans="7:25" x14ac:dyDescent="0.15">
      <c r="G137" s="11">
        <v>136</v>
      </c>
      <c r="H137" t="s">
        <v>131</v>
      </c>
      <c r="I137" t="s">
        <v>213</v>
      </c>
      <c r="J137" t="s">
        <v>185</v>
      </c>
      <c r="K137" s="43">
        <v>4.0000000000000002E-4</v>
      </c>
      <c r="L137" s="39">
        <v>-4.7500000000000001E-2</v>
      </c>
      <c r="M137" s="39">
        <v>-2.46E-2</v>
      </c>
      <c r="N137" s="43">
        <v>-2E-3</v>
      </c>
      <c r="O137" s="39">
        <v>6.3E-3</v>
      </c>
      <c r="P137" s="39">
        <v>8.8300000000000003E-2</v>
      </c>
      <c r="Q137" s="39">
        <v>9.7799999999999998E-2</v>
      </c>
      <c r="R137" s="39">
        <v>0.40789999999999998</v>
      </c>
      <c r="S137" s="39">
        <v>0.18</v>
      </c>
      <c r="T137">
        <v>11.76</v>
      </c>
      <c r="U137">
        <v>14.38</v>
      </c>
      <c r="V137">
        <v>47.06</v>
      </c>
      <c r="W137" s="17">
        <v>30786.383900000001</v>
      </c>
      <c r="X137" s="83" t="s">
        <v>639</v>
      </c>
    </row>
    <row r="138" spans="7:25" x14ac:dyDescent="0.15">
      <c r="G138" s="11">
        <v>137</v>
      </c>
      <c r="H138" s="10" t="s">
        <v>112</v>
      </c>
      <c r="I138" t="s">
        <v>259</v>
      </c>
      <c r="J138" t="s">
        <v>185</v>
      </c>
      <c r="K138" s="43">
        <v>5.0000000000000001E-4</v>
      </c>
      <c r="L138" s="39">
        <v>-1.8599999999999998E-2</v>
      </c>
      <c r="M138" s="39">
        <v>-3.4200000000000001E-2</v>
      </c>
      <c r="N138" s="43">
        <v>1.1000000000000001E-3</v>
      </c>
      <c r="O138" s="39">
        <v>-8.0399999999999999E-2</v>
      </c>
      <c r="P138" s="39">
        <v>-0.155</v>
      </c>
      <c r="Q138" s="39">
        <v>-0.2833</v>
      </c>
      <c r="R138" s="39">
        <v>-0.2414</v>
      </c>
      <c r="S138" s="39">
        <v>-0.43240000000000001</v>
      </c>
      <c r="T138">
        <v>11.11</v>
      </c>
      <c r="U138">
        <v>16.989999999999998</v>
      </c>
      <c r="V138">
        <v>43.14</v>
      </c>
      <c r="W138" s="17">
        <v>176935.85560000001</v>
      </c>
      <c r="X138" s="83" t="s">
        <v>639</v>
      </c>
    </row>
    <row r="139" spans="7:25" x14ac:dyDescent="0.15">
      <c r="G139" s="11">
        <v>138</v>
      </c>
      <c r="H139" s="10" t="s">
        <v>122</v>
      </c>
      <c r="I139" t="s">
        <v>231</v>
      </c>
      <c r="J139" t="s">
        <v>185</v>
      </c>
      <c r="K139" s="43">
        <v>1.1999999999999999E-3</v>
      </c>
      <c r="L139" s="39">
        <v>-4.1500000000000002E-2</v>
      </c>
      <c r="M139" s="39">
        <v>-2.4199999999999999E-2</v>
      </c>
      <c r="N139" s="43">
        <v>4.0000000000000001E-3</v>
      </c>
      <c r="O139" s="39">
        <v>2.5899999999999999E-2</v>
      </c>
      <c r="P139" s="39">
        <v>-4.0599999999999997E-2</v>
      </c>
      <c r="Q139" s="39">
        <v>-0.11020000000000001</v>
      </c>
      <c r="R139" s="39">
        <v>-0.1038</v>
      </c>
      <c r="S139" s="39">
        <v>-0.28589999999999999</v>
      </c>
      <c r="T139">
        <v>10.46</v>
      </c>
      <c r="U139">
        <v>29.41</v>
      </c>
      <c r="V139">
        <v>24.84</v>
      </c>
      <c r="W139" s="17">
        <v>1060.9476999999999</v>
      </c>
    </row>
    <row r="140" spans="7:25" x14ac:dyDescent="0.15">
      <c r="G140" s="11">
        <v>139</v>
      </c>
      <c r="H140" t="s">
        <v>312</v>
      </c>
      <c r="I140" t="s">
        <v>313</v>
      </c>
      <c r="J140" t="s">
        <v>321</v>
      </c>
      <c r="K140" s="43">
        <v>1.1000000000000001E-3</v>
      </c>
      <c r="L140" s="39">
        <v>-2.76E-2</v>
      </c>
      <c r="M140" s="39">
        <v>-2.7400000000000001E-2</v>
      </c>
      <c r="N140" s="43">
        <v>1.9E-3</v>
      </c>
      <c r="O140" s="39">
        <v>-6.8699999999999997E-2</v>
      </c>
      <c r="P140" s="39">
        <v>-0.14879999999999999</v>
      </c>
      <c r="Q140" s="39">
        <v>-0.23580000000000001</v>
      </c>
      <c r="R140" s="39">
        <v>-0.19409999999999999</v>
      </c>
      <c r="S140" s="39">
        <v>-0.46060000000000001</v>
      </c>
      <c r="T140">
        <v>9.8000000000000007</v>
      </c>
      <c r="U140">
        <v>22.22</v>
      </c>
      <c r="V140">
        <v>26.14</v>
      </c>
      <c r="W140" s="17">
        <v>1248.6583000000001</v>
      </c>
    </row>
    <row r="141" spans="7:25" x14ac:dyDescent="0.15">
      <c r="G141" s="11">
        <v>140</v>
      </c>
      <c r="H141" s="10" t="s">
        <v>309</v>
      </c>
      <c r="I141" t="s">
        <v>310</v>
      </c>
      <c r="J141" t="s">
        <v>321</v>
      </c>
      <c r="K141" s="43">
        <v>8.9999999999999998E-4</v>
      </c>
      <c r="L141" s="39">
        <v>-3.2199999999999999E-2</v>
      </c>
      <c r="M141" s="39">
        <v>-4.8000000000000001E-2</v>
      </c>
      <c r="N141" s="43">
        <v>-7.4999999999999997E-3</v>
      </c>
      <c r="O141" s="39">
        <v>-5.8599999999999999E-2</v>
      </c>
      <c r="P141" s="39">
        <v>-0.1108</v>
      </c>
      <c r="Q141" s="39">
        <v>-0.14019999999999999</v>
      </c>
      <c r="R141" s="39">
        <v>2.58E-2</v>
      </c>
      <c r="S141" s="39">
        <v>-0.32369999999999999</v>
      </c>
      <c r="T141">
        <v>9.15</v>
      </c>
      <c r="U141">
        <v>10.46</v>
      </c>
      <c r="V141">
        <v>29.41</v>
      </c>
      <c r="W141" s="17">
        <v>3267.3343</v>
      </c>
    </row>
    <row r="142" spans="7:25" x14ac:dyDescent="0.15">
      <c r="G142" s="11">
        <v>141</v>
      </c>
      <c r="H142" s="10" t="s">
        <v>159</v>
      </c>
      <c r="I142" t="s">
        <v>222</v>
      </c>
      <c r="J142" t="s">
        <v>185</v>
      </c>
      <c r="K142" s="43">
        <v>6.9999999999999999E-4</v>
      </c>
      <c r="L142" s="39">
        <v>-5.7299999999999997E-2</v>
      </c>
      <c r="M142" s="39">
        <v>-7.9699999999999993E-2</v>
      </c>
      <c r="N142" s="43">
        <v>-4.5900000000000003E-2</v>
      </c>
      <c r="O142" s="39">
        <v>-0.1731</v>
      </c>
      <c r="P142" s="39">
        <v>-0.1888</v>
      </c>
      <c r="Q142" s="39">
        <v>-0.36449999999999999</v>
      </c>
      <c r="R142" s="39">
        <v>0.14199999999999999</v>
      </c>
      <c r="S142" s="39">
        <v>-9.3600000000000003E-2</v>
      </c>
      <c r="T142">
        <v>8.5</v>
      </c>
      <c r="U142">
        <v>1.31</v>
      </c>
      <c r="V142">
        <v>36.6</v>
      </c>
      <c r="W142" s="17">
        <v>31493.202339999996</v>
      </c>
      <c r="X142" s="83" t="s">
        <v>639</v>
      </c>
    </row>
    <row r="143" spans="7:25" x14ac:dyDescent="0.15">
      <c r="G143" s="11">
        <v>142</v>
      </c>
      <c r="H143" t="s">
        <v>151</v>
      </c>
      <c r="I143" t="s">
        <v>197</v>
      </c>
      <c r="J143" t="s">
        <v>185</v>
      </c>
      <c r="K143" s="43">
        <v>8.9999999999999998E-4</v>
      </c>
      <c r="L143" s="39">
        <v>-4.5499999999999999E-2</v>
      </c>
      <c r="M143" s="39">
        <v>-3.3000000000000002E-2</v>
      </c>
      <c r="N143" s="43">
        <v>-1.9800000000000002E-2</v>
      </c>
      <c r="O143" s="39">
        <v>-0.1007</v>
      </c>
      <c r="P143" s="39">
        <v>-0.16650000000000001</v>
      </c>
      <c r="Q143" s="39">
        <v>-0.28449999999999998</v>
      </c>
      <c r="R143" s="39">
        <v>-6.4100000000000004E-2</v>
      </c>
      <c r="S143" s="39">
        <v>-0.35560000000000003</v>
      </c>
      <c r="T143">
        <v>7.84</v>
      </c>
      <c r="U143">
        <v>7.84</v>
      </c>
      <c r="V143">
        <v>28.1</v>
      </c>
      <c r="W143" s="17">
        <v>1956.5236899999998</v>
      </c>
    </row>
    <row r="144" spans="7:25" x14ac:dyDescent="0.15">
      <c r="G144" s="11">
        <v>143</v>
      </c>
      <c r="H144" t="s">
        <v>156</v>
      </c>
      <c r="I144" t="s">
        <v>194</v>
      </c>
      <c r="J144" t="s">
        <v>185</v>
      </c>
      <c r="K144" s="43">
        <v>8.0000000000000004E-4</v>
      </c>
      <c r="L144" s="39">
        <v>-4.5999999999999999E-2</v>
      </c>
      <c r="M144" s="39">
        <v>-4.7100000000000003E-2</v>
      </c>
      <c r="N144" s="43">
        <v>-3.0700000000000002E-2</v>
      </c>
      <c r="O144" s="39">
        <v>-0.13739999999999999</v>
      </c>
      <c r="P144" s="39">
        <v>-0.24260000000000001</v>
      </c>
      <c r="Q144" s="39">
        <v>-0.26979999999999998</v>
      </c>
      <c r="R144" s="39">
        <v>-3.8399999999999997E-2</v>
      </c>
      <c r="S144" s="39">
        <v>-0.20619999999999999</v>
      </c>
      <c r="T144">
        <v>7.19</v>
      </c>
      <c r="U144">
        <v>4.58</v>
      </c>
      <c r="V144">
        <v>30.07</v>
      </c>
      <c r="W144" s="17">
        <v>2149.8344000000002</v>
      </c>
    </row>
    <row r="145" spans="7:24" x14ac:dyDescent="0.15">
      <c r="G145" s="11">
        <v>144</v>
      </c>
      <c r="H145" t="s">
        <v>83</v>
      </c>
      <c r="I145" t="s">
        <v>229</v>
      </c>
      <c r="J145" t="s">
        <v>185</v>
      </c>
      <c r="K145" s="43">
        <v>1.2999999999999999E-3</v>
      </c>
      <c r="L145" s="39">
        <v>-2.7099999999999999E-2</v>
      </c>
      <c r="M145" s="39">
        <v>-3.6999999999999998E-2</v>
      </c>
      <c r="N145" s="43">
        <v>-4.1999999999999997E-3</v>
      </c>
      <c r="O145" s="39">
        <v>3.0300000000000001E-2</v>
      </c>
      <c r="P145" s="39">
        <v>-6.0900000000000003E-2</v>
      </c>
      <c r="Q145" s="39">
        <v>-0.1802</v>
      </c>
      <c r="R145" s="39">
        <v>-0.1547</v>
      </c>
      <c r="S145" s="39">
        <v>-2.5999999999999999E-2</v>
      </c>
      <c r="T145">
        <v>6.54</v>
      </c>
      <c r="U145">
        <v>12.42</v>
      </c>
      <c r="V145">
        <v>21.57</v>
      </c>
      <c r="W145" s="17">
        <v>2917.9629</v>
      </c>
      <c r="X145" s="83" t="s">
        <v>639</v>
      </c>
    </row>
    <row r="146" spans="7:24" x14ac:dyDescent="0.15">
      <c r="G146" s="11">
        <v>145</v>
      </c>
      <c r="H146" s="10" t="s">
        <v>158</v>
      </c>
      <c r="I146" t="s">
        <v>200</v>
      </c>
      <c r="J146" t="s">
        <v>185</v>
      </c>
      <c r="K146" s="43">
        <v>8.0000000000000004E-4</v>
      </c>
      <c r="L146" s="39">
        <v>-5.33E-2</v>
      </c>
      <c r="M146" s="39">
        <v>-6.3299999999999995E-2</v>
      </c>
      <c r="N146" s="43">
        <v>-4.4200000000000003E-2</v>
      </c>
      <c r="O146" s="39">
        <v>-0.10979999999999999</v>
      </c>
      <c r="P146" s="39">
        <v>-0.13370000000000001</v>
      </c>
      <c r="Q146" s="39">
        <v>-0.23730000000000001</v>
      </c>
      <c r="R146" s="39">
        <v>0.14419999999999999</v>
      </c>
      <c r="S146" s="39">
        <v>-0.13009999999999999</v>
      </c>
      <c r="T146">
        <v>5.88</v>
      </c>
      <c r="U146">
        <v>1.96</v>
      </c>
      <c r="V146">
        <v>30.72</v>
      </c>
      <c r="W146" s="17">
        <v>2085.3306499999999</v>
      </c>
    </row>
    <row r="147" spans="7:24" x14ac:dyDescent="0.15">
      <c r="G147" s="11">
        <v>146</v>
      </c>
      <c r="H147" s="10" t="s">
        <v>395</v>
      </c>
      <c r="I147" t="s">
        <v>410</v>
      </c>
      <c r="J147" t="s">
        <v>403</v>
      </c>
      <c r="K147" s="43">
        <v>1.6500000000000001E-2</v>
      </c>
      <c r="L147" s="39">
        <v>-4.9799999999999997E-2</v>
      </c>
      <c r="M147" s="39">
        <v>-8.2600000000000007E-2</v>
      </c>
      <c r="N147" s="43">
        <v>1.8E-3</v>
      </c>
      <c r="O147" s="39">
        <v>-8.5599999999999996E-2</v>
      </c>
      <c r="P147" s="39">
        <v>-0.28249999999999997</v>
      </c>
      <c r="Q147" s="39">
        <v>-0.28870000000000001</v>
      </c>
      <c r="R147" s="39">
        <v>-0.37440000000000001</v>
      </c>
      <c r="S147" s="39">
        <v>-0.37440000000000001</v>
      </c>
      <c r="T147">
        <v>5.23</v>
      </c>
      <c r="U147">
        <v>21.57</v>
      </c>
      <c r="V147">
        <v>8.5</v>
      </c>
      <c r="W147" s="17">
        <v>103496.5193</v>
      </c>
      <c r="X147" s="83" t="s">
        <v>639</v>
      </c>
    </row>
    <row r="148" spans="7:24" x14ac:dyDescent="0.15">
      <c r="G148" s="11">
        <v>147</v>
      </c>
      <c r="H148" t="s">
        <v>95</v>
      </c>
      <c r="I148" t="s">
        <v>237</v>
      </c>
      <c r="J148" t="s">
        <v>185</v>
      </c>
      <c r="K148" s="43">
        <v>2E-3</v>
      </c>
      <c r="L148" s="39">
        <v>-2.07E-2</v>
      </c>
      <c r="M148" s="39">
        <v>-1.4800000000000001E-2</v>
      </c>
      <c r="N148" s="43">
        <v>-1.0200000000000001E-2</v>
      </c>
      <c r="O148" s="39">
        <v>1.89E-2</v>
      </c>
      <c r="P148" s="39">
        <v>-3.3799999999999997E-2</v>
      </c>
      <c r="Q148" s="39">
        <v>-5.4899999999999997E-2</v>
      </c>
      <c r="R148" s="39">
        <v>-9.4100000000000003E-2</v>
      </c>
      <c r="S148" s="39">
        <v>-0.17469999999999999</v>
      </c>
      <c r="T148">
        <v>4.58</v>
      </c>
      <c r="U148">
        <v>9.8000000000000007</v>
      </c>
      <c r="V148">
        <v>17.649999999999999</v>
      </c>
      <c r="W148" s="17">
        <v>7136.5024000000003</v>
      </c>
    </row>
    <row r="149" spans="7:24" x14ac:dyDescent="0.15">
      <c r="G149" s="11">
        <v>148</v>
      </c>
      <c r="H149" t="s">
        <v>127</v>
      </c>
      <c r="I149" t="s">
        <v>196</v>
      </c>
      <c r="J149" t="s">
        <v>185</v>
      </c>
      <c r="K149" s="43">
        <v>1.6999999999999999E-3</v>
      </c>
      <c r="L149" s="39">
        <v>-5.0799999999999998E-2</v>
      </c>
      <c r="M149" s="39">
        <v>-3.8899999999999997E-2</v>
      </c>
      <c r="N149" s="43">
        <v>-3.0499999999999999E-2</v>
      </c>
      <c r="O149" s="39">
        <v>-0.1381</v>
      </c>
      <c r="P149" s="39">
        <v>-0.2394</v>
      </c>
      <c r="Q149" s="39">
        <v>-0.38200000000000001</v>
      </c>
      <c r="R149" s="39">
        <v>-0.16270000000000001</v>
      </c>
      <c r="S149" s="39">
        <v>-0.4128</v>
      </c>
      <c r="T149">
        <v>3.92</v>
      </c>
      <c r="U149">
        <v>5.88</v>
      </c>
      <c r="V149">
        <v>19.61</v>
      </c>
      <c r="W149" s="17">
        <v>2538.3272699999998</v>
      </c>
      <c r="X149" s="83" t="s">
        <v>639</v>
      </c>
    </row>
    <row r="150" spans="7:24" x14ac:dyDescent="0.15">
      <c r="G150" s="11">
        <v>149</v>
      </c>
      <c r="H150" t="s">
        <v>148</v>
      </c>
      <c r="I150" t="s">
        <v>203</v>
      </c>
      <c r="J150" t="s">
        <v>185</v>
      </c>
      <c r="K150" s="43">
        <v>1.9E-3</v>
      </c>
      <c r="L150" s="39">
        <v>-5.5100000000000003E-2</v>
      </c>
      <c r="M150" s="39">
        <v>-4.1200000000000001E-2</v>
      </c>
      <c r="N150" s="43">
        <v>-2.6499999999999999E-2</v>
      </c>
      <c r="O150" s="39">
        <v>-0.1356</v>
      </c>
      <c r="P150" s="39">
        <v>-0.1978</v>
      </c>
      <c r="Q150" s="39">
        <v>-0.32140000000000002</v>
      </c>
      <c r="R150" s="39">
        <v>-4.8000000000000001E-2</v>
      </c>
      <c r="S150" s="39">
        <v>-0.30980000000000002</v>
      </c>
      <c r="T150">
        <v>3.27</v>
      </c>
      <c r="U150">
        <v>6.54</v>
      </c>
      <c r="V150">
        <v>18.3</v>
      </c>
      <c r="W150" s="17">
        <v>10512.3145</v>
      </c>
    </row>
    <row r="151" spans="7:24" x14ac:dyDescent="0.15">
      <c r="G151" s="11">
        <v>150</v>
      </c>
      <c r="H151" t="s">
        <v>137</v>
      </c>
      <c r="I151" t="s">
        <v>243</v>
      </c>
      <c r="J151" t="s">
        <v>185</v>
      </c>
      <c r="K151" s="43">
        <v>3.2000000000000002E-3</v>
      </c>
      <c r="L151" s="39">
        <v>-4.9500000000000002E-2</v>
      </c>
      <c r="M151" s="39">
        <v>-8.8000000000000005E-3</v>
      </c>
      <c r="N151" s="43">
        <v>-1.35E-2</v>
      </c>
      <c r="O151" s="39">
        <v>-3.4000000000000002E-2</v>
      </c>
      <c r="P151" s="39">
        <v>-9.2499999999999999E-2</v>
      </c>
      <c r="Q151" s="39">
        <v>-0.26250000000000001</v>
      </c>
      <c r="R151" s="39">
        <v>-0.2056</v>
      </c>
      <c r="S151" s="39">
        <v>-0.31319999999999998</v>
      </c>
      <c r="T151">
        <v>2.61</v>
      </c>
      <c r="U151">
        <v>8.5</v>
      </c>
      <c r="V151">
        <v>15.69</v>
      </c>
      <c r="W151" s="17">
        <v>7836.1723753999995</v>
      </c>
      <c r="X151" s="83" t="s">
        <v>639</v>
      </c>
    </row>
    <row r="152" spans="7:24" x14ac:dyDescent="0.15">
      <c r="G152" s="11">
        <v>151</v>
      </c>
      <c r="H152" t="s">
        <v>280</v>
      </c>
      <c r="I152" t="s">
        <v>281</v>
      </c>
      <c r="J152" t="s">
        <v>321</v>
      </c>
      <c r="K152" s="43">
        <v>3.3999999999999998E-3</v>
      </c>
      <c r="L152" s="39">
        <v>-5.4600000000000003E-2</v>
      </c>
      <c r="M152" s="39">
        <v>-5.6300000000000003E-2</v>
      </c>
      <c r="N152" s="43">
        <v>-3.9399999999999998E-2</v>
      </c>
      <c r="O152" s="39">
        <v>-0.1017</v>
      </c>
      <c r="P152" s="39">
        <v>-0.15909999999999999</v>
      </c>
      <c r="Q152" s="39">
        <v>-0.24440000000000001</v>
      </c>
      <c r="R152" s="39">
        <v>-3.9800000000000002E-2</v>
      </c>
      <c r="S152" s="39">
        <v>-0.18479999999999999</v>
      </c>
      <c r="T152">
        <v>1.96</v>
      </c>
      <c r="U152">
        <v>3.27</v>
      </c>
      <c r="V152">
        <v>15.03</v>
      </c>
      <c r="W152" s="17">
        <v>1326.2317</v>
      </c>
    </row>
    <row r="153" spans="7:24" x14ac:dyDescent="0.15">
      <c r="G153" s="11">
        <v>152</v>
      </c>
      <c r="H153" t="s">
        <v>53</v>
      </c>
      <c r="I153" t="s">
        <v>274</v>
      </c>
      <c r="J153" t="s">
        <v>273</v>
      </c>
      <c r="K153" s="43">
        <v>1.09E-2</v>
      </c>
      <c r="L153" s="39">
        <v>-2.86E-2</v>
      </c>
      <c r="M153" s="39">
        <v>-9.9000000000000008E-3</v>
      </c>
      <c r="N153" s="43">
        <v>-4.7100000000000003E-2</v>
      </c>
      <c r="O153" s="39">
        <v>6.3100000000000003E-2</v>
      </c>
      <c r="P153" s="39">
        <v>6.8900000000000003E-2</v>
      </c>
      <c r="Q153" s="39">
        <v>0.28960000000000002</v>
      </c>
      <c r="R153" s="39">
        <v>0.28110000000000002</v>
      </c>
      <c r="S153" s="39">
        <v>1.1906000000000001</v>
      </c>
      <c r="T153">
        <v>1.31</v>
      </c>
      <c r="U153">
        <v>0.65</v>
      </c>
      <c r="V153">
        <v>11.11</v>
      </c>
      <c r="W153" s="17">
        <v>3107.4261350000002</v>
      </c>
      <c r="X153" s="83" t="s">
        <v>639</v>
      </c>
    </row>
    <row r="154" spans="7:24" x14ac:dyDescent="0.15">
      <c r="G154" s="11">
        <v>153</v>
      </c>
      <c r="H154" t="s">
        <v>171</v>
      </c>
      <c r="I154" t="s">
        <v>272</v>
      </c>
      <c r="J154" t="s">
        <v>266</v>
      </c>
      <c r="K154" s="43">
        <v>1.9199999999999998E-2</v>
      </c>
      <c r="L154" s="39">
        <v>-6.0299999999999999E-2</v>
      </c>
      <c r="M154" s="39">
        <v>-6.7199999999999996E-2</v>
      </c>
      <c r="N154" s="43">
        <v>-3.9399999999999998E-2</v>
      </c>
      <c r="O154" s="39">
        <v>-0.13420000000000001</v>
      </c>
      <c r="P154" s="39">
        <v>-0.1326</v>
      </c>
      <c r="Q154" s="39">
        <v>3.2800000000000003E-2</v>
      </c>
      <c r="R154" s="39">
        <v>0.74439999999999995</v>
      </c>
      <c r="S154" s="39">
        <v>-0.46429999999999999</v>
      </c>
      <c r="T154">
        <v>0.65</v>
      </c>
      <c r="U154">
        <v>3.92</v>
      </c>
      <c r="V154">
        <v>5.88</v>
      </c>
      <c r="W154" s="17">
        <v>5776.7875999999997</v>
      </c>
      <c r="X154" s="83" t="s">
        <v>639</v>
      </c>
    </row>
    <row r="155" spans="7:24" x14ac:dyDescent="0.15">
      <c r="H155" t="s">
        <v>1071</v>
      </c>
      <c r="I155" t="s">
        <v>1072</v>
      </c>
      <c r="J155" t="s">
        <v>321</v>
      </c>
      <c r="X155" s="83" t="s">
        <v>639</v>
      </c>
    </row>
  </sheetData>
  <autoFilter ref="F1:Y14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123825</xdr:colOff>
                    <xdr:row>1</xdr:row>
                    <xdr:rowOff>123825</xdr:rowOff>
                  </from>
                  <to>
                    <xdr:col>27</xdr:col>
                    <xdr:colOff>542925</xdr:colOff>
                    <xdr:row>4</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42"/>
  <sheetViews>
    <sheetView topLeftCell="D1" workbookViewId="0">
      <pane ySplit="1" topLeftCell="A26" activePane="bottomLeft" state="frozen"/>
      <selection pane="bottomLeft" activeCell="K27" sqref="K27"/>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3" customWidth="1"/>
    <col min="12" max="12" width="8.125" style="39" customWidth="1"/>
    <col min="13" max="13" width="8.375" style="39" customWidth="1"/>
    <col min="14" max="14" width="8" style="43" customWidth="1"/>
    <col min="15" max="16" width="7.875" style="39" customWidth="1"/>
    <col min="17" max="17" width="8.75" style="39" customWidth="1"/>
    <col min="18" max="19" width="9" style="39" customWidth="1"/>
    <col min="20" max="20" width="8.625" customWidth="1"/>
    <col min="21" max="21" width="9" customWidth="1"/>
    <col min="22" max="22" width="7.25" customWidth="1"/>
    <col min="23" max="23" width="12.375" style="17" customWidth="1"/>
    <col min="24" max="24" width="8.75" style="83" customWidth="1"/>
    <col min="25" max="25" width="9" style="81"/>
  </cols>
  <sheetData>
    <row r="1" spans="1:28" s="18" customFormat="1" ht="50.25" customHeight="1" x14ac:dyDescent="0.15">
      <c r="A1" s="23" t="s">
        <v>52</v>
      </c>
      <c r="B1" s="19" t="s">
        <v>33</v>
      </c>
      <c r="C1" s="19" t="s">
        <v>32</v>
      </c>
      <c r="D1" s="19" t="s">
        <v>323</v>
      </c>
      <c r="E1" s="22"/>
      <c r="F1" s="23" t="s">
        <v>322</v>
      </c>
      <c r="G1" s="20"/>
      <c r="H1" s="19" t="s">
        <v>33</v>
      </c>
      <c r="I1" s="19" t="s">
        <v>32</v>
      </c>
      <c r="J1" s="19" t="s">
        <v>31</v>
      </c>
      <c r="K1" s="42" t="s">
        <v>29</v>
      </c>
      <c r="L1" s="41" t="s">
        <v>382</v>
      </c>
      <c r="M1" s="41" t="s">
        <v>383</v>
      </c>
      <c r="N1" s="42" t="s">
        <v>30</v>
      </c>
      <c r="O1" s="41" t="s">
        <v>399</v>
      </c>
      <c r="P1" s="41" t="s">
        <v>400</v>
      </c>
      <c r="Q1" s="41" t="s">
        <v>401</v>
      </c>
      <c r="R1" s="41" t="s">
        <v>402</v>
      </c>
      <c r="S1" s="41" t="s">
        <v>417</v>
      </c>
      <c r="T1" s="19" t="s">
        <v>28</v>
      </c>
      <c r="U1" s="19" t="s">
        <v>318</v>
      </c>
      <c r="V1" s="19" t="s">
        <v>319</v>
      </c>
      <c r="W1" s="21" t="s">
        <v>320</v>
      </c>
      <c r="X1" s="82" t="s">
        <v>638</v>
      </c>
      <c r="Y1" s="80" t="s">
        <v>656</v>
      </c>
      <c r="AA1" s="36" t="s">
        <v>377</v>
      </c>
    </row>
    <row r="2" spans="1:28" x14ac:dyDescent="0.15">
      <c r="A2">
        <v>1</v>
      </c>
      <c r="B2">
        <v>159980</v>
      </c>
      <c r="C2" t="s">
        <v>182</v>
      </c>
      <c r="D2">
        <f t="shared" ref="D2:D8" si="0">MATCH(IF(B2&lt;499999,"SZ"&amp;B2,"SH"&amp;B2),$H$2:$H$2848,0)</f>
        <v>1</v>
      </c>
      <c r="G2" s="11">
        <v>1</v>
      </c>
      <c r="H2" t="s">
        <v>55</v>
      </c>
      <c r="I2" t="s">
        <v>23</v>
      </c>
      <c r="J2" t="s">
        <v>326</v>
      </c>
      <c r="K2" s="43">
        <v>-4.7999999999999996E-3</v>
      </c>
      <c r="L2" s="39">
        <v>-1.1900000000000001E-2</v>
      </c>
      <c r="M2" s="39">
        <v>3.85E-2</v>
      </c>
      <c r="N2" s="43">
        <v>7.5499999999999998E-2</v>
      </c>
      <c r="O2" s="39">
        <v>0.2094</v>
      </c>
      <c r="P2" s="39">
        <v>0.22600000000000001</v>
      </c>
      <c r="Q2" s="39">
        <v>0.26329999999999998</v>
      </c>
      <c r="R2" s="39">
        <v>0.16539999999999999</v>
      </c>
      <c r="S2" s="39">
        <v>0.40029999999999999</v>
      </c>
      <c r="T2">
        <v>100</v>
      </c>
      <c r="U2">
        <v>80.489999999999995</v>
      </c>
      <c r="V2">
        <v>97.56</v>
      </c>
      <c r="W2" s="17">
        <v>22474.140180000002</v>
      </c>
      <c r="X2" s="83" t="s">
        <v>639</v>
      </c>
      <c r="AA2" s="9"/>
      <c r="AB2" s="9"/>
    </row>
    <row r="3" spans="1:28" x14ac:dyDescent="0.15">
      <c r="A3">
        <v>2</v>
      </c>
      <c r="B3">
        <v>159981</v>
      </c>
      <c r="C3" t="s">
        <v>183</v>
      </c>
      <c r="D3">
        <f t="shared" si="0"/>
        <v>4</v>
      </c>
      <c r="G3" s="11">
        <v>2</v>
      </c>
      <c r="H3" t="s">
        <v>73</v>
      </c>
      <c r="I3" t="s">
        <v>24</v>
      </c>
      <c r="J3" t="s">
        <v>326</v>
      </c>
      <c r="K3" s="43">
        <v>-9.9000000000000008E-3</v>
      </c>
      <c r="L3" s="39">
        <v>-3.0999999999999999E-3</v>
      </c>
      <c r="M3" s="39">
        <v>8.8000000000000005E-3</v>
      </c>
      <c r="N3" s="43">
        <v>6.3399999999999998E-2</v>
      </c>
      <c r="O3" s="39">
        <v>0.17069999999999999</v>
      </c>
      <c r="P3" s="39">
        <v>3.04E-2</v>
      </c>
      <c r="Q3" s="39">
        <v>0.31559999999999999</v>
      </c>
      <c r="R3" s="39">
        <v>0.50680000000000003</v>
      </c>
      <c r="S3" s="39">
        <v>0.77359999999999995</v>
      </c>
      <c r="T3">
        <v>97.56</v>
      </c>
      <c r="U3">
        <v>73.17</v>
      </c>
      <c r="V3">
        <v>100</v>
      </c>
      <c r="W3" s="17">
        <v>27381.473839999999</v>
      </c>
      <c r="X3" s="83" t="s">
        <v>639</v>
      </c>
      <c r="AA3" s="9"/>
      <c r="AB3" s="9"/>
    </row>
    <row r="4" spans="1:28" x14ac:dyDescent="0.15">
      <c r="A4">
        <v>3</v>
      </c>
      <c r="B4">
        <v>160216</v>
      </c>
      <c r="C4" t="s">
        <v>22</v>
      </c>
      <c r="D4" t="e">
        <f t="shared" si="0"/>
        <v>#N/A</v>
      </c>
      <c r="G4" s="11">
        <v>3</v>
      </c>
      <c r="H4" t="s">
        <v>351</v>
      </c>
      <c r="I4" t="s">
        <v>352</v>
      </c>
      <c r="J4" t="s">
        <v>326</v>
      </c>
      <c r="K4" s="43">
        <v>1E-4</v>
      </c>
      <c r="L4" s="39">
        <v>-3.7000000000000002E-3</v>
      </c>
      <c r="M4" s="39">
        <v>0.1221</v>
      </c>
      <c r="N4" s="43">
        <v>0.1598</v>
      </c>
      <c r="O4" s="39">
        <v>0.3649</v>
      </c>
      <c r="P4" s="39">
        <v>0.30959999999999999</v>
      </c>
      <c r="Q4" s="39">
        <v>0.40739999999999998</v>
      </c>
      <c r="R4" s="39">
        <v>0.4602</v>
      </c>
      <c r="S4" s="39">
        <v>0.14990000000000001</v>
      </c>
      <c r="T4">
        <v>95.12</v>
      </c>
      <c r="U4">
        <v>100</v>
      </c>
      <c r="V4">
        <v>70.73</v>
      </c>
      <c r="W4" s="17">
        <v>7116.9291060000005</v>
      </c>
      <c r="AA4" s="9"/>
      <c r="AB4" s="9"/>
    </row>
    <row r="5" spans="1:28" x14ac:dyDescent="0.15">
      <c r="A5">
        <v>4</v>
      </c>
      <c r="B5">
        <v>161815</v>
      </c>
      <c r="C5" t="s">
        <v>17</v>
      </c>
      <c r="D5" t="e">
        <f t="shared" si="0"/>
        <v>#N/A</v>
      </c>
      <c r="G5" s="11">
        <v>4</v>
      </c>
      <c r="H5" t="s">
        <v>54</v>
      </c>
      <c r="I5" t="s">
        <v>914</v>
      </c>
      <c r="J5" t="s">
        <v>326</v>
      </c>
      <c r="K5" s="43">
        <v>-2.8999999999999998E-3</v>
      </c>
      <c r="L5" s="39">
        <v>3.0999999999999999E-3</v>
      </c>
      <c r="M5" s="39">
        <v>2.7699999999999999E-2</v>
      </c>
      <c r="N5" s="43">
        <v>3.2399999999999998E-2</v>
      </c>
      <c r="O5" s="39">
        <v>2.8799999999999999E-2</v>
      </c>
      <c r="P5" s="39">
        <v>5.7500000000000002E-2</v>
      </c>
      <c r="Q5" s="39">
        <v>0.1585</v>
      </c>
      <c r="R5" s="39">
        <v>3.3300000000000003E-2</v>
      </c>
      <c r="S5" s="39">
        <v>0.44219999999999998</v>
      </c>
      <c r="T5">
        <v>92.68</v>
      </c>
      <c r="U5">
        <v>58.54</v>
      </c>
      <c r="V5">
        <v>92.68</v>
      </c>
      <c r="W5" s="17">
        <v>2205.5798300000001</v>
      </c>
      <c r="X5" s="83" t="s">
        <v>639</v>
      </c>
      <c r="AA5" s="9"/>
      <c r="AB5" s="9"/>
    </row>
    <row r="6" spans="1:28" x14ac:dyDescent="0.15">
      <c r="A6">
        <v>5</v>
      </c>
      <c r="B6">
        <v>163208</v>
      </c>
      <c r="C6" t="s">
        <v>18</v>
      </c>
      <c r="D6" t="e">
        <f t="shared" si="0"/>
        <v>#N/A</v>
      </c>
      <c r="G6" s="11">
        <v>5</v>
      </c>
      <c r="H6" t="s">
        <v>977</v>
      </c>
      <c r="I6" t="s">
        <v>978</v>
      </c>
      <c r="J6" t="s">
        <v>185</v>
      </c>
      <c r="K6" s="43">
        <v>2.7000000000000001E-3</v>
      </c>
      <c r="L6" s="39">
        <v>-5.0700000000000002E-2</v>
      </c>
      <c r="M6" s="39">
        <v>-1.2500000000000001E-2</v>
      </c>
      <c r="N6" s="43">
        <v>9.3200000000000005E-2</v>
      </c>
      <c r="O6" s="39">
        <v>0.19389999999999999</v>
      </c>
      <c r="P6" s="39">
        <v>0.1055</v>
      </c>
      <c r="Q6" s="39">
        <v>0.1348</v>
      </c>
      <c r="R6" s="39">
        <v>0.26179999999999998</v>
      </c>
      <c r="S6" s="39">
        <v>-0.15229999999999999</v>
      </c>
      <c r="T6">
        <v>90.24</v>
      </c>
      <c r="U6">
        <v>87.8</v>
      </c>
      <c r="V6">
        <v>56.1</v>
      </c>
      <c r="W6" s="17">
        <v>19512.9229648</v>
      </c>
      <c r="X6" s="83" t="s">
        <v>639</v>
      </c>
      <c r="AA6" t="s">
        <v>1070</v>
      </c>
    </row>
    <row r="7" spans="1:28" x14ac:dyDescent="0.15">
      <c r="A7">
        <v>6</v>
      </c>
      <c r="B7">
        <v>165513</v>
      </c>
      <c r="C7" t="s">
        <v>20</v>
      </c>
      <c r="D7" t="e">
        <f t="shared" si="0"/>
        <v>#N/A</v>
      </c>
      <c r="G7" s="11">
        <v>6</v>
      </c>
      <c r="H7" t="s">
        <v>172</v>
      </c>
      <c r="I7" t="s">
        <v>349</v>
      </c>
      <c r="J7" t="s">
        <v>15</v>
      </c>
      <c r="K7" s="43">
        <v>1.09E-2</v>
      </c>
      <c r="L7" s="39">
        <v>-5.1999999999999998E-2</v>
      </c>
      <c r="M7" s="39">
        <v>-5.4000000000000003E-3</v>
      </c>
      <c r="N7" s="43">
        <v>0.12139999999999999</v>
      </c>
      <c r="O7" s="39">
        <v>0.1003</v>
      </c>
      <c r="P7" s="39">
        <v>-1.06E-2</v>
      </c>
      <c r="Q7" s="39">
        <v>-0.1012</v>
      </c>
      <c r="R7" s="39">
        <v>-6.8900000000000003E-2</v>
      </c>
      <c r="S7" s="39">
        <v>-0.53510000000000002</v>
      </c>
      <c r="T7">
        <v>87.8</v>
      </c>
      <c r="U7">
        <v>95.12</v>
      </c>
      <c r="V7">
        <v>43.9</v>
      </c>
      <c r="W7" s="17">
        <v>148.74382</v>
      </c>
      <c r="X7" s="83" t="s">
        <v>639</v>
      </c>
    </row>
    <row r="8" spans="1:28" x14ac:dyDescent="0.15">
      <c r="A8">
        <v>7</v>
      </c>
      <c r="B8">
        <v>513130</v>
      </c>
      <c r="C8" t="s">
        <v>184</v>
      </c>
      <c r="D8" t="e">
        <f t="shared" si="0"/>
        <v>#N/A</v>
      </c>
      <c r="G8" s="11">
        <v>7</v>
      </c>
      <c r="H8" t="s">
        <v>62</v>
      </c>
      <c r="I8" t="s">
        <v>328</v>
      </c>
      <c r="J8" t="s">
        <v>325</v>
      </c>
      <c r="K8" s="43">
        <v>-3.8E-3</v>
      </c>
      <c r="L8" s="39">
        <v>8.9999999999999998E-4</v>
      </c>
      <c r="M8" s="39">
        <v>1.5E-3</v>
      </c>
      <c r="N8" s="43">
        <v>2.0999999999999999E-3</v>
      </c>
      <c r="O8" s="39">
        <v>1.18E-2</v>
      </c>
      <c r="P8" s="39">
        <v>2.98E-2</v>
      </c>
      <c r="Q8" s="39">
        <v>4.0300000000000002E-2</v>
      </c>
      <c r="R8" s="39">
        <v>7.0599999999999996E-2</v>
      </c>
      <c r="S8" s="39">
        <v>0.12039999999999999</v>
      </c>
      <c r="T8">
        <v>85.37</v>
      </c>
      <c r="U8">
        <v>36.590000000000003</v>
      </c>
      <c r="V8">
        <v>95.12</v>
      </c>
      <c r="W8" s="17">
        <v>14505.490900000001</v>
      </c>
    </row>
    <row r="9" spans="1:28" x14ac:dyDescent="0.15">
      <c r="G9" s="11">
        <v>8</v>
      </c>
      <c r="H9" t="s">
        <v>168</v>
      </c>
      <c r="I9" t="s">
        <v>337</v>
      </c>
      <c r="J9" t="s">
        <v>15</v>
      </c>
      <c r="K9" s="43">
        <v>7.3000000000000001E-3</v>
      </c>
      <c r="L9" s="39">
        <v>-3.1899999999999998E-2</v>
      </c>
      <c r="M9" s="39">
        <v>-4.3700000000000003E-2</v>
      </c>
      <c r="N9" s="43">
        <v>8.9099999999999999E-2</v>
      </c>
      <c r="O9" s="39">
        <v>0.108</v>
      </c>
      <c r="P9" s="39">
        <v>-4.6399999999999997E-2</v>
      </c>
      <c r="Q9" s="39">
        <v>1.43E-2</v>
      </c>
      <c r="R9" s="39">
        <v>3.5799999999999998E-2</v>
      </c>
      <c r="S9" s="39">
        <v>-0.48180000000000001</v>
      </c>
      <c r="T9">
        <v>82.93</v>
      </c>
      <c r="U9">
        <v>82.93</v>
      </c>
      <c r="V9">
        <v>48.78</v>
      </c>
      <c r="W9" s="17">
        <v>247505.73680000001</v>
      </c>
    </row>
    <row r="10" spans="1:28" x14ac:dyDescent="0.15">
      <c r="G10" s="11">
        <v>9</v>
      </c>
      <c r="H10" t="s">
        <v>169</v>
      </c>
      <c r="I10" t="s">
        <v>339</v>
      </c>
      <c r="J10" t="s">
        <v>15</v>
      </c>
      <c r="K10" s="43">
        <v>6.3E-3</v>
      </c>
      <c r="L10" s="39">
        <v>-4.9200000000000001E-2</v>
      </c>
      <c r="M10" s="39">
        <v>-4.7800000000000002E-2</v>
      </c>
      <c r="N10" s="43">
        <v>7.3800000000000004E-2</v>
      </c>
      <c r="O10" s="39">
        <v>0.1668</v>
      </c>
      <c r="P10" s="39">
        <v>-1.9699999999999999E-2</v>
      </c>
      <c r="Q10" s="39">
        <v>-6.25E-2</v>
      </c>
      <c r="R10" s="39">
        <v>-0.1042</v>
      </c>
      <c r="S10" s="39">
        <v>-0.56369999999999998</v>
      </c>
      <c r="T10">
        <v>80.489999999999995</v>
      </c>
      <c r="U10">
        <v>78.05</v>
      </c>
      <c r="V10">
        <v>51.22</v>
      </c>
      <c r="W10" s="17">
        <v>284946.4706</v>
      </c>
    </row>
    <row r="11" spans="1:28" x14ac:dyDescent="0.15">
      <c r="G11" s="11">
        <v>10</v>
      </c>
      <c r="H11" t="s">
        <v>155</v>
      </c>
      <c r="I11" t="s">
        <v>341</v>
      </c>
      <c r="J11" t="s">
        <v>15</v>
      </c>
      <c r="K11" s="43">
        <v>1.24E-2</v>
      </c>
      <c r="L11" s="39">
        <v>-1.18E-2</v>
      </c>
      <c r="M11" s="39">
        <v>-4.4999999999999997E-3</v>
      </c>
      <c r="N11" s="43">
        <v>9.8100000000000007E-2</v>
      </c>
      <c r="O11" s="39">
        <v>0.14580000000000001</v>
      </c>
      <c r="P11" s="39">
        <v>8.7099999999999997E-2</v>
      </c>
      <c r="Q11" s="39">
        <v>2.5100000000000001E-2</v>
      </c>
      <c r="R11" s="39">
        <v>9.9400000000000002E-2</v>
      </c>
      <c r="S11" s="39">
        <v>-0.19209999999999999</v>
      </c>
      <c r="T11">
        <v>78.05</v>
      </c>
      <c r="U11">
        <v>90.24</v>
      </c>
      <c r="V11">
        <v>39.020000000000003</v>
      </c>
      <c r="W11" s="17">
        <v>14988.9701</v>
      </c>
    </row>
    <row r="12" spans="1:28" x14ac:dyDescent="0.15">
      <c r="G12" s="11">
        <v>11</v>
      </c>
      <c r="H12" t="s">
        <v>69</v>
      </c>
      <c r="I12" t="s">
        <v>336</v>
      </c>
      <c r="J12" t="s">
        <v>335</v>
      </c>
      <c r="K12" s="43">
        <v>-2.9999999999999997E-4</v>
      </c>
      <c r="L12" s="39">
        <v>-2.87E-2</v>
      </c>
      <c r="M12" s="39">
        <v>3.3999999999999998E-3</v>
      </c>
      <c r="N12" s="43">
        <v>7.7999999999999996E-3</v>
      </c>
      <c r="O12" s="39">
        <v>0.1467</v>
      </c>
      <c r="P12" s="39">
        <v>0.17349999999999999</v>
      </c>
      <c r="Q12" s="39">
        <v>0.22439999999999999</v>
      </c>
      <c r="R12" s="39">
        <v>0.36080000000000001</v>
      </c>
      <c r="S12" s="39">
        <v>0.46039999999999998</v>
      </c>
      <c r="T12">
        <v>75.61</v>
      </c>
      <c r="U12">
        <v>43.9</v>
      </c>
      <c r="V12">
        <v>78.05</v>
      </c>
      <c r="W12" s="17">
        <v>115724.5338</v>
      </c>
      <c r="X12" s="83" t="s">
        <v>639</v>
      </c>
      <c r="Y12" s="81" t="s">
        <v>657</v>
      </c>
    </row>
    <row r="13" spans="1:28" x14ac:dyDescent="0.15">
      <c r="G13" s="11">
        <v>12</v>
      </c>
      <c r="H13" t="s">
        <v>109</v>
      </c>
      <c r="I13" t="s">
        <v>16</v>
      </c>
      <c r="J13" t="s">
        <v>325</v>
      </c>
      <c r="K13" s="43">
        <v>6.9999999999999999E-4</v>
      </c>
      <c r="L13" s="39">
        <v>-3.2000000000000002E-3</v>
      </c>
      <c r="M13" s="39">
        <v>-1.1999999999999999E-3</v>
      </c>
      <c r="N13" s="43">
        <v>2.75E-2</v>
      </c>
      <c r="O13" s="39">
        <v>3.7600000000000001E-2</v>
      </c>
      <c r="P13" s="39">
        <v>3.2399999999999998E-2</v>
      </c>
      <c r="Q13" s="39">
        <v>-4.1999999999999997E-3</v>
      </c>
      <c r="R13" s="39">
        <v>2.23E-2</v>
      </c>
      <c r="S13" s="39">
        <v>8.1299999999999997E-2</v>
      </c>
      <c r="T13">
        <v>73.17</v>
      </c>
      <c r="U13">
        <v>56.1</v>
      </c>
      <c r="V13">
        <v>58.54</v>
      </c>
      <c r="W13" s="17">
        <v>84403.604399999997</v>
      </c>
      <c r="X13" s="83" t="s">
        <v>639</v>
      </c>
    </row>
    <row r="14" spans="1:28" x14ac:dyDescent="0.15">
      <c r="G14" s="11">
        <v>13</v>
      </c>
      <c r="H14" t="s">
        <v>161</v>
      </c>
      <c r="I14" t="s">
        <v>332</v>
      </c>
      <c r="J14" t="s">
        <v>15</v>
      </c>
      <c r="K14" s="43">
        <v>1.47E-2</v>
      </c>
      <c r="L14" s="39">
        <v>-1.9400000000000001E-2</v>
      </c>
      <c r="M14" s="39">
        <v>-9.9000000000000008E-3</v>
      </c>
      <c r="N14" s="43">
        <v>9.01E-2</v>
      </c>
      <c r="O14" s="39">
        <v>0.1215</v>
      </c>
      <c r="P14" s="39">
        <v>7.0900000000000005E-2</v>
      </c>
      <c r="Q14" s="39">
        <v>7.4000000000000003E-3</v>
      </c>
      <c r="R14" s="39">
        <v>5.0599999999999999E-2</v>
      </c>
      <c r="S14" s="39">
        <v>-0.25069999999999998</v>
      </c>
      <c r="T14">
        <v>70.73</v>
      </c>
      <c r="U14">
        <v>85.37</v>
      </c>
      <c r="V14">
        <v>29.27</v>
      </c>
      <c r="W14" s="17">
        <v>56097.213979999993</v>
      </c>
    </row>
    <row r="15" spans="1:28" x14ac:dyDescent="0.15">
      <c r="G15" s="11">
        <v>14</v>
      </c>
      <c r="H15" t="s">
        <v>1065</v>
      </c>
      <c r="I15" t="s">
        <v>1066</v>
      </c>
      <c r="J15" t="s">
        <v>15</v>
      </c>
      <c r="K15" s="43">
        <v>1.9900000000000001E-2</v>
      </c>
      <c r="L15" s="39">
        <v>2.8E-3</v>
      </c>
      <c r="M15" s="39">
        <v>2.8899999999999999E-2</v>
      </c>
      <c r="N15" s="43">
        <v>0.1172</v>
      </c>
      <c r="O15" s="39">
        <v>0.1236</v>
      </c>
      <c r="P15" s="39">
        <v>0.1236</v>
      </c>
      <c r="Q15" s="39">
        <v>0.1236</v>
      </c>
      <c r="R15" s="39">
        <v>0.1236</v>
      </c>
      <c r="S15" s="39">
        <v>0.1236</v>
      </c>
      <c r="T15">
        <v>68.290000000000006</v>
      </c>
      <c r="U15">
        <v>92.68</v>
      </c>
      <c r="V15">
        <v>19.510000000000002</v>
      </c>
      <c r="W15" s="17">
        <v>5011.6927999999998</v>
      </c>
      <c r="X15" s="83" t="s">
        <v>639</v>
      </c>
      <c r="Y15" s="81" t="s">
        <v>657</v>
      </c>
    </row>
    <row r="16" spans="1:28" x14ac:dyDescent="0.15">
      <c r="G16" s="11">
        <v>15</v>
      </c>
      <c r="H16" t="s">
        <v>957</v>
      </c>
      <c r="I16" t="s">
        <v>956</v>
      </c>
      <c r="J16" t="s">
        <v>15</v>
      </c>
      <c r="K16" s="43">
        <v>1.11E-2</v>
      </c>
      <c r="L16" s="39">
        <v>-2E-3</v>
      </c>
      <c r="M16" s="39">
        <v>4.53E-2</v>
      </c>
      <c r="N16" s="43">
        <v>6.1100000000000002E-2</v>
      </c>
      <c r="O16" s="39">
        <v>5.8900000000000001E-2</v>
      </c>
      <c r="P16" s="39">
        <v>7.3099999999999998E-2</v>
      </c>
      <c r="Q16" s="39">
        <v>7.3099999999999998E-2</v>
      </c>
      <c r="R16" s="39">
        <v>7.3099999999999998E-2</v>
      </c>
      <c r="S16" s="39">
        <v>7.3099999999999998E-2</v>
      </c>
      <c r="T16">
        <v>65.849999999999994</v>
      </c>
      <c r="U16">
        <v>70.73</v>
      </c>
      <c r="V16">
        <v>41.46</v>
      </c>
      <c r="W16" s="17">
        <v>610.30219999999997</v>
      </c>
      <c r="X16" s="83" t="s">
        <v>639</v>
      </c>
    </row>
    <row r="17" spans="7:25" x14ac:dyDescent="0.15">
      <c r="G17" s="11">
        <v>16</v>
      </c>
      <c r="H17" t="s">
        <v>300</v>
      </c>
      <c r="I17" t="s">
        <v>648</v>
      </c>
      <c r="J17" t="s">
        <v>15</v>
      </c>
      <c r="K17" s="43">
        <v>2.1999999999999999E-2</v>
      </c>
      <c r="L17" s="39">
        <v>1.34E-2</v>
      </c>
      <c r="M17" s="39">
        <v>3.4299999999999997E-2</v>
      </c>
      <c r="N17" s="43">
        <v>0.15440000000000001</v>
      </c>
      <c r="O17" s="39">
        <v>0.19639999999999999</v>
      </c>
      <c r="P17" s="39">
        <v>0.26939999999999997</v>
      </c>
      <c r="Q17" s="39">
        <v>0.20710000000000001</v>
      </c>
      <c r="R17" s="39">
        <v>0.41370000000000001</v>
      </c>
      <c r="S17" s="39">
        <v>0.38319999999999999</v>
      </c>
      <c r="T17">
        <v>63.41</v>
      </c>
      <c r="U17">
        <v>97.56</v>
      </c>
      <c r="V17">
        <v>12.2</v>
      </c>
      <c r="W17" s="17">
        <v>7875.3557000000001</v>
      </c>
      <c r="X17" s="83" t="s">
        <v>639</v>
      </c>
    </row>
    <row r="18" spans="7:25" x14ac:dyDescent="0.15">
      <c r="G18" s="11">
        <v>17</v>
      </c>
      <c r="H18" t="s">
        <v>68</v>
      </c>
      <c r="I18" t="s">
        <v>238</v>
      </c>
      <c r="J18" t="s">
        <v>655</v>
      </c>
      <c r="K18" s="43">
        <v>-4.0000000000000002E-4</v>
      </c>
      <c r="L18" s="39">
        <v>1.5E-3</v>
      </c>
      <c r="M18" s="39">
        <v>1.5E-3</v>
      </c>
      <c r="N18" s="43">
        <v>1.5E-3</v>
      </c>
      <c r="O18" s="39">
        <v>1.0999999999999999E-2</v>
      </c>
      <c r="P18" s="39">
        <v>0.03</v>
      </c>
      <c r="Q18" s="39">
        <v>4.02E-2</v>
      </c>
      <c r="R18" s="39">
        <v>6.5199999999999994E-2</v>
      </c>
      <c r="S18" s="39">
        <v>0.109</v>
      </c>
      <c r="T18">
        <v>60.98</v>
      </c>
      <c r="U18">
        <v>24.39</v>
      </c>
      <c r="V18">
        <v>85.37</v>
      </c>
      <c r="W18" s="17">
        <v>41963.081599999998</v>
      </c>
      <c r="X18" s="83" t="s">
        <v>639</v>
      </c>
    </row>
    <row r="19" spans="7:25" x14ac:dyDescent="0.15">
      <c r="G19" s="11">
        <v>18</v>
      </c>
      <c r="H19" t="s">
        <v>57</v>
      </c>
      <c r="I19" t="s">
        <v>331</v>
      </c>
      <c r="J19" t="s">
        <v>325</v>
      </c>
      <c r="K19" s="43">
        <v>-2.0000000000000001E-4</v>
      </c>
      <c r="L19" s="39">
        <v>8.9999999999999998E-4</v>
      </c>
      <c r="M19" s="39">
        <v>1.5E-3</v>
      </c>
      <c r="N19" s="43">
        <v>1.9E-3</v>
      </c>
      <c r="O19" s="39">
        <v>9.7000000000000003E-3</v>
      </c>
      <c r="P19" s="39">
        <v>2.46E-2</v>
      </c>
      <c r="Q19" s="39">
        <v>3.7699999999999997E-2</v>
      </c>
      <c r="R19" s="39">
        <v>6.3399999999999998E-2</v>
      </c>
      <c r="S19" s="39">
        <v>9.98E-2</v>
      </c>
      <c r="T19">
        <v>58.54</v>
      </c>
      <c r="U19">
        <v>34.15</v>
      </c>
      <c r="V19">
        <v>75.61</v>
      </c>
      <c r="W19" s="17">
        <v>4656.0370299999995</v>
      </c>
      <c r="X19" s="83" t="s">
        <v>639</v>
      </c>
    </row>
    <row r="20" spans="7:25" x14ac:dyDescent="0.15">
      <c r="G20" s="11">
        <v>19</v>
      </c>
      <c r="H20" t="s">
        <v>89</v>
      </c>
      <c r="I20" t="s">
        <v>344</v>
      </c>
      <c r="J20" t="s">
        <v>325</v>
      </c>
      <c r="K20" s="43">
        <v>2.0000000000000001E-4</v>
      </c>
      <c r="L20" s="39">
        <v>8.0000000000000004E-4</v>
      </c>
      <c r="M20" s="39">
        <v>1.2999999999999999E-3</v>
      </c>
      <c r="N20" s="43">
        <v>2.2000000000000001E-3</v>
      </c>
      <c r="O20" s="39">
        <v>9.5999999999999992E-3</v>
      </c>
      <c r="P20" s="39">
        <v>2.1899999999999999E-2</v>
      </c>
      <c r="Q20" s="39">
        <v>2.7799999999999998E-2</v>
      </c>
      <c r="R20" s="39">
        <v>4.5499999999999999E-2</v>
      </c>
      <c r="S20" s="39">
        <v>7.6300000000000007E-2</v>
      </c>
      <c r="T20">
        <v>56.1</v>
      </c>
      <c r="U20">
        <v>39.020000000000003</v>
      </c>
      <c r="V20">
        <v>68.290000000000006</v>
      </c>
      <c r="W20" s="17">
        <v>57955.465499999998</v>
      </c>
      <c r="X20" s="83" t="s">
        <v>639</v>
      </c>
    </row>
    <row r="21" spans="7:25" x14ac:dyDescent="0.15">
      <c r="G21" s="11">
        <v>20</v>
      </c>
      <c r="H21" t="s">
        <v>68</v>
      </c>
      <c r="I21" t="s">
        <v>334</v>
      </c>
      <c r="J21" t="s">
        <v>325</v>
      </c>
      <c r="K21" s="43">
        <v>-4.0000000000000002E-4</v>
      </c>
      <c r="L21" s="39">
        <v>1.5E-3</v>
      </c>
      <c r="M21" s="39">
        <v>1.5E-3</v>
      </c>
      <c r="N21" s="43">
        <v>1.5E-3</v>
      </c>
      <c r="O21" s="39">
        <v>1.0999999999999999E-2</v>
      </c>
      <c r="P21" s="39">
        <v>0.03</v>
      </c>
      <c r="Q21" s="39">
        <v>4.02E-2</v>
      </c>
      <c r="R21" s="39">
        <v>6.5199999999999994E-2</v>
      </c>
      <c r="S21" s="39">
        <v>0.109</v>
      </c>
      <c r="T21">
        <v>53.66</v>
      </c>
      <c r="U21">
        <v>21.95</v>
      </c>
      <c r="V21">
        <v>82.93</v>
      </c>
      <c r="W21" s="17">
        <v>41963.081599999998</v>
      </c>
    </row>
    <row r="22" spans="7:25" x14ac:dyDescent="0.15">
      <c r="G22" s="11">
        <v>21</v>
      </c>
      <c r="H22" t="s">
        <v>59</v>
      </c>
      <c r="I22" t="s">
        <v>327</v>
      </c>
      <c r="J22" t="s">
        <v>325</v>
      </c>
      <c r="K22" s="43">
        <v>-2.2000000000000001E-3</v>
      </c>
      <c r="L22" s="39">
        <v>8.0000000000000004E-4</v>
      </c>
      <c r="M22" s="39">
        <v>6.9999999999999999E-4</v>
      </c>
      <c r="N22" s="43">
        <v>-8.0000000000000004E-4</v>
      </c>
      <c r="O22" s="39">
        <v>1.38E-2</v>
      </c>
      <c r="P22" s="39">
        <v>4.1300000000000003E-2</v>
      </c>
      <c r="Q22" s="39">
        <v>5.2600000000000001E-2</v>
      </c>
      <c r="R22" s="39">
        <v>9.0200000000000002E-2</v>
      </c>
      <c r="S22" s="39">
        <v>0.15129999999999999</v>
      </c>
      <c r="T22">
        <v>51.22</v>
      </c>
      <c r="U22">
        <v>14.63</v>
      </c>
      <c r="V22">
        <v>90.24</v>
      </c>
      <c r="W22" s="17">
        <v>39910.232400000001</v>
      </c>
      <c r="X22" s="83" t="s">
        <v>639</v>
      </c>
    </row>
    <row r="23" spans="7:25" x14ac:dyDescent="0.15">
      <c r="G23" s="11">
        <v>22</v>
      </c>
      <c r="H23" t="s">
        <v>117</v>
      </c>
      <c r="I23" t="s">
        <v>913</v>
      </c>
      <c r="J23" t="s">
        <v>15</v>
      </c>
      <c r="K23" s="43">
        <v>3.8999999999999998E-3</v>
      </c>
      <c r="L23" s="39">
        <v>-4.24E-2</v>
      </c>
      <c r="M23" s="39">
        <v>-7.4999999999999997E-2</v>
      </c>
      <c r="N23" s="43">
        <v>2.1999999999999999E-2</v>
      </c>
      <c r="O23" s="39">
        <v>-8.5300000000000001E-2</v>
      </c>
      <c r="P23" s="39">
        <v>-0.27800000000000002</v>
      </c>
      <c r="Q23" s="39">
        <v>-0.31409999999999999</v>
      </c>
      <c r="R23" s="39">
        <v>-0.1996</v>
      </c>
      <c r="S23" s="39">
        <v>-0.67130000000000001</v>
      </c>
      <c r="T23">
        <v>48.78</v>
      </c>
      <c r="U23">
        <v>48.78</v>
      </c>
      <c r="V23">
        <v>53.66</v>
      </c>
      <c r="W23" s="17">
        <v>95971.476599999995</v>
      </c>
    </row>
    <row r="24" spans="7:25" x14ac:dyDescent="0.15">
      <c r="G24" s="11">
        <v>23</v>
      </c>
      <c r="H24" t="s">
        <v>96</v>
      </c>
      <c r="I24" t="s">
        <v>340</v>
      </c>
      <c r="J24" t="s">
        <v>325</v>
      </c>
      <c r="K24" s="43">
        <v>5.0000000000000001E-4</v>
      </c>
      <c r="L24" s="39">
        <v>8.9999999999999998E-4</v>
      </c>
      <c r="M24" s="39">
        <v>1.2999999999999999E-3</v>
      </c>
      <c r="N24" s="43">
        <v>2.3E-3</v>
      </c>
      <c r="O24" s="39">
        <v>8.6999999999999994E-3</v>
      </c>
      <c r="P24" s="39">
        <v>2.1299999999999999E-2</v>
      </c>
      <c r="Q24" s="39">
        <v>3.4299999999999997E-2</v>
      </c>
      <c r="R24" s="39">
        <v>5.79E-2</v>
      </c>
      <c r="S24" s="39">
        <v>9.8799999999999999E-2</v>
      </c>
      <c r="T24">
        <v>46.34</v>
      </c>
      <c r="U24">
        <v>41.46</v>
      </c>
      <c r="V24">
        <v>60.98</v>
      </c>
      <c r="W24" s="17">
        <v>28608.867099999999</v>
      </c>
      <c r="X24" s="83" t="s">
        <v>639</v>
      </c>
    </row>
    <row r="25" spans="7:25" x14ac:dyDescent="0.15">
      <c r="G25" s="11">
        <v>24</v>
      </c>
      <c r="H25" t="s">
        <v>979</v>
      </c>
      <c r="I25" t="s">
        <v>980</v>
      </c>
      <c r="J25" t="s">
        <v>655</v>
      </c>
      <c r="K25" s="43">
        <v>-8.0000000000000004E-4</v>
      </c>
      <c r="L25" s="39">
        <v>7.4999999999999997E-3</v>
      </c>
      <c r="M25" s="39">
        <v>2.7000000000000001E-3</v>
      </c>
      <c r="N25" s="43">
        <v>-6.7000000000000002E-3</v>
      </c>
      <c r="O25" s="39">
        <v>6.1000000000000004E-3</v>
      </c>
      <c r="P25" s="39">
        <v>0.1055</v>
      </c>
      <c r="Q25" s="39">
        <v>0.1333</v>
      </c>
      <c r="R25" s="39">
        <v>0.1333</v>
      </c>
      <c r="S25" s="39">
        <v>0.1333</v>
      </c>
      <c r="T25">
        <v>43.9</v>
      </c>
      <c r="U25">
        <v>12.2</v>
      </c>
      <c r="V25">
        <v>87.8</v>
      </c>
      <c r="W25" s="17">
        <v>45809.243600000002</v>
      </c>
      <c r="X25" s="83" t="s">
        <v>639</v>
      </c>
    </row>
    <row r="26" spans="7:25" x14ac:dyDescent="0.15">
      <c r="G26" s="11">
        <v>25</v>
      </c>
      <c r="H26" t="s">
        <v>78</v>
      </c>
      <c r="I26" t="s">
        <v>297</v>
      </c>
      <c r="J26" t="s">
        <v>325</v>
      </c>
      <c r="K26" s="43">
        <v>0</v>
      </c>
      <c r="L26" s="39">
        <v>5.0000000000000001E-4</v>
      </c>
      <c r="M26" s="39">
        <v>6.9999999999999999E-4</v>
      </c>
      <c r="N26" s="43">
        <v>1.6999999999999999E-3</v>
      </c>
      <c r="O26" s="39">
        <v>5.8999999999999999E-3</v>
      </c>
      <c r="P26" s="39">
        <v>1.34E-2</v>
      </c>
      <c r="Q26" s="39">
        <v>2.4299999999999999E-2</v>
      </c>
      <c r="R26" s="39">
        <v>4.65E-2</v>
      </c>
      <c r="S26" s="39">
        <v>7.7200000000000005E-2</v>
      </c>
      <c r="T26">
        <v>41.46</v>
      </c>
      <c r="U26">
        <v>26.83</v>
      </c>
      <c r="V26">
        <v>73.17</v>
      </c>
      <c r="W26" s="17">
        <v>988646.45349999995</v>
      </c>
      <c r="X26" s="83" t="s">
        <v>639</v>
      </c>
    </row>
    <row r="27" spans="7:25" x14ac:dyDescent="0.15">
      <c r="G27" s="11">
        <v>26</v>
      </c>
      <c r="H27" t="s">
        <v>63</v>
      </c>
      <c r="I27" t="s">
        <v>330</v>
      </c>
      <c r="J27" t="s">
        <v>325</v>
      </c>
      <c r="K27" s="43">
        <v>-4.0000000000000002E-4</v>
      </c>
      <c r="L27" s="39">
        <v>2.3999999999999998E-3</v>
      </c>
      <c r="M27" s="39">
        <v>1.6000000000000001E-3</v>
      </c>
      <c r="N27" s="43">
        <v>8.0000000000000004E-4</v>
      </c>
      <c r="O27" s="39">
        <v>1.1900000000000001E-2</v>
      </c>
      <c r="P27" s="39">
        <v>3.73E-2</v>
      </c>
      <c r="Q27" s="39">
        <v>5.3499999999999999E-2</v>
      </c>
      <c r="R27" s="39">
        <v>8.8499999999999995E-2</v>
      </c>
      <c r="S27" s="39">
        <v>0.14810000000000001</v>
      </c>
      <c r="T27">
        <v>39.020000000000003</v>
      </c>
      <c r="U27">
        <v>17.07</v>
      </c>
      <c r="V27">
        <v>80.489999999999995</v>
      </c>
      <c r="W27" s="17">
        <v>34616.047200000001</v>
      </c>
      <c r="X27" s="83" t="s">
        <v>639</v>
      </c>
    </row>
    <row r="28" spans="7:25" x14ac:dyDescent="0.15">
      <c r="G28" s="11">
        <v>27</v>
      </c>
      <c r="H28" t="s">
        <v>174</v>
      </c>
      <c r="I28" t="s">
        <v>354</v>
      </c>
      <c r="J28" t="s">
        <v>15</v>
      </c>
      <c r="K28" s="43">
        <v>1.43E-2</v>
      </c>
      <c r="L28" s="39">
        <v>1.49E-2</v>
      </c>
      <c r="M28" s="39">
        <v>4.1000000000000002E-2</v>
      </c>
      <c r="N28" s="43">
        <v>3.2500000000000001E-2</v>
      </c>
      <c r="O28" s="39">
        <v>3.61E-2</v>
      </c>
      <c r="P28" s="39">
        <v>0.15959999999999999</v>
      </c>
      <c r="Q28" s="39">
        <v>0.27579999999999999</v>
      </c>
      <c r="R28" s="39">
        <v>0.32929999999999998</v>
      </c>
      <c r="S28" s="39">
        <v>0.46429999999999999</v>
      </c>
      <c r="T28">
        <v>36.590000000000003</v>
      </c>
      <c r="U28">
        <v>60.98</v>
      </c>
      <c r="V28">
        <v>34.15</v>
      </c>
      <c r="W28" s="17">
        <v>14367.152255500001</v>
      </c>
      <c r="X28" s="83" t="s">
        <v>639</v>
      </c>
      <c r="Y28" s="81" t="s">
        <v>657</v>
      </c>
    </row>
    <row r="29" spans="7:25" x14ac:dyDescent="0.15">
      <c r="G29" s="11">
        <v>28</v>
      </c>
      <c r="H29" t="s">
        <v>56</v>
      </c>
      <c r="I29" t="s">
        <v>329</v>
      </c>
      <c r="J29" t="s">
        <v>325</v>
      </c>
      <c r="K29" s="43">
        <v>4.0000000000000002E-4</v>
      </c>
      <c r="L29" s="39">
        <v>1.5E-3</v>
      </c>
      <c r="M29" s="39">
        <v>2.3E-3</v>
      </c>
      <c r="N29" s="43">
        <v>1.8E-3</v>
      </c>
      <c r="O29" s="39">
        <v>1.2800000000000001E-2</v>
      </c>
      <c r="P29" s="39">
        <v>3.6200000000000003E-2</v>
      </c>
      <c r="Q29" s="39">
        <v>4.7699999999999999E-2</v>
      </c>
      <c r="R29" s="39">
        <v>8.1000000000000003E-2</v>
      </c>
      <c r="S29" s="39">
        <v>0.13400000000000001</v>
      </c>
      <c r="T29">
        <v>34.15</v>
      </c>
      <c r="U29">
        <v>29.27</v>
      </c>
      <c r="V29">
        <v>63.41</v>
      </c>
      <c r="W29" s="17">
        <v>6228.0673500000003</v>
      </c>
      <c r="X29" s="83" t="s">
        <v>639</v>
      </c>
    </row>
    <row r="30" spans="7:25" x14ac:dyDescent="0.15">
      <c r="G30" s="11">
        <v>29</v>
      </c>
      <c r="H30" t="s">
        <v>176</v>
      </c>
      <c r="I30" t="s">
        <v>355</v>
      </c>
      <c r="J30" t="s">
        <v>15</v>
      </c>
      <c r="K30" s="43">
        <v>2.1399999999999999E-2</v>
      </c>
      <c r="L30" s="39">
        <v>-3.4200000000000001E-2</v>
      </c>
      <c r="M30" s="39">
        <v>-1.0999999999999999E-2</v>
      </c>
      <c r="N30" s="43">
        <v>5.4199999999999998E-2</v>
      </c>
      <c r="O30" s="39">
        <v>-8.3599999999999994E-2</v>
      </c>
      <c r="P30" s="39">
        <v>0.1867</v>
      </c>
      <c r="Q30" s="39">
        <v>6.0199999999999997E-2</v>
      </c>
      <c r="R30" s="39">
        <v>0.4078</v>
      </c>
      <c r="S30" s="39">
        <v>-0.2767</v>
      </c>
      <c r="T30">
        <v>31.71</v>
      </c>
      <c r="U30">
        <v>68.290000000000006</v>
      </c>
      <c r="V30">
        <v>17.07</v>
      </c>
      <c r="W30" s="17">
        <v>259.53027000000003</v>
      </c>
      <c r="X30" s="83" t="s">
        <v>639</v>
      </c>
    </row>
    <row r="31" spans="7:25" x14ac:dyDescent="0.15">
      <c r="G31" s="11">
        <v>30</v>
      </c>
      <c r="H31" t="s">
        <v>345</v>
      </c>
      <c r="I31" t="s">
        <v>346</v>
      </c>
      <c r="J31" t="s">
        <v>325</v>
      </c>
      <c r="K31" s="43">
        <v>4.0000000000000002E-4</v>
      </c>
      <c r="L31" s="39">
        <v>8.9999999999999998E-4</v>
      </c>
      <c r="M31" s="39">
        <v>1.1000000000000001E-3</v>
      </c>
      <c r="N31" s="43">
        <v>1.5E-3</v>
      </c>
      <c r="O31" s="39">
        <v>8.6999999999999994E-3</v>
      </c>
      <c r="P31" s="39">
        <v>2.8299999999999999E-2</v>
      </c>
      <c r="Q31" s="39">
        <v>4.41E-2</v>
      </c>
      <c r="R31" s="39">
        <v>7.6700000000000004E-2</v>
      </c>
      <c r="S31" s="39">
        <v>0.13220000000000001</v>
      </c>
      <c r="T31">
        <v>29.27</v>
      </c>
      <c r="U31">
        <v>19.510000000000002</v>
      </c>
      <c r="V31">
        <v>65.849999999999994</v>
      </c>
      <c r="W31" s="17">
        <v>4015.2534571999995</v>
      </c>
      <c r="X31" s="83" t="s">
        <v>639</v>
      </c>
      <c r="Y31" s="81" t="s">
        <v>657</v>
      </c>
    </row>
    <row r="32" spans="7:25" x14ac:dyDescent="0.15">
      <c r="G32" s="11">
        <v>31</v>
      </c>
      <c r="H32" t="s">
        <v>128</v>
      </c>
      <c r="I32" t="s">
        <v>353</v>
      </c>
      <c r="J32" t="s">
        <v>15</v>
      </c>
      <c r="K32" s="43">
        <v>2.3300000000000001E-2</v>
      </c>
      <c r="L32" s="39">
        <v>7.7999999999999996E-3</v>
      </c>
      <c r="M32" s="39">
        <v>3.44E-2</v>
      </c>
      <c r="N32" s="43">
        <v>7.3499999999999996E-2</v>
      </c>
      <c r="O32" s="39">
        <v>4.8800000000000003E-2</v>
      </c>
      <c r="P32" s="39">
        <v>0.17100000000000001</v>
      </c>
      <c r="Q32" s="39">
        <v>0.4214</v>
      </c>
      <c r="R32" s="39">
        <v>0.60960000000000003</v>
      </c>
      <c r="S32" s="39">
        <v>0.44529999999999997</v>
      </c>
      <c r="T32">
        <v>26.83</v>
      </c>
      <c r="U32">
        <v>75.61</v>
      </c>
      <c r="V32">
        <v>7.32</v>
      </c>
      <c r="W32" s="17">
        <v>41913.28613</v>
      </c>
      <c r="X32" s="83" t="s">
        <v>639</v>
      </c>
      <c r="Y32" s="81" t="s">
        <v>657</v>
      </c>
    </row>
    <row r="33" spans="7:25" x14ac:dyDescent="0.15">
      <c r="G33" s="11">
        <v>32</v>
      </c>
      <c r="H33" t="s">
        <v>166</v>
      </c>
      <c r="I33" t="s">
        <v>348</v>
      </c>
      <c r="J33" t="s">
        <v>15</v>
      </c>
      <c r="K33" s="43">
        <v>2.3E-2</v>
      </c>
      <c r="L33" s="39">
        <v>-2.0999999999999999E-3</v>
      </c>
      <c r="M33" s="39">
        <v>5.7999999999999996E-3</v>
      </c>
      <c r="N33" s="43">
        <v>4.3400000000000001E-2</v>
      </c>
      <c r="O33" s="39">
        <v>6.6600000000000006E-2</v>
      </c>
      <c r="P33" s="39">
        <v>0.14369999999999999</v>
      </c>
      <c r="Q33" s="39">
        <v>0.1726</v>
      </c>
      <c r="R33" s="39">
        <v>0.4541</v>
      </c>
      <c r="S33" s="39">
        <v>0.1216</v>
      </c>
      <c r="T33">
        <v>24.39</v>
      </c>
      <c r="U33">
        <v>63.41</v>
      </c>
      <c r="V33">
        <v>9.76</v>
      </c>
      <c r="W33" s="17">
        <v>5366.1846999999998</v>
      </c>
    </row>
    <row r="34" spans="7:25" x14ac:dyDescent="0.15">
      <c r="G34" s="11">
        <v>33</v>
      </c>
      <c r="H34" t="s">
        <v>397</v>
      </c>
      <c r="I34" t="s">
        <v>398</v>
      </c>
      <c r="J34" t="s">
        <v>15</v>
      </c>
      <c r="K34" s="43">
        <v>1.83E-2</v>
      </c>
      <c r="L34" s="39">
        <v>-4.7399999999999998E-2</v>
      </c>
      <c r="M34" s="39">
        <v>-8.14E-2</v>
      </c>
      <c r="N34" s="43">
        <v>1.2800000000000001E-2</v>
      </c>
      <c r="O34" s="39">
        <v>-9.1300000000000006E-2</v>
      </c>
      <c r="P34" s="39">
        <v>-0.29010000000000002</v>
      </c>
      <c r="Q34" s="39">
        <v>-0.3135</v>
      </c>
      <c r="R34" s="39">
        <v>-0.38129999999999997</v>
      </c>
      <c r="S34" s="39">
        <v>-0.38129999999999997</v>
      </c>
      <c r="T34">
        <v>21.95</v>
      </c>
      <c r="U34">
        <v>46.34</v>
      </c>
      <c r="V34">
        <v>24.39</v>
      </c>
      <c r="W34" s="17">
        <v>4160.3295500000004</v>
      </c>
      <c r="X34" s="83" t="s">
        <v>639</v>
      </c>
    </row>
    <row r="35" spans="7:25" x14ac:dyDescent="0.15">
      <c r="G35" s="11">
        <v>34</v>
      </c>
      <c r="H35" t="s">
        <v>173</v>
      </c>
      <c r="I35" t="s">
        <v>347</v>
      </c>
      <c r="J35" t="s">
        <v>15</v>
      </c>
      <c r="K35" s="43">
        <v>2.1600000000000001E-2</v>
      </c>
      <c r="L35" s="39">
        <v>-6.3E-3</v>
      </c>
      <c r="M35" s="39">
        <v>4.0000000000000002E-4</v>
      </c>
      <c r="N35" s="43">
        <v>2.7400000000000001E-2</v>
      </c>
      <c r="O35" s="39">
        <v>3.8899999999999997E-2</v>
      </c>
      <c r="P35" s="39">
        <v>0.1124</v>
      </c>
      <c r="Q35" s="39">
        <v>0.1308</v>
      </c>
      <c r="R35" s="39">
        <v>0.49959999999999999</v>
      </c>
      <c r="S35" s="39">
        <v>0.33360000000000001</v>
      </c>
      <c r="T35">
        <v>19.510000000000002</v>
      </c>
      <c r="U35">
        <v>53.66</v>
      </c>
      <c r="V35">
        <v>14.63</v>
      </c>
      <c r="W35" s="17">
        <v>1612.1533999999999</v>
      </c>
      <c r="X35" s="83" t="s">
        <v>639</v>
      </c>
      <c r="Y35" s="81" t="s">
        <v>657</v>
      </c>
    </row>
    <row r="36" spans="7:25" x14ac:dyDescent="0.15">
      <c r="G36" s="11">
        <v>35</v>
      </c>
      <c r="H36" t="s">
        <v>140</v>
      </c>
      <c r="I36" t="s">
        <v>350</v>
      </c>
      <c r="J36" t="s">
        <v>15</v>
      </c>
      <c r="K36" s="43">
        <v>3.2500000000000001E-2</v>
      </c>
      <c r="L36" s="39">
        <v>-1E-4</v>
      </c>
      <c r="M36" s="39">
        <v>1.72E-2</v>
      </c>
      <c r="N36" s="43">
        <v>4.65E-2</v>
      </c>
      <c r="O36" s="39">
        <v>4.6399999999999997E-2</v>
      </c>
      <c r="P36" s="39">
        <v>0.1636</v>
      </c>
      <c r="Q36" s="39">
        <v>0.3226</v>
      </c>
      <c r="R36" s="39">
        <v>0.4113</v>
      </c>
      <c r="S36" s="39">
        <v>0.39200000000000002</v>
      </c>
      <c r="T36">
        <v>17.07</v>
      </c>
      <c r="U36">
        <v>65.849999999999994</v>
      </c>
      <c r="V36">
        <v>2.44</v>
      </c>
      <c r="W36" s="17">
        <v>10502.9202</v>
      </c>
      <c r="X36" s="83" t="s">
        <v>639</v>
      </c>
      <c r="Y36" s="81" t="s">
        <v>657</v>
      </c>
    </row>
    <row r="37" spans="7:25" x14ac:dyDescent="0.15">
      <c r="G37" s="11">
        <v>36</v>
      </c>
      <c r="H37" t="s">
        <v>395</v>
      </c>
      <c r="I37" t="s">
        <v>396</v>
      </c>
      <c r="J37" t="s">
        <v>15</v>
      </c>
      <c r="K37" s="43">
        <v>1.6500000000000001E-2</v>
      </c>
      <c r="L37" s="39">
        <v>-4.9799999999999997E-2</v>
      </c>
      <c r="M37" s="39">
        <v>-8.2600000000000007E-2</v>
      </c>
      <c r="N37" s="43">
        <v>1.8E-3</v>
      </c>
      <c r="O37" s="39">
        <v>-8.5599999999999996E-2</v>
      </c>
      <c r="P37" s="39">
        <v>-0.28249999999999997</v>
      </c>
      <c r="Q37" s="39">
        <v>-0.28870000000000001</v>
      </c>
      <c r="R37" s="39">
        <v>-0.37440000000000001</v>
      </c>
      <c r="S37" s="39">
        <v>-0.37440000000000001</v>
      </c>
      <c r="T37">
        <v>14.63</v>
      </c>
      <c r="U37">
        <v>31.71</v>
      </c>
      <c r="V37">
        <v>26.83</v>
      </c>
      <c r="W37" s="17">
        <v>103496.5193</v>
      </c>
      <c r="X37" s="83" t="s">
        <v>639</v>
      </c>
    </row>
    <row r="38" spans="7:25" x14ac:dyDescent="0.15">
      <c r="G38" s="11">
        <v>37</v>
      </c>
      <c r="H38" t="s">
        <v>163</v>
      </c>
      <c r="I38" t="s">
        <v>333</v>
      </c>
      <c r="J38" t="s">
        <v>15</v>
      </c>
      <c r="K38" s="43">
        <v>2.9700000000000001E-2</v>
      </c>
      <c r="L38" s="39">
        <v>-3.8E-3</v>
      </c>
      <c r="M38" s="39">
        <v>1.2699999999999999E-2</v>
      </c>
      <c r="N38" s="43">
        <v>2.47E-2</v>
      </c>
      <c r="O38" s="39">
        <v>-3.7900000000000003E-2</v>
      </c>
      <c r="P38" s="39">
        <v>0.12720000000000001</v>
      </c>
      <c r="Q38" s="39">
        <v>0.17599999999999999</v>
      </c>
      <c r="R38" s="39">
        <v>0.36620000000000003</v>
      </c>
      <c r="S38" s="39">
        <v>5.7700000000000001E-2</v>
      </c>
      <c r="T38">
        <v>12.2</v>
      </c>
      <c r="U38">
        <v>51.22</v>
      </c>
      <c r="V38">
        <v>4.88</v>
      </c>
      <c r="W38" s="17">
        <v>3120.8973000000001</v>
      </c>
      <c r="X38" s="83" t="s">
        <v>639</v>
      </c>
      <c r="Y38" s="81" t="s">
        <v>657</v>
      </c>
    </row>
    <row r="39" spans="7:25" x14ac:dyDescent="0.15">
      <c r="G39" s="11">
        <v>38</v>
      </c>
      <c r="H39" t="s">
        <v>53</v>
      </c>
      <c r="I39" t="s">
        <v>21</v>
      </c>
      <c r="J39" t="s">
        <v>15</v>
      </c>
      <c r="K39" s="43">
        <v>1.09E-2</v>
      </c>
      <c r="L39" s="39">
        <v>-2.86E-2</v>
      </c>
      <c r="M39" s="39">
        <v>-9.9000000000000008E-3</v>
      </c>
      <c r="N39" s="43">
        <v>-4.7100000000000003E-2</v>
      </c>
      <c r="O39" s="39">
        <v>6.3100000000000003E-2</v>
      </c>
      <c r="P39" s="39">
        <v>6.8900000000000003E-2</v>
      </c>
      <c r="Q39" s="39">
        <v>0.28960000000000002</v>
      </c>
      <c r="R39" s="39">
        <v>0.28110000000000002</v>
      </c>
      <c r="S39" s="39">
        <v>1.1906000000000001</v>
      </c>
      <c r="T39">
        <v>9.76</v>
      </c>
      <c r="U39">
        <v>4.88</v>
      </c>
      <c r="V39">
        <v>46.34</v>
      </c>
      <c r="W39" s="17">
        <v>3107.4261350000002</v>
      </c>
      <c r="X39" s="83" t="s">
        <v>639</v>
      </c>
    </row>
    <row r="40" spans="7:25" x14ac:dyDescent="0.15">
      <c r="G40" s="11">
        <v>39</v>
      </c>
      <c r="H40" t="s">
        <v>177</v>
      </c>
      <c r="I40" t="s">
        <v>342</v>
      </c>
      <c r="J40" t="s">
        <v>15</v>
      </c>
      <c r="K40" s="43">
        <v>1.44E-2</v>
      </c>
      <c r="L40" s="39">
        <v>-1.84E-2</v>
      </c>
      <c r="M40" s="39">
        <v>-2.3E-3</v>
      </c>
      <c r="N40" s="43">
        <v>-4.3799999999999999E-2</v>
      </c>
      <c r="O40" s="39">
        <v>4.7500000000000001E-2</v>
      </c>
      <c r="P40" s="39">
        <v>2.69E-2</v>
      </c>
      <c r="Q40" s="39">
        <v>0.18579999999999999</v>
      </c>
      <c r="R40" s="39">
        <v>-4.7999999999999996E-3</v>
      </c>
      <c r="S40" s="39">
        <v>0.72409999999999997</v>
      </c>
      <c r="T40">
        <v>7.32</v>
      </c>
      <c r="U40">
        <v>7.32</v>
      </c>
      <c r="V40">
        <v>31.71</v>
      </c>
      <c r="W40" s="17">
        <v>1669.8385000000001</v>
      </c>
      <c r="X40" s="83" t="s">
        <v>639</v>
      </c>
    </row>
    <row r="41" spans="7:25" x14ac:dyDescent="0.15">
      <c r="G41" s="11">
        <v>40</v>
      </c>
      <c r="H41" t="s">
        <v>175</v>
      </c>
      <c r="I41" t="s">
        <v>338</v>
      </c>
      <c r="J41" t="s">
        <v>15</v>
      </c>
      <c r="K41" s="43">
        <v>1.3100000000000001E-2</v>
      </c>
      <c r="L41" s="39">
        <v>-2.46E-2</v>
      </c>
      <c r="M41" s="39">
        <v>-1.7399999999999999E-2</v>
      </c>
      <c r="N41" s="43">
        <v>-6.0900000000000003E-2</v>
      </c>
      <c r="O41" s="39">
        <v>5.8200000000000002E-2</v>
      </c>
      <c r="P41" s="39">
        <v>7.5800000000000006E-2</v>
      </c>
      <c r="Q41" s="39">
        <v>0.30919999999999997</v>
      </c>
      <c r="R41" s="39">
        <v>0.36330000000000001</v>
      </c>
      <c r="S41" s="39">
        <v>1.5003</v>
      </c>
      <c r="T41">
        <v>4.88</v>
      </c>
      <c r="U41">
        <v>2.44</v>
      </c>
      <c r="V41">
        <v>36.590000000000003</v>
      </c>
      <c r="W41" s="17">
        <v>514.80245509999997</v>
      </c>
    </row>
    <row r="42" spans="7:25" x14ac:dyDescent="0.15">
      <c r="G42" s="11">
        <v>41</v>
      </c>
      <c r="H42" t="s">
        <v>171</v>
      </c>
      <c r="I42" t="s">
        <v>343</v>
      </c>
      <c r="J42" t="s">
        <v>15</v>
      </c>
      <c r="K42" s="43">
        <v>1.9199999999999998E-2</v>
      </c>
      <c r="L42" s="39">
        <v>-6.0299999999999999E-2</v>
      </c>
      <c r="M42" s="39">
        <v>-6.7199999999999996E-2</v>
      </c>
      <c r="N42" s="43">
        <v>-3.9399999999999998E-2</v>
      </c>
      <c r="O42" s="39">
        <v>-0.13420000000000001</v>
      </c>
      <c r="P42" s="39">
        <v>-0.1326</v>
      </c>
      <c r="Q42" s="39">
        <v>3.2800000000000003E-2</v>
      </c>
      <c r="R42" s="39">
        <v>0.74439999999999995</v>
      </c>
      <c r="S42" s="39">
        <v>-0.46429999999999999</v>
      </c>
      <c r="T42">
        <v>2.44</v>
      </c>
      <c r="U42">
        <v>9.76</v>
      </c>
      <c r="V42">
        <v>21.95</v>
      </c>
      <c r="W42" s="17">
        <v>5776.7875999999997</v>
      </c>
      <c r="X42" s="83" t="s">
        <v>639</v>
      </c>
    </row>
  </sheetData>
  <autoFilter ref="F1:Y3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171450</xdr:colOff>
                    <xdr:row>1</xdr:row>
                    <xdr:rowOff>133350</xdr:rowOff>
                  </from>
                  <to>
                    <xdr:col>27</xdr:col>
                    <xdr:colOff>495300</xdr:colOff>
                    <xdr:row>4</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workbookViewId="0">
      <pane ySplit="1" topLeftCell="A2" activePane="bottomLeft" state="frozen"/>
      <selection pane="bottomLeft" activeCell="N14" sqref="N1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9" max="29" width="12.25" style="7" bestFit="1" customWidth="1"/>
  </cols>
  <sheetData>
    <row r="1" spans="1:31" s="18" customFormat="1" ht="60" customHeight="1" x14ac:dyDescent="0.15">
      <c r="A1" s="23" t="s">
        <v>52</v>
      </c>
      <c r="B1" s="19" t="s">
        <v>421</v>
      </c>
      <c r="C1" s="19" t="s">
        <v>422</v>
      </c>
      <c r="D1" s="19" t="s">
        <v>323</v>
      </c>
      <c r="E1" s="22"/>
      <c r="F1" s="23" t="s">
        <v>178</v>
      </c>
      <c r="G1" s="20"/>
      <c r="H1" s="45" t="s">
        <v>420</v>
      </c>
      <c r="I1" s="19" t="s">
        <v>423</v>
      </c>
      <c r="J1" s="18" t="s">
        <v>424</v>
      </c>
      <c r="K1" s="18" t="s">
        <v>425</v>
      </c>
      <c r="L1" s="18" t="s">
        <v>426</v>
      </c>
      <c r="M1" s="18" t="s">
        <v>427</v>
      </c>
      <c r="N1" s="46" t="s">
        <v>428</v>
      </c>
      <c r="O1" s="18" t="s">
        <v>429</v>
      </c>
      <c r="P1" s="46" t="s">
        <v>430</v>
      </c>
      <c r="Q1" s="18" t="s">
        <v>431</v>
      </c>
      <c r="R1" s="46" t="s">
        <v>432</v>
      </c>
      <c r="S1" s="18" t="s">
        <v>433</v>
      </c>
      <c r="T1" s="18" t="s">
        <v>434</v>
      </c>
      <c r="U1" s="46" t="s">
        <v>435</v>
      </c>
      <c r="V1" s="18" t="s">
        <v>436</v>
      </c>
      <c r="W1" s="46" t="s">
        <v>437</v>
      </c>
      <c r="X1" s="18" t="s">
        <v>28</v>
      </c>
      <c r="Y1" s="18" t="s">
        <v>438</v>
      </c>
      <c r="Z1" s="18" t="s">
        <v>439</v>
      </c>
      <c r="AA1" s="18" t="s">
        <v>440</v>
      </c>
      <c r="AB1" s="18" t="s">
        <v>441</v>
      </c>
      <c r="AC1" s="18" t="s">
        <v>442</v>
      </c>
      <c r="AE1" s="87" t="s">
        <v>604</v>
      </c>
    </row>
    <row r="2" spans="1:31" x14ac:dyDescent="0.15">
      <c r="A2">
        <v>1</v>
      </c>
      <c r="B2">
        <v>14</v>
      </c>
      <c r="C2" t="s">
        <v>573</v>
      </c>
      <c r="D2">
        <f>MATCH(B2,$H$2:$H$4000,0)</f>
        <v>77</v>
      </c>
      <c r="G2" s="11">
        <v>1</v>
      </c>
      <c r="H2" s="44">
        <v>600455</v>
      </c>
      <c r="I2" t="s">
        <v>443</v>
      </c>
      <c r="J2" s="17" t="s">
        <v>444</v>
      </c>
      <c r="K2" t="s">
        <v>445</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15">
      <c r="A3">
        <v>2</v>
      </c>
      <c r="B3">
        <v>2836</v>
      </c>
      <c r="C3" t="s">
        <v>603</v>
      </c>
      <c r="D3">
        <f t="shared" ref="D3:D11" si="0">MATCH(B3,$H$2:$H$4000,0)</f>
        <v>38</v>
      </c>
      <c r="G3" s="11">
        <v>2</v>
      </c>
      <c r="H3" s="44">
        <v>603860</v>
      </c>
      <c r="I3" t="s">
        <v>446</v>
      </c>
      <c r="J3" s="17" t="s">
        <v>447</v>
      </c>
      <c r="K3" t="s">
        <v>448</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15">
      <c r="A4">
        <v>3</v>
      </c>
      <c r="B4">
        <v>300371</v>
      </c>
      <c r="C4" t="s">
        <v>572</v>
      </c>
      <c r="D4">
        <f t="shared" si="0"/>
        <v>76</v>
      </c>
      <c r="G4" s="11">
        <v>3</v>
      </c>
      <c r="H4" s="44">
        <v>300789</v>
      </c>
      <c r="I4" t="s">
        <v>449</v>
      </c>
      <c r="J4" s="17" t="s">
        <v>197</v>
      </c>
      <c r="K4" t="s">
        <v>450</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15">
      <c r="A5">
        <v>4</v>
      </c>
      <c r="B5">
        <v>300564</v>
      </c>
      <c r="C5" t="s">
        <v>544</v>
      </c>
      <c r="D5">
        <f t="shared" si="0"/>
        <v>56</v>
      </c>
      <c r="G5" s="11">
        <v>4</v>
      </c>
      <c r="H5" s="44">
        <v>300899</v>
      </c>
      <c r="I5" t="s">
        <v>451</v>
      </c>
      <c r="J5" s="17" t="s">
        <v>452</v>
      </c>
      <c r="K5" t="s">
        <v>453</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15">
      <c r="A6">
        <v>5</v>
      </c>
      <c r="B6">
        <v>300789</v>
      </c>
      <c r="C6" t="s">
        <v>449</v>
      </c>
      <c r="D6">
        <f t="shared" si="0"/>
        <v>3</v>
      </c>
      <c r="G6" s="11">
        <v>5</v>
      </c>
      <c r="H6" s="44">
        <v>300929</v>
      </c>
      <c r="I6" t="s">
        <v>454</v>
      </c>
      <c r="J6" s="17" t="s">
        <v>452</v>
      </c>
      <c r="K6" t="s">
        <v>455</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15">
      <c r="A7">
        <v>6</v>
      </c>
      <c r="B7">
        <v>300972</v>
      </c>
      <c r="C7" t="s">
        <v>473</v>
      </c>
      <c r="D7">
        <f t="shared" si="0"/>
        <v>13</v>
      </c>
      <c r="G7" s="11">
        <v>6</v>
      </c>
      <c r="H7" s="44">
        <v>603813</v>
      </c>
      <c r="I7" t="s">
        <v>456</v>
      </c>
      <c r="J7" s="17" t="s">
        <v>457</v>
      </c>
      <c r="K7" t="s">
        <v>458</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15">
      <c r="A8">
        <v>8</v>
      </c>
      <c r="B8">
        <v>600083</v>
      </c>
      <c r="C8" t="s">
        <v>487</v>
      </c>
      <c r="D8">
        <f t="shared" si="0"/>
        <v>18</v>
      </c>
      <c r="G8" s="11">
        <v>7</v>
      </c>
      <c r="H8" s="44">
        <v>603269</v>
      </c>
      <c r="I8" t="s">
        <v>459</v>
      </c>
      <c r="J8" s="17" t="s">
        <v>460</v>
      </c>
      <c r="K8" t="s">
        <v>461</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15">
      <c r="A9">
        <v>9</v>
      </c>
      <c r="B9">
        <v>600319</v>
      </c>
      <c r="C9" t="s">
        <v>595</v>
      </c>
      <c r="D9">
        <f t="shared" si="0"/>
        <v>95</v>
      </c>
      <c r="G9" s="11">
        <v>8</v>
      </c>
      <c r="H9" s="44">
        <v>1211</v>
      </c>
      <c r="I9" t="s">
        <v>462</v>
      </c>
      <c r="J9" s="17" t="s">
        <v>463</v>
      </c>
      <c r="K9" t="s">
        <v>464</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15">
      <c r="A10">
        <v>10</v>
      </c>
      <c r="B10">
        <v>600455</v>
      </c>
      <c r="C10" t="s">
        <v>443</v>
      </c>
      <c r="D10">
        <f t="shared" si="0"/>
        <v>1</v>
      </c>
      <c r="G10" s="11">
        <v>9</v>
      </c>
      <c r="H10" s="44">
        <v>2830</v>
      </c>
      <c r="I10" t="s">
        <v>465</v>
      </c>
      <c r="J10" s="17" t="s">
        <v>447</v>
      </c>
      <c r="K10" t="s">
        <v>466</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15">
      <c r="A11">
        <v>11</v>
      </c>
      <c r="B11">
        <v>603037</v>
      </c>
      <c r="C11" t="s">
        <v>467</v>
      </c>
      <c r="D11">
        <f t="shared" si="0"/>
        <v>10</v>
      </c>
      <c r="G11" s="11">
        <v>10</v>
      </c>
      <c r="H11" s="44">
        <v>603037</v>
      </c>
      <c r="I11" t="s">
        <v>467</v>
      </c>
      <c r="J11" s="17" t="s">
        <v>468</v>
      </c>
      <c r="K11" t="s">
        <v>469</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15">
      <c r="G12" s="11">
        <v>11</v>
      </c>
      <c r="H12" s="44">
        <v>300823</v>
      </c>
      <c r="I12" t="s">
        <v>470</v>
      </c>
      <c r="J12" s="17" t="s">
        <v>460</v>
      </c>
      <c r="K12" t="s">
        <v>471</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15">
      <c r="G13" s="11">
        <v>12</v>
      </c>
      <c r="H13" s="44">
        <v>301079</v>
      </c>
      <c r="I13" t="s">
        <v>472</v>
      </c>
      <c r="J13" s="17" t="s">
        <v>460</v>
      </c>
      <c r="K13" t="s">
        <v>461</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15">
      <c r="G14" s="11">
        <v>13</v>
      </c>
      <c r="H14" s="44">
        <v>300972</v>
      </c>
      <c r="I14" t="s">
        <v>473</v>
      </c>
      <c r="J14" s="17" t="s">
        <v>474</v>
      </c>
      <c r="K14" t="s">
        <v>475</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15">
      <c r="G15" s="11">
        <v>14</v>
      </c>
      <c r="H15" s="44">
        <v>600883</v>
      </c>
      <c r="I15" t="s">
        <v>476</v>
      </c>
      <c r="J15" s="17" t="s">
        <v>477</v>
      </c>
      <c r="K15" t="s">
        <v>478</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15">
      <c r="G16" s="11">
        <v>15</v>
      </c>
      <c r="H16" s="44">
        <v>300923</v>
      </c>
      <c r="I16" t="s">
        <v>479</v>
      </c>
      <c r="J16" s="17" t="s">
        <v>460</v>
      </c>
      <c r="K16" t="s">
        <v>480</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15">
      <c r="G17" s="11">
        <v>16</v>
      </c>
      <c r="H17" s="44">
        <v>586</v>
      </c>
      <c r="I17" t="s">
        <v>481</v>
      </c>
      <c r="J17" s="17" t="s">
        <v>482</v>
      </c>
      <c r="K17" t="s">
        <v>483</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15">
      <c r="G18" s="11">
        <v>17</v>
      </c>
      <c r="H18" s="44">
        <v>691</v>
      </c>
      <c r="I18" t="s">
        <v>484</v>
      </c>
      <c r="J18" s="17" t="s">
        <v>485</v>
      </c>
      <c r="K18" t="s">
        <v>486</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15">
      <c r="G19" s="11">
        <v>18</v>
      </c>
      <c r="H19" s="44">
        <v>600083</v>
      </c>
      <c r="I19" t="s">
        <v>487</v>
      </c>
      <c r="J19" s="17" t="s">
        <v>488</v>
      </c>
      <c r="K19" t="s">
        <v>488</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15">
      <c r="G20" s="11">
        <v>19</v>
      </c>
      <c r="H20" s="44">
        <v>300826</v>
      </c>
      <c r="I20" t="s">
        <v>489</v>
      </c>
      <c r="J20" s="17" t="s">
        <v>447</v>
      </c>
      <c r="K20" t="s">
        <v>490</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15">
      <c r="G21" s="11">
        <v>20</v>
      </c>
      <c r="H21" s="44">
        <v>600493</v>
      </c>
      <c r="I21" t="s">
        <v>491</v>
      </c>
      <c r="J21" s="17" t="s">
        <v>492</v>
      </c>
      <c r="K21" t="s">
        <v>493</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15">
      <c r="G22" s="11">
        <v>21</v>
      </c>
      <c r="H22" s="44">
        <v>300854</v>
      </c>
      <c r="I22" t="s">
        <v>494</v>
      </c>
      <c r="J22" s="17" t="s">
        <v>452</v>
      </c>
      <c r="K22" t="s">
        <v>453</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15">
      <c r="G23" s="11">
        <v>22</v>
      </c>
      <c r="H23" s="44">
        <v>300626</v>
      </c>
      <c r="I23" t="s">
        <v>495</v>
      </c>
      <c r="J23" s="17" t="s">
        <v>496</v>
      </c>
      <c r="K23" t="s">
        <v>497</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15">
      <c r="G24" s="11">
        <v>23</v>
      </c>
      <c r="H24" s="44">
        <v>300717</v>
      </c>
      <c r="I24" t="s">
        <v>498</v>
      </c>
      <c r="J24" s="17" t="s">
        <v>499</v>
      </c>
      <c r="K24" t="s">
        <v>500</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15">
      <c r="G25" s="11">
        <v>24</v>
      </c>
      <c r="H25" s="44">
        <v>300669</v>
      </c>
      <c r="I25" t="s">
        <v>501</v>
      </c>
      <c r="J25" s="17" t="s">
        <v>460</v>
      </c>
      <c r="K25" t="s">
        <v>471</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15">
      <c r="G26" s="11">
        <v>25</v>
      </c>
      <c r="H26" s="44">
        <v>603320</v>
      </c>
      <c r="I26" t="s">
        <v>502</v>
      </c>
      <c r="J26" s="17" t="s">
        <v>496</v>
      </c>
      <c r="K26" t="s">
        <v>497</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15">
      <c r="G27" s="11">
        <v>26</v>
      </c>
      <c r="H27" s="44">
        <v>603196</v>
      </c>
      <c r="I27" t="s">
        <v>503</v>
      </c>
      <c r="J27" s="17" t="s">
        <v>492</v>
      </c>
      <c r="K27" t="s">
        <v>504</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15">
      <c r="G28" s="11">
        <v>27</v>
      </c>
      <c r="H28" s="44">
        <v>2193</v>
      </c>
      <c r="I28" t="s">
        <v>505</v>
      </c>
      <c r="J28" s="17" t="s">
        <v>492</v>
      </c>
      <c r="K28" t="s">
        <v>493</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15">
      <c r="G29" s="11">
        <v>28</v>
      </c>
      <c r="H29" s="44">
        <v>600137</v>
      </c>
      <c r="I29" t="s">
        <v>506</v>
      </c>
      <c r="J29" s="17" t="s">
        <v>492</v>
      </c>
      <c r="K29" t="s">
        <v>504</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15">
      <c r="G30" s="11">
        <v>29</v>
      </c>
      <c r="H30" s="44">
        <v>603316</v>
      </c>
      <c r="I30" t="s">
        <v>507</v>
      </c>
      <c r="J30" s="17" t="s">
        <v>447</v>
      </c>
      <c r="K30" t="s">
        <v>508</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15">
      <c r="G31" s="11">
        <v>30</v>
      </c>
      <c r="H31" s="44">
        <v>300992</v>
      </c>
      <c r="I31" t="s">
        <v>509</v>
      </c>
      <c r="J31" s="17" t="s">
        <v>460</v>
      </c>
      <c r="K31" t="s">
        <v>461</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15">
      <c r="G32" s="11">
        <v>31</v>
      </c>
      <c r="H32" s="44">
        <v>301156</v>
      </c>
      <c r="I32" t="s">
        <v>510</v>
      </c>
      <c r="J32" s="17" t="s">
        <v>474</v>
      </c>
      <c r="K32" t="s">
        <v>511</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15">
      <c r="G33" s="11">
        <v>32</v>
      </c>
      <c r="H33" s="44">
        <v>300535</v>
      </c>
      <c r="I33" t="s">
        <v>512</v>
      </c>
      <c r="J33" s="17" t="s">
        <v>499</v>
      </c>
      <c r="K33" t="s">
        <v>513</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15">
      <c r="G34" s="11">
        <v>33</v>
      </c>
      <c r="H34" s="44">
        <v>300106</v>
      </c>
      <c r="I34" t="s">
        <v>514</v>
      </c>
      <c r="J34" s="17" t="s">
        <v>474</v>
      </c>
      <c r="K34" t="s">
        <v>515</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15">
      <c r="G35" s="11">
        <v>34</v>
      </c>
      <c r="H35" s="44">
        <v>600539</v>
      </c>
      <c r="I35" t="s">
        <v>516</v>
      </c>
      <c r="J35" s="17" t="s">
        <v>463</v>
      </c>
      <c r="K35" t="s">
        <v>464</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15">
      <c r="G36" s="11">
        <v>35</v>
      </c>
      <c r="H36" s="44">
        <v>300948</v>
      </c>
      <c r="I36" t="s">
        <v>517</v>
      </c>
      <c r="J36" s="17" t="s">
        <v>447</v>
      </c>
      <c r="K36" t="s">
        <v>508</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15">
      <c r="G37" s="11">
        <v>36</v>
      </c>
      <c r="H37" s="44">
        <v>300606</v>
      </c>
      <c r="I37" t="s">
        <v>518</v>
      </c>
      <c r="J37" s="17" t="s">
        <v>460</v>
      </c>
      <c r="K37" t="s">
        <v>461</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15">
      <c r="G38" s="11">
        <v>37</v>
      </c>
      <c r="H38" s="44">
        <v>301070</v>
      </c>
      <c r="I38" t="s">
        <v>519</v>
      </c>
      <c r="J38" s="17" t="s">
        <v>460</v>
      </c>
      <c r="K38" t="s">
        <v>461</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15">
      <c r="G39" s="11">
        <v>38</v>
      </c>
      <c r="H39" s="44">
        <v>2836</v>
      </c>
      <c r="I39" t="s">
        <v>520</v>
      </c>
      <c r="J39" s="17" t="s">
        <v>463</v>
      </c>
      <c r="K39" t="s">
        <v>521</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15">
      <c r="G40" s="11">
        <v>39</v>
      </c>
      <c r="H40" s="44">
        <v>300743</v>
      </c>
      <c r="I40" t="s">
        <v>522</v>
      </c>
      <c r="J40" s="17" t="s">
        <v>499</v>
      </c>
      <c r="K40" t="s">
        <v>513</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15">
      <c r="G41" s="11">
        <v>40</v>
      </c>
      <c r="H41" s="44">
        <v>2357</v>
      </c>
      <c r="I41" t="s">
        <v>523</v>
      </c>
      <c r="J41" s="17" t="s">
        <v>457</v>
      </c>
      <c r="K41" t="s">
        <v>524</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15">
      <c r="G42" s="11">
        <v>41</v>
      </c>
      <c r="H42" s="44">
        <v>605155</v>
      </c>
      <c r="I42" t="s">
        <v>525</v>
      </c>
      <c r="J42" s="17" t="s">
        <v>499</v>
      </c>
      <c r="K42" t="s">
        <v>513</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15">
      <c r="G43" s="11">
        <v>42</v>
      </c>
      <c r="H43" s="44">
        <v>300984</v>
      </c>
      <c r="I43" t="s">
        <v>526</v>
      </c>
      <c r="J43" s="17" t="s">
        <v>460</v>
      </c>
      <c r="K43" t="s">
        <v>461</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15">
      <c r="G44" s="11">
        <v>43</v>
      </c>
      <c r="H44" s="44">
        <v>300906</v>
      </c>
      <c r="I44" t="s">
        <v>527</v>
      </c>
      <c r="J44" s="17" t="s">
        <v>460</v>
      </c>
      <c r="K44" t="s">
        <v>480</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15">
      <c r="G45" s="11">
        <v>44</v>
      </c>
      <c r="H45" s="44">
        <v>300897</v>
      </c>
      <c r="I45" t="s">
        <v>528</v>
      </c>
      <c r="J45" s="17" t="s">
        <v>460</v>
      </c>
      <c r="K45" t="s">
        <v>529</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15">
      <c r="G46" s="11">
        <v>45</v>
      </c>
      <c r="H46" s="44">
        <v>605081</v>
      </c>
      <c r="I46" t="s">
        <v>530</v>
      </c>
      <c r="J46" s="17" t="s">
        <v>447</v>
      </c>
      <c r="K46" t="s">
        <v>508</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15">
      <c r="G47" s="11">
        <v>46</v>
      </c>
      <c r="H47" s="44">
        <v>301098</v>
      </c>
      <c r="I47" t="s">
        <v>531</v>
      </c>
      <c r="J47" s="17" t="s">
        <v>447</v>
      </c>
      <c r="K47" t="s">
        <v>508</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15">
      <c r="G48" s="11">
        <v>47</v>
      </c>
      <c r="H48" s="44">
        <v>301125</v>
      </c>
      <c r="I48" t="s">
        <v>532</v>
      </c>
      <c r="J48" s="17" t="s">
        <v>460</v>
      </c>
      <c r="K48" t="s">
        <v>461</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15">
      <c r="G49" s="11">
        <v>48</v>
      </c>
      <c r="H49" s="44">
        <v>301178</v>
      </c>
      <c r="I49" t="s">
        <v>533</v>
      </c>
      <c r="J49" s="17" t="s">
        <v>197</v>
      </c>
      <c r="K49" t="s">
        <v>534</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15">
      <c r="G50" s="11">
        <v>49</v>
      </c>
      <c r="H50" s="44">
        <v>2899</v>
      </c>
      <c r="I50" t="s">
        <v>535</v>
      </c>
      <c r="J50" s="17" t="s">
        <v>463</v>
      </c>
      <c r="K50" t="s">
        <v>464</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15">
      <c r="G51" s="11">
        <v>50</v>
      </c>
      <c r="H51" s="44">
        <v>301043</v>
      </c>
      <c r="I51" t="s">
        <v>536</v>
      </c>
      <c r="J51" s="17" t="s">
        <v>460</v>
      </c>
      <c r="K51" t="s">
        <v>461</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15">
      <c r="G52" s="11">
        <v>51</v>
      </c>
      <c r="H52" s="44">
        <v>1209</v>
      </c>
      <c r="I52" t="s">
        <v>537</v>
      </c>
      <c r="J52" s="17" t="s">
        <v>492</v>
      </c>
      <c r="K52" t="s">
        <v>504</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15">
      <c r="G53" s="11">
        <v>52</v>
      </c>
      <c r="H53" s="44">
        <v>603829</v>
      </c>
      <c r="I53" t="s">
        <v>538</v>
      </c>
      <c r="J53" s="17" t="s">
        <v>496</v>
      </c>
      <c r="K53" t="s">
        <v>539</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15">
      <c r="G54" s="11">
        <v>53</v>
      </c>
      <c r="H54" s="44">
        <v>603580</v>
      </c>
      <c r="I54" t="s">
        <v>540</v>
      </c>
      <c r="J54" s="17" t="s">
        <v>499</v>
      </c>
      <c r="K54" t="s">
        <v>500</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15">
      <c r="G55" s="11">
        <v>54</v>
      </c>
      <c r="H55" s="44">
        <v>603080</v>
      </c>
      <c r="I55" t="s">
        <v>541</v>
      </c>
      <c r="J55" s="17" t="s">
        <v>452</v>
      </c>
      <c r="K55" t="s">
        <v>542</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15">
      <c r="G56" s="11">
        <v>55</v>
      </c>
      <c r="H56" s="44">
        <v>300521</v>
      </c>
      <c r="I56" t="s">
        <v>543</v>
      </c>
      <c r="J56" s="17" t="s">
        <v>460</v>
      </c>
      <c r="K56" t="s">
        <v>471</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15">
      <c r="G57" s="11">
        <v>56</v>
      </c>
      <c r="H57" s="44">
        <v>300564</v>
      </c>
      <c r="I57" t="s">
        <v>544</v>
      </c>
      <c r="J57" s="17" t="s">
        <v>447</v>
      </c>
      <c r="K57" t="s">
        <v>545</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15">
      <c r="G58" s="11">
        <v>57</v>
      </c>
      <c r="H58" s="44">
        <v>300235</v>
      </c>
      <c r="I58" t="s">
        <v>546</v>
      </c>
      <c r="J58" s="17" t="s">
        <v>197</v>
      </c>
      <c r="K58" t="s">
        <v>534</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15">
      <c r="G59" s="11">
        <v>58</v>
      </c>
      <c r="H59" s="44">
        <v>2893</v>
      </c>
      <c r="I59" t="s">
        <v>547</v>
      </c>
      <c r="J59" s="17" t="s">
        <v>452</v>
      </c>
      <c r="K59" t="s">
        <v>548</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15">
      <c r="G60" s="11">
        <v>59</v>
      </c>
      <c r="H60" s="44">
        <v>301022</v>
      </c>
      <c r="I60" t="s">
        <v>549</v>
      </c>
      <c r="J60" s="17" t="s">
        <v>468</v>
      </c>
      <c r="K60" t="s">
        <v>469</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15">
      <c r="G61" s="11">
        <v>60</v>
      </c>
      <c r="H61" s="44">
        <v>2767</v>
      </c>
      <c r="I61" t="s">
        <v>550</v>
      </c>
      <c r="J61" s="17" t="s">
        <v>496</v>
      </c>
      <c r="K61" t="s">
        <v>551</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15">
      <c r="G62" s="11">
        <v>61</v>
      </c>
      <c r="H62" s="44">
        <v>301167</v>
      </c>
      <c r="I62" t="s">
        <v>552</v>
      </c>
      <c r="J62" s="17" t="s">
        <v>447</v>
      </c>
      <c r="K62" t="s">
        <v>545</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15">
      <c r="G63" s="11">
        <v>62</v>
      </c>
      <c r="H63" s="44">
        <v>300920</v>
      </c>
      <c r="I63" t="s">
        <v>553</v>
      </c>
      <c r="J63" s="17" t="s">
        <v>499</v>
      </c>
      <c r="K63" t="s">
        <v>500</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15">
      <c r="G64" s="11">
        <v>63</v>
      </c>
      <c r="H64" s="44">
        <v>300022</v>
      </c>
      <c r="I64" t="s">
        <v>554</v>
      </c>
      <c r="J64" s="17" t="s">
        <v>555</v>
      </c>
      <c r="K64" t="s">
        <v>556</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15">
      <c r="G65" s="11">
        <v>64</v>
      </c>
      <c r="H65" s="44">
        <v>300644</v>
      </c>
      <c r="I65" t="s">
        <v>557</v>
      </c>
      <c r="J65" s="17" t="s">
        <v>499</v>
      </c>
      <c r="K65" t="s">
        <v>500</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15">
      <c r="G66" s="11">
        <v>65</v>
      </c>
      <c r="H66" s="44">
        <v>2144</v>
      </c>
      <c r="I66" t="s">
        <v>558</v>
      </c>
      <c r="J66" s="17" t="s">
        <v>492</v>
      </c>
      <c r="K66" t="s">
        <v>493</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15">
      <c r="G67" s="11">
        <v>66</v>
      </c>
      <c r="H67" s="44">
        <v>300995</v>
      </c>
      <c r="I67" t="s">
        <v>559</v>
      </c>
      <c r="J67" s="17" t="s">
        <v>499</v>
      </c>
      <c r="K67" t="s">
        <v>500</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15">
      <c r="G68" s="11">
        <v>67</v>
      </c>
      <c r="H68" s="44">
        <v>301007</v>
      </c>
      <c r="I68" t="s">
        <v>560</v>
      </c>
      <c r="J68" s="17" t="s">
        <v>468</v>
      </c>
      <c r="K68" t="s">
        <v>469</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15">
      <c r="G69" s="11">
        <v>68</v>
      </c>
      <c r="H69" s="44">
        <v>300621</v>
      </c>
      <c r="I69" t="s">
        <v>561</v>
      </c>
      <c r="J69" s="17" t="s">
        <v>447</v>
      </c>
      <c r="K69" t="s">
        <v>466</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15">
      <c r="G70" s="11">
        <v>69</v>
      </c>
      <c r="H70" s="44">
        <v>301231</v>
      </c>
      <c r="I70" t="s">
        <v>562</v>
      </c>
      <c r="J70" s="17" t="s">
        <v>444</v>
      </c>
      <c r="K70" t="s">
        <v>445</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15">
      <c r="G71" s="11">
        <v>70</v>
      </c>
      <c r="H71" s="44">
        <v>300321</v>
      </c>
      <c r="I71" t="s">
        <v>563</v>
      </c>
      <c r="J71" s="17" t="s">
        <v>499</v>
      </c>
      <c r="K71" t="s">
        <v>500</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15">
      <c r="G72" s="11">
        <v>71</v>
      </c>
      <c r="H72" s="44">
        <v>301233</v>
      </c>
      <c r="I72" t="s">
        <v>564</v>
      </c>
      <c r="J72" s="17" t="s">
        <v>468</v>
      </c>
      <c r="K72" t="s">
        <v>469</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15">
      <c r="G73" s="11">
        <v>72</v>
      </c>
      <c r="H73" s="44">
        <v>2890</v>
      </c>
      <c r="I73" t="s">
        <v>565</v>
      </c>
      <c r="J73" s="17" t="s">
        <v>460</v>
      </c>
      <c r="K73" t="s">
        <v>471</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15">
      <c r="G74" s="11">
        <v>73</v>
      </c>
      <c r="H74" s="44">
        <v>603685</v>
      </c>
      <c r="I74" t="s">
        <v>566</v>
      </c>
      <c r="J74" s="17" t="s">
        <v>567</v>
      </c>
      <c r="K74" t="s">
        <v>568</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15">
      <c r="G75" s="11">
        <v>74</v>
      </c>
      <c r="H75" s="44">
        <v>600678</v>
      </c>
      <c r="I75" t="s">
        <v>569</v>
      </c>
      <c r="J75" s="17" t="s">
        <v>477</v>
      </c>
      <c r="K75" t="s">
        <v>570</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15">
      <c r="G76" s="11">
        <v>75</v>
      </c>
      <c r="H76" s="44">
        <v>301052</v>
      </c>
      <c r="I76" t="s">
        <v>571</v>
      </c>
      <c r="J76" s="17" t="s">
        <v>444</v>
      </c>
      <c r="K76" t="s">
        <v>445</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15">
      <c r="G77" s="11">
        <v>76</v>
      </c>
      <c r="H77" s="44">
        <v>300371</v>
      </c>
      <c r="I77" t="s">
        <v>572</v>
      </c>
      <c r="J77" s="17" t="s">
        <v>460</v>
      </c>
      <c r="K77" t="s">
        <v>529</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15">
      <c r="G78" s="11">
        <v>77</v>
      </c>
      <c r="H78" s="44">
        <v>14</v>
      </c>
      <c r="I78" t="s">
        <v>573</v>
      </c>
      <c r="J78" s="17" t="s">
        <v>485</v>
      </c>
      <c r="K78" t="s">
        <v>486</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15">
      <c r="G79" s="11">
        <v>78</v>
      </c>
      <c r="H79" s="44">
        <v>2295</v>
      </c>
      <c r="I79" t="s">
        <v>574</v>
      </c>
      <c r="J79" s="17" t="s">
        <v>188</v>
      </c>
      <c r="K79" t="s">
        <v>575</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15">
      <c r="G80" s="11">
        <v>79</v>
      </c>
      <c r="H80" s="44">
        <v>605298</v>
      </c>
      <c r="I80" t="s">
        <v>576</v>
      </c>
      <c r="J80" s="17" t="s">
        <v>460</v>
      </c>
      <c r="K80" t="s">
        <v>480</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15">
      <c r="G81" s="11">
        <v>80</v>
      </c>
      <c r="H81" s="44">
        <v>605318</v>
      </c>
      <c r="I81" t="s">
        <v>577</v>
      </c>
      <c r="J81" s="17" t="s">
        <v>477</v>
      </c>
      <c r="K81" t="s">
        <v>570</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15">
      <c r="G82" s="11">
        <v>81</v>
      </c>
      <c r="H82" s="44">
        <v>600689</v>
      </c>
      <c r="I82" t="s">
        <v>578</v>
      </c>
      <c r="J82" s="17" t="s">
        <v>492</v>
      </c>
      <c r="K82" t="s">
        <v>493</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15">
      <c r="G83" s="11">
        <v>82</v>
      </c>
      <c r="H83" s="44">
        <v>300635</v>
      </c>
      <c r="I83" t="s">
        <v>579</v>
      </c>
      <c r="J83" s="17" t="s">
        <v>447</v>
      </c>
      <c r="K83" t="s">
        <v>490</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15">
      <c r="G84" s="11">
        <v>83</v>
      </c>
      <c r="H84" s="44">
        <v>300947</v>
      </c>
      <c r="I84" t="s">
        <v>580</v>
      </c>
      <c r="J84" s="17" t="s">
        <v>555</v>
      </c>
      <c r="K84" t="s">
        <v>581</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15">
      <c r="G85" s="11">
        <v>84</v>
      </c>
      <c r="H85" s="44">
        <v>300778</v>
      </c>
      <c r="I85" t="s">
        <v>582</v>
      </c>
      <c r="J85" s="17" t="s">
        <v>447</v>
      </c>
      <c r="K85" t="s">
        <v>545</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15">
      <c r="G86" s="11">
        <v>85</v>
      </c>
      <c r="H86" s="44">
        <v>300886</v>
      </c>
      <c r="I86" t="s">
        <v>583</v>
      </c>
      <c r="J86" s="17" t="s">
        <v>499</v>
      </c>
      <c r="K86" t="s">
        <v>513</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15">
      <c r="G87" s="11">
        <v>86</v>
      </c>
      <c r="H87" s="44">
        <v>300637</v>
      </c>
      <c r="I87" t="s">
        <v>584</v>
      </c>
      <c r="J87" s="17" t="s">
        <v>499</v>
      </c>
      <c r="K87" t="s">
        <v>513</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15">
      <c r="G88" s="11">
        <v>87</v>
      </c>
      <c r="H88" s="44">
        <v>301045</v>
      </c>
      <c r="I88" t="s">
        <v>585</v>
      </c>
      <c r="J88" s="17" t="s">
        <v>567</v>
      </c>
      <c r="K88" t="s">
        <v>568</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15">
      <c r="G89" s="11">
        <v>88</v>
      </c>
      <c r="H89" s="44">
        <v>603637</v>
      </c>
      <c r="I89" t="s">
        <v>586</v>
      </c>
      <c r="J89" s="17" t="s">
        <v>447</v>
      </c>
      <c r="K89" t="s">
        <v>490</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15">
      <c r="G90" s="11">
        <v>89</v>
      </c>
      <c r="H90" s="44">
        <v>300970</v>
      </c>
      <c r="I90" t="s">
        <v>587</v>
      </c>
      <c r="J90" s="17" t="s">
        <v>474</v>
      </c>
      <c r="K90" t="s">
        <v>475</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15">
      <c r="G91" s="11">
        <v>90</v>
      </c>
      <c r="H91" s="44">
        <v>3017</v>
      </c>
      <c r="I91" t="s">
        <v>588</v>
      </c>
      <c r="J91" s="17" t="s">
        <v>499</v>
      </c>
      <c r="K91" t="s">
        <v>589</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15">
      <c r="G92" s="11">
        <v>91</v>
      </c>
      <c r="H92" s="44">
        <v>301131</v>
      </c>
      <c r="I92" t="s">
        <v>590</v>
      </c>
      <c r="J92" s="17" t="s">
        <v>499</v>
      </c>
      <c r="K92" t="s">
        <v>500</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15">
      <c r="G93" s="11">
        <v>92</v>
      </c>
      <c r="H93" s="44">
        <v>300991</v>
      </c>
      <c r="I93" t="s">
        <v>591</v>
      </c>
      <c r="J93" s="17" t="s">
        <v>567</v>
      </c>
      <c r="K93" t="s">
        <v>592</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15">
      <c r="G94" s="11">
        <v>93</v>
      </c>
      <c r="H94" s="44">
        <v>2921</v>
      </c>
      <c r="I94" t="s">
        <v>593</v>
      </c>
      <c r="J94" s="17" t="s">
        <v>468</v>
      </c>
      <c r="K94" t="s">
        <v>469</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15">
      <c r="G95" s="11">
        <v>94</v>
      </c>
      <c r="H95" s="44">
        <v>300851</v>
      </c>
      <c r="I95" t="s">
        <v>594</v>
      </c>
      <c r="J95" s="17" t="s">
        <v>460</v>
      </c>
      <c r="K95" t="s">
        <v>480</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15">
      <c r="G96" s="11">
        <v>95</v>
      </c>
      <c r="H96" s="44">
        <v>600319</v>
      </c>
      <c r="I96" t="s">
        <v>595</v>
      </c>
      <c r="J96" s="17" t="s">
        <v>499</v>
      </c>
      <c r="K96" t="s">
        <v>589</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15">
      <c r="G97" s="11">
        <v>96</v>
      </c>
      <c r="H97" s="44">
        <v>301041</v>
      </c>
      <c r="I97" t="s">
        <v>596</v>
      </c>
      <c r="J97" s="17" t="s">
        <v>567</v>
      </c>
      <c r="K97" t="s">
        <v>597</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15">
      <c r="G98" s="11">
        <v>97</v>
      </c>
      <c r="H98" s="44">
        <v>300597</v>
      </c>
      <c r="I98" t="s">
        <v>598</v>
      </c>
      <c r="J98" s="17" t="s">
        <v>482</v>
      </c>
      <c r="K98" t="s">
        <v>483</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15">
      <c r="G99" s="11">
        <v>98</v>
      </c>
      <c r="H99" s="44">
        <v>301183</v>
      </c>
      <c r="I99" t="s">
        <v>599</v>
      </c>
      <c r="J99" s="17" t="s">
        <v>567</v>
      </c>
      <c r="K99" t="s">
        <v>568</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15">
      <c r="G100" s="11">
        <v>99</v>
      </c>
      <c r="H100" s="44">
        <v>715</v>
      </c>
      <c r="I100" t="s">
        <v>600</v>
      </c>
      <c r="J100" s="17" t="s">
        <v>555</v>
      </c>
      <c r="K100" t="s">
        <v>601</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15">
      <c r="G101" s="11">
        <v>100</v>
      </c>
      <c r="H101" s="44">
        <v>1210</v>
      </c>
      <c r="I101" t="s">
        <v>602</v>
      </c>
      <c r="J101" s="17" t="s">
        <v>452</v>
      </c>
      <c r="K101" t="s">
        <v>548</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N17" sqref="N17"/>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57.75" customHeight="1" x14ac:dyDescent="0.15">
      <c r="A1" s="23" t="s">
        <v>52</v>
      </c>
      <c r="B1" s="19" t="s">
        <v>421</v>
      </c>
      <c r="C1" s="19" t="s">
        <v>422</v>
      </c>
      <c r="D1" s="19" t="s">
        <v>323</v>
      </c>
      <c r="E1" s="22"/>
      <c r="F1" s="23" t="s">
        <v>178</v>
      </c>
      <c r="G1" s="20"/>
      <c r="H1" s="86" t="s">
        <v>420</v>
      </c>
      <c r="I1" s="86" t="s">
        <v>423</v>
      </c>
      <c r="J1" s="86" t="s">
        <v>424</v>
      </c>
      <c r="K1" s="86" t="s">
        <v>425</v>
      </c>
      <c r="L1" s="86" t="s">
        <v>426</v>
      </c>
      <c r="M1" s="86" t="s">
        <v>427</v>
      </c>
      <c r="N1" s="86" t="s">
        <v>428</v>
      </c>
      <c r="O1" s="86" t="s">
        <v>659</v>
      </c>
      <c r="P1" s="86" t="s">
        <v>660</v>
      </c>
      <c r="Q1" s="86" t="s">
        <v>434</v>
      </c>
      <c r="R1" s="86" t="s">
        <v>661</v>
      </c>
      <c r="S1" s="86" t="s">
        <v>662</v>
      </c>
      <c r="T1" s="86" t="s">
        <v>663</v>
      </c>
      <c r="U1" s="86" t="s">
        <v>664</v>
      </c>
      <c r="V1" s="86" t="s">
        <v>28</v>
      </c>
      <c r="W1" s="86" t="s">
        <v>665</v>
      </c>
      <c r="X1" s="86" t="s">
        <v>666</v>
      </c>
      <c r="Y1" s="18" t="s">
        <v>442</v>
      </c>
      <c r="AA1" s="87" t="s">
        <v>658</v>
      </c>
    </row>
    <row r="2" spans="1:27" x14ac:dyDescent="0.15">
      <c r="A2">
        <v>1</v>
      </c>
      <c r="B2">
        <v>600704</v>
      </c>
      <c r="C2" t="s">
        <v>811</v>
      </c>
      <c r="D2" t="e">
        <f t="shared" ref="D2:D11" si="0">MATCH(B2,$H$2:$H$3898,0)</f>
        <v>#N/A</v>
      </c>
      <c r="G2" s="11">
        <v>1</v>
      </c>
      <c r="H2" s="84">
        <v>603071</v>
      </c>
      <c r="I2" s="84" t="s">
        <v>667</v>
      </c>
      <c r="J2" s="84" t="s">
        <v>452</v>
      </c>
      <c r="K2" s="84" t="s">
        <v>548</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15">
      <c r="A3">
        <v>2</v>
      </c>
      <c r="B3">
        <v>601319</v>
      </c>
      <c r="C3" t="s">
        <v>684</v>
      </c>
      <c r="D3">
        <f t="shared" si="0"/>
        <v>13</v>
      </c>
      <c r="G3" s="11">
        <v>2</v>
      </c>
      <c r="H3" s="84">
        <v>600998</v>
      </c>
      <c r="I3" s="84" t="s">
        <v>668</v>
      </c>
      <c r="J3" s="84" t="s">
        <v>669</v>
      </c>
      <c r="K3" s="84" t="s">
        <v>670</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15">
      <c r="A4">
        <v>3</v>
      </c>
      <c r="B4">
        <v>601618</v>
      </c>
      <c r="C4" t="s">
        <v>679</v>
      </c>
      <c r="D4">
        <f t="shared" si="0"/>
        <v>8</v>
      </c>
      <c r="G4" s="11">
        <v>3</v>
      </c>
      <c r="H4" s="84">
        <v>600073</v>
      </c>
      <c r="I4" s="84" t="s">
        <v>671</v>
      </c>
      <c r="J4" s="84" t="s">
        <v>672</v>
      </c>
      <c r="K4" s="84" t="s">
        <v>673</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15">
      <c r="A5">
        <v>4</v>
      </c>
      <c r="B5">
        <v>600713</v>
      </c>
      <c r="C5" t="s">
        <v>680</v>
      </c>
      <c r="D5">
        <f t="shared" si="0"/>
        <v>9</v>
      </c>
      <c r="G5" s="11">
        <v>4</v>
      </c>
      <c r="H5" s="84">
        <v>600362</v>
      </c>
      <c r="I5" s="84" t="s">
        <v>674</v>
      </c>
      <c r="J5" s="84" t="s">
        <v>188</v>
      </c>
      <c r="K5" s="84" t="s">
        <v>575</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15">
      <c r="A6">
        <v>5</v>
      </c>
      <c r="B6">
        <v>600362</v>
      </c>
      <c r="C6" t="s">
        <v>674</v>
      </c>
      <c r="D6">
        <f t="shared" si="0"/>
        <v>4</v>
      </c>
      <c r="G6" s="11">
        <v>5</v>
      </c>
      <c r="H6" s="84">
        <v>600820</v>
      </c>
      <c r="I6" s="84" t="s">
        <v>675</v>
      </c>
      <c r="J6" s="84" t="s">
        <v>447</v>
      </c>
      <c r="K6" s="84" t="s">
        <v>448</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15">
      <c r="A7">
        <v>6</v>
      </c>
      <c r="B7">
        <v>2042</v>
      </c>
      <c r="C7" t="s">
        <v>812</v>
      </c>
      <c r="D7" t="e">
        <f t="shared" si="0"/>
        <v>#N/A</v>
      </c>
      <c r="G7" s="11">
        <v>6</v>
      </c>
      <c r="H7" s="84">
        <v>601607</v>
      </c>
      <c r="I7" s="84" t="s">
        <v>676</v>
      </c>
      <c r="J7" s="84" t="s">
        <v>669</v>
      </c>
      <c r="K7" s="84" t="s">
        <v>670</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15">
      <c r="A8">
        <v>7</v>
      </c>
      <c r="B8">
        <v>600710</v>
      </c>
      <c r="C8" t="s">
        <v>681</v>
      </c>
      <c r="D8">
        <f t="shared" si="0"/>
        <v>10</v>
      </c>
      <c r="G8" s="11">
        <v>7</v>
      </c>
      <c r="H8" s="84">
        <v>600755</v>
      </c>
      <c r="I8" s="84" t="s">
        <v>677</v>
      </c>
      <c r="J8" s="84" t="s">
        <v>555</v>
      </c>
      <c r="K8" s="84" t="s">
        <v>678</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15">
      <c r="A9">
        <v>8</v>
      </c>
      <c r="B9">
        <v>601186</v>
      </c>
      <c r="C9" t="s">
        <v>699</v>
      </c>
      <c r="D9">
        <f t="shared" si="0"/>
        <v>23</v>
      </c>
      <c r="G9" s="11">
        <v>8</v>
      </c>
      <c r="H9" s="84">
        <v>601618</v>
      </c>
      <c r="I9" s="84" t="s">
        <v>679</v>
      </c>
      <c r="J9" s="84" t="s">
        <v>447</v>
      </c>
      <c r="K9" s="84" t="s">
        <v>490</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15">
      <c r="A10">
        <v>9</v>
      </c>
      <c r="B10">
        <v>603071</v>
      </c>
      <c r="C10" t="s">
        <v>667</v>
      </c>
      <c r="D10">
        <f t="shared" si="0"/>
        <v>1</v>
      </c>
      <c r="G10" s="11">
        <v>9</v>
      </c>
      <c r="H10" s="84">
        <v>600713</v>
      </c>
      <c r="I10" s="84" t="s">
        <v>680</v>
      </c>
      <c r="J10" s="84" t="s">
        <v>669</v>
      </c>
      <c r="K10" s="84" t="s">
        <v>670</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15">
      <c r="A11">
        <v>10</v>
      </c>
      <c r="B11">
        <v>600820</v>
      </c>
      <c r="C11" t="s">
        <v>675</v>
      </c>
      <c r="D11">
        <f t="shared" si="0"/>
        <v>5</v>
      </c>
      <c r="G11" s="11">
        <v>10</v>
      </c>
      <c r="H11" s="84">
        <v>600710</v>
      </c>
      <c r="I11" s="84" t="s">
        <v>681</v>
      </c>
      <c r="J11" s="84" t="s">
        <v>555</v>
      </c>
      <c r="K11" s="84" t="s">
        <v>678</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15">
      <c r="G12" s="11">
        <v>11</v>
      </c>
      <c r="H12" s="84">
        <v>600133</v>
      </c>
      <c r="I12" s="84" t="s">
        <v>682</v>
      </c>
      <c r="J12" s="84" t="s">
        <v>447</v>
      </c>
      <c r="K12" s="84" t="s">
        <v>448</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15">
      <c r="G13" s="11">
        <v>12</v>
      </c>
      <c r="H13" s="84">
        <v>2788</v>
      </c>
      <c r="I13" s="84" t="s">
        <v>683</v>
      </c>
      <c r="J13" s="84" t="s">
        <v>669</v>
      </c>
      <c r="K13" s="84" t="s">
        <v>670</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15">
      <c r="G14" s="11">
        <v>13</v>
      </c>
      <c r="H14" s="84">
        <v>601319</v>
      </c>
      <c r="I14" s="84" t="s">
        <v>684</v>
      </c>
      <c r="J14" s="84" t="s">
        <v>685</v>
      </c>
      <c r="K14" s="84" t="s">
        <v>686</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15">
      <c r="G15" s="11">
        <v>14</v>
      </c>
      <c r="H15" s="84">
        <v>600741</v>
      </c>
      <c r="I15" s="84" t="s">
        <v>687</v>
      </c>
      <c r="J15" s="84" t="s">
        <v>468</v>
      </c>
      <c r="K15" s="84" t="s">
        <v>469</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15">
      <c r="G16" s="11">
        <v>15</v>
      </c>
      <c r="H16" s="84">
        <v>878</v>
      </c>
      <c r="I16" s="84" t="s">
        <v>688</v>
      </c>
      <c r="J16" s="84" t="s">
        <v>188</v>
      </c>
      <c r="K16" s="84" t="s">
        <v>575</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15">
      <c r="G17" s="11">
        <v>16</v>
      </c>
      <c r="H17" s="84">
        <v>906</v>
      </c>
      <c r="I17" s="84" t="s">
        <v>689</v>
      </c>
      <c r="J17" s="84" t="s">
        <v>457</v>
      </c>
      <c r="K17" s="84" t="s">
        <v>458</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15">
      <c r="G18" s="11">
        <v>17</v>
      </c>
      <c r="H18" s="84">
        <v>605599</v>
      </c>
      <c r="I18" s="84" t="s">
        <v>690</v>
      </c>
      <c r="J18" s="84" t="s">
        <v>463</v>
      </c>
      <c r="K18" s="84" t="s">
        <v>464</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15">
      <c r="G19" s="11">
        <v>18</v>
      </c>
      <c r="H19" s="84">
        <v>600967</v>
      </c>
      <c r="I19" s="84" t="s">
        <v>691</v>
      </c>
      <c r="J19" s="84" t="s">
        <v>692</v>
      </c>
      <c r="K19" s="84" t="s">
        <v>693</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15">
      <c r="G20" s="11">
        <v>19</v>
      </c>
      <c r="H20" s="84">
        <v>600057</v>
      </c>
      <c r="I20" s="84" t="s">
        <v>694</v>
      </c>
      <c r="J20" s="84" t="s">
        <v>457</v>
      </c>
      <c r="K20" s="84" t="s">
        <v>458</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15">
      <c r="G21" s="11">
        <v>20</v>
      </c>
      <c r="H21" s="84">
        <v>601766</v>
      </c>
      <c r="I21" s="84" t="s">
        <v>695</v>
      </c>
      <c r="J21" s="84" t="s">
        <v>460</v>
      </c>
      <c r="K21" s="84" t="s">
        <v>480</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15">
      <c r="G22" s="11">
        <v>21</v>
      </c>
      <c r="H22" s="84">
        <v>600015</v>
      </c>
      <c r="I22" s="84" t="s">
        <v>696</v>
      </c>
      <c r="J22" s="84" t="s">
        <v>697</v>
      </c>
      <c r="K22" s="84" t="s">
        <v>697</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15">
      <c r="G23" s="11">
        <v>22</v>
      </c>
      <c r="H23" s="84">
        <v>601916</v>
      </c>
      <c r="I23" s="84" t="s">
        <v>698</v>
      </c>
      <c r="J23" s="84" t="s">
        <v>697</v>
      </c>
      <c r="K23" s="84" t="s">
        <v>697</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15">
      <c r="G24" s="11">
        <v>23</v>
      </c>
      <c r="H24" s="84">
        <v>601186</v>
      </c>
      <c r="I24" s="84" t="s">
        <v>699</v>
      </c>
      <c r="J24" s="84" t="s">
        <v>447</v>
      </c>
      <c r="K24" s="84" t="s">
        <v>448</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15">
      <c r="G25" s="11">
        <v>24</v>
      </c>
      <c r="H25" s="84">
        <v>600098</v>
      </c>
      <c r="I25" s="84" t="s">
        <v>700</v>
      </c>
      <c r="J25" s="84" t="s">
        <v>452</v>
      </c>
      <c r="K25" s="84" t="s">
        <v>548</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15">
      <c r="G26" s="11">
        <v>25</v>
      </c>
      <c r="H26" s="84">
        <v>600612</v>
      </c>
      <c r="I26" s="84" t="s">
        <v>701</v>
      </c>
      <c r="J26" s="84" t="s">
        <v>463</v>
      </c>
      <c r="K26" s="84" t="s">
        <v>464</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15">
      <c r="G27" s="11">
        <v>26</v>
      </c>
      <c r="H27" s="84">
        <v>2091</v>
      </c>
      <c r="I27" s="84" t="s">
        <v>702</v>
      </c>
      <c r="J27" s="84" t="s">
        <v>555</v>
      </c>
      <c r="K27" s="84" t="s">
        <v>678</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15">
      <c r="G28" s="11">
        <v>27</v>
      </c>
      <c r="H28" s="84">
        <v>600835</v>
      </c>
      <c r="I28" s="84" t="s">
        <v>703</v>
      </c>
      <c r="J28" s="84" t="s">
        <v>460</v>
      </c>
      <c r="K28" s="84" t="s">
        <v>471</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15">
      <c r="G29" s="11">
        <v>28</v>
      </c>
      <c r="H29" s="84">
        <v>601598</v>
      </c>
      <c r="I29" s="84" t="s">
        <v>704</v>
      </c>
      <c r="J29" s="84" t="s">
        <v>457</v>
      </c>
      <c r="K29" s="84" t="s">
        <v>458</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15">
      <c r="G30" s="11">
        <v>29</v>
      </c>
      <c r="H30" s="84">
        <v>601857</v>
      </c>
      <c r="I30" s="84" t="s">
        <v>705</v>
      </c>
      <c r="J30" s="84" t="s">
        <v>706</v>
      </c>
      <c r="K30" s="84" t="s">
        <v>707</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15">
      <c r="G31" s="11">
        <v>30</v>
      </c>
      <c r="H31" s="84">
        <v>600737</v>
      </c>
      <c r="I31" s="84" t="s">
        <v>708</v>
      </c>
      <c r="J31" s="84" t="s">
        <v>474</v>
      </c>
      <c r="K31" s="84" t="s">
        <v>511</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15">
      <c r="G32" s="11">
        <v>31</v>
      </c>
      <c r="H32" s="84">
        <v>600261</v>
      </c>
      <c r="I32" s="84" t="s">
        <v>709</v>
      </c>
      <c r="J32" s="84" t="s">
        <v>567</v>
      </c>
      <c r="K32" s="84" t="s">
        <v>568</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15">
      <c r="G33" s="11">
        <v>32</v>
      </c>
      <c r="H33" s="84">
        <v>601997</v>
      </c>
      <c r="I33" s="84" t="s">
        <v>710</v>
      </c>
      <c r="J33" s="84" t="s">
        <v>697</v>
      </c>
      <c r="K33" s="84" t="s">
        <v>697</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15">
      <c r="G34" s="11">
        <v>33</v>
      </c>
      <c r="H34" s="84">
        <v>600008</v>
      </c>
      <c r="I34" s="84" t="s">
        <v>711</v>
      </c>
      <c r="J34" s="84" t="s">
        <v>452</v>
      </c>
      <c r="K34" s="84" t="s">
        <v>455</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15">
      <c r="G35" s="11">
        <v>34</v>
      </c>
      <c r="H35" s="84">
        <v>600655</v>
      </c>
      <c r="I35" s="84" t="s">
        <v>712</v>
      </c>
      <c r="J35" s="84" t="s">
        <v>555</v>
      </c>
      <c r="K35" s="84" t="s">
        <v>556</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15">
      <c r="G36" s="11">
        <v>35</v>
      </c>
      <c r="H36" s="84">
        <v>2391</v>
      </c>
      <c r="I36" s="84" t="s">
        <v>713</v>
      </c>
      <c r="J36" s="84" t="s">
        <v>499</v>
      </c>
      <c r="K36" s="84" t="s">
        <v>513</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15">
      <c r="G37" s="11">
        <v>36</v>
      </c>
      <c r="H37" s="84">
        <v>603967</v>
      </c>
      <c r="I37" s="84" t="s">
        <v>714</v>
      </c>
      <c r="J37" s="84" t="s">
        <v>457</v>
      </c>
      <c r="K37" s="84" t="s">
        <v>458</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15">
      <c r="G38" s="11">
        <v>37</v>
      </c>
      <c r="H38" s="84">
        <v>2061</v>
      </c>
      <c r="I38" s="84" t="s">
        <v>715</v>
      </c>
      <c r="J38" s="84" t="s">
        <v>447</v>
      </c>
      <c r="K38" s="84" t="s">
        <v>448</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15">
      <c r="G39" s="11">
        <v>38</v>
      </c>
      <c r="H39" s="84">
        <v>600582</v>
      </c>
      <c r="I39" s="84" t="s">
        <v>716</v>
      </c>
      <c r="J39" s="84" t="s">
        <v>460</v>
      </c>
      <c r="K39" s="84" t="s">
        <v>471</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15">
      <c r="G40" s="11">
        <v>39</v>
      </c>
      <c r="H40" s="84">
        <v>603689</v>
      </c>
      <c r="I40" s="84" t="s">
        <v>717</v>
      </c>
      <c r="J40" s="84" t="s">
        <v>452</v>
      </c>
      <c r="K40" s="84" t="s">
        <v>542</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15">
      <c r="G41" s="11">
        <v>40</v>
      </c>
      <c r="H41" s="84">
        <v>601390</v>
      </c>
      <c r="I41" s="84" t="s">
        <v>718</v>
      </c>
      <c r="J41" s="84" t="s">
        <v>447</v>
      </c>
      <c r="K41" s="84" t="s">
        <v>448</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15">
      <c r="G42" s="11">
        <v>41</v>
      </c>
      <c r="H42" s="84">
        <v>600985</v>
      </c>
      <c r="I42" s="84" t="s">
        <v>719</v>
      </c>
      <c r="J42" s="84" t="s">
        <v>706</v>
      </c>
      <c r="K42" s="84" t="s">
        <v>720</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15">
      <c r="G43" s="11">
        <v>42</v>
      </c>
      <c r="H43" s="84">
        <v>2081</v>
      </c>
      <c r="I43" s="84" t="s">
        <v>721</v>
      </c>
      <c r="J43" s="84" t="s">
        <v>447</v>
      </c>
      <c r="K43" s="84" t="s">
        <v>466</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15">
      <c r="G44" s="11">
        <v>43</v>
      </c>
      <c r="H44" s="84">
        <v>600143</v>
      </c>
      <c r="I44" s="84" t="s">
        <v>722</v>
      </c>
      <c r="J44" s="84" t="s">
        <v>499</v>
      </c>
      <c r="K44" s="84" t="s">
        <v>500</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15">
      <c r="G45" s="11">
        <v>44</v>
      </c>
      <c r="H45" s="84">
        <v>603368</v>
      </c>
      <c r="I45" s="84" t="s">
        <v>723</v>
      </c>
      <c r="J45" s="84" t="s">
        <v>669</v>
      </c>
      <c r="K45" s="84" t="s">
        <v>670</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15">
      <c r="G46" s="11">
        <v>45</v>
      </c>
      <c r="H46" s="84">
        <v>2479</v>
      </c>
      <c r="I46" s="84" t="s">
        <v>724</v>
      </c>
      <c r="J46" s="84" t="s">
        <v>452</v>
      </c>
      <c r="K46" s="84" t="s">
        <v>453</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15">
      <c r="G47" s="11">
        <v>46</v>
      </c>
      <c r="H47" s="84">
        <v>601336</v>
      </c>
      <c r="I47" s="84" t="s">
        <v>725</v>
      </c>
      <c r="J47" s="84" t="s">
        <v>685</v>
      </c>
      <c r="K47" s="84" t="s">
        <v>686</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15">
      <c r="G48" s="11">
        <v>47</v>
      </c>
      <c r="H48" s="84">
        <v>601577</v>
      </c>
      <c r="I48" s="84" t="s">
        <v>726</v>
      </c>
      <c r="J48" s="84" t="s">
        <v>697</v>
      </c>
      <c r="K48" s="84" t="s">
        <v>697</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15">
      <c r="G49" s="11">
        <v>48</v>
      </c>
      <c r="H49" s="84">
        <v>600016</v>
      </c>
      <c r="I49" s="84" t="s">
        <v>727</v>
      </c>
      <c r="J49" s="84" t="s">
        <v>697</v>
      </c>
      <c r="K49" s="84" t="s">
        <v>697</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15">
      <c r="G50" s="11">
        <v>49</v>
      </c>
      <c r="H50" s="84">
        <v>600795</v>
      </c>
      <c r="I50" s="84" t="s">
        <v>728</v>
      </c>
      <c r="J50" s="84" t="s">
        <v>452</v>
      </c>
      <c r="K50" s="84" t="s">
        <v>548</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15">
      <c r="G51" s="11">
        <v>50</v>
      </c>
      <c r="H51" s="84">
        <v>300388</v>
      </c>
      <c r="I51" s="84" t="s">
        <v>729</v>
      </c>
      <c r="J51" s="84" t="s">
        <v>452</v>
      </c>
      <c r="K51" s="84" t="s">
        <v>455</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15">
      <c r="G52" s="11">
        <v>51</v>
      </c>
      <c r="H52" s="84">
        <v>600578</v>
      </c>
      <c r="I52" s="84" t="s">
        <v>730</v>
      </c>
      <c r="J52" s="84" t="s">
        <v>452</v>
      </c>
      <c r="K52" s="84" t="s">
        <v>548</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15">
      <c r="G53" s="11">
        <v>52</v>
      </c>
      <c r="H53" s="84">
        <v>601818</v>
      </c>
      <c r="I53" s="84" t="s">
        <v>731</v>
      </c>
      <c r="J53" s="84" t="s">
        <v>697</v>
      </c>
      <c r="K53" s="84" t="s">
        <v>697</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15">
      <c r="G54" s="11">
        <v>53</v>
      </c>
      <c r="H54" s="84">
        <v>603600</v>
      </c>
      <c r="I54" s="84" t="s">
        <v>732</v>
      </c>
      <c r="J54" s="84" t="s">
        <v>463</v>
      </c>
      <c r="K54" s="84" t="s">
        <v>464</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15">
      <c r="G55" s="11">
        <v>54</v>
      </c>
      <c r="H55" s="84">
        <v>600502</v>
      </c>
      <c r="I55" s="84" t="s">
        <v>733</v>
      </c>
      <c r="J55" s="84" t="s">
        <v>447</v>
      </c>
      <c r="K55" s="84" t="s">
        <v>448</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15">
      <c r="G56" s="11">
        <v>55</v>
      </c>
      <c r="H56" s="84">
        <v>895</v>
      </c>
      <c r="I56" s="84" t="s">
        <v>734</v>
      </c>
      <c r="J56" s="84" t="s">
        <v>672</v>
      </c>
      <c r="K56" s="84" t="s">
        <v>673</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15">
      <c r="G57" s="11">
        <v>56</v>
      </c>
      <c r="H57" s="84">
        <v>2249</v>
      </c>
      <c r="I57" s="84" t="s">
        <v>735</v>
      </c>
      <c r="J57" s="84" t="s">
        <v>496</v>
      </c>
      <c r="K57" s="84" t="s">
        <v>497</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15">
      <c r="G58" s="11">
        <v>57</v>
      </c>
      <c r="H58" s="84">
        <v>601665</v>
      </c>
      <c r="I58" s="84" t="s">
        <v>736</v>
      </c>
      <c r="J58" s="84" t="s">
        <v>697</v>
      </c>
      <c r="K58" s="84" t="s">
        <v>697</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15">
      <c r="G59" s="11">
        <v>58</v>
      </c>
      <c r="H59" s="84">
        <v>605138</v>
      </c>
      <c r="I59" s="84" t="s">
        <v>737</v>
      </c>
      <c r="J59" s="84" t="s">
        <v>492</v>
      </c>
      <c r="K59" s="84" t="s">
        <v>504</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15">
      <c r="G60" s="11">
        <v>59</v>
      </c>
      <c r="H60" s="84">
        <v>601077</v>
      </c>
      <c r="I60" s="84" t="s">
        <v>738</v>
      </c>
      <c r="J60" s="84" t="s">
        <v>697</v>
      </c>
      <c r="K60" s="84" t="s">
        <v>697</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15">
      <c r="G61" s="11">
        <v>60</v>
      </c>
      <c r="H61" s="84">
        <v>2948</v>
      </c>
      <c r="I61" s="84" t="s">
        <v>739</v>
      </c>
      <c r="J61" s="84" t="s">
        <v>697</v>
      </c>
      <c r="K61" s="84" t="s">
        <v>697</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15">
      <c r="G62" s="11">
        <v>61</v>
      </c>
      <c r="H62" s="84">
        <v>603408</v>
      </c>
      <c r="I62" s="84" t="s">
        <v>740</v>
      </c>
      <c r="J62" s="84" t="s">
        <v>463</v>
      </c>
      <c r="K62" s="84" t="s">
        <v>464</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15">
      <c r="G63" s="11">
        <v>62</v>
      </c>
      <c r="H63" s="84">
        <v>2381</v>
      </c>
      <c r="I63" s="84" t="s">
        <v>741</v>
      </c>
      <c r="J63" s="84" t="s">
        <v>499</v>
      </c>
      <c r="K63" s="84" t="s">
        <v>742</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15">
      <c r="G64" s="11">
        <v>63</v>
      </c>
      <c r="H64" s="84">
        <v>601117</v>
      </c>
      <c r="I64" s="84" t="s">
        <v>743</v>
      </c>
      <c r="J64" s="84" t="s">
        <v>447</v>
      </c>
      <c r="K64" s="84" t="s">
        <v>490</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15">
      <c r="G65" s="11">
        <v>64</v>
      </c>
      <c r="H65" s="84">
        <v>605066</v>
      </c>
      <c r="I65" s="84" t="s">
        <v>744</v>
      </c>
      <c r="J65" s="84" t="s">
        <v>496</v>
      </c>
      <c r="K65" s="84" t="s">
        <v>539</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15">
      <c r="G66" s="11">
        <v>65</v>
      </c>
      <c r="H66" s="84">
        <v>600968</v>
      </c>
      <c r="I66" s="84" t="s">
        <v>745</v>
      </c>
      <c r="J66" s="84" t="s">
        <v>706</v>
      </c>
      <c r="K66" s="84" t="s">
        <v>746</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15">
      <c r="G67" s="11">
        <v>66</v>
      </c>
      <c r="H67" s="84">
        <v>300639</v>
      </c>
      <c r="I67" s="84" t="s">
        <v>747</v>
      </c>
      <c r="J67" s="84" t="s">
        <v>669</v>
      </c>
      <c r="K67" s="84" t="s">
        <v>204</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15">
      <c r="G68" s="11">
        <v>67</v>
      </c>
      <c r="H68" s="84">
        <v>600803</v>
      </c>
      <c r="I68" s="84" t="s">
        <v>748</v>
      </c>
      <c r="J68" s="84" t="s">
        <v>452</v>
      </c>
      <c r="K68" s="84" t="s">
        <v>542</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15">
      <c r="G69" s="11">
        <v>68</v>
      </c>
      <c r="H69" s="84">
        <v>601800</v>
      </c>
      <c r="I69" s="84" t="s">
        <v>749</v>
      </c>
      <c r="J69" s="84" t="s">
        <v>447</v>
      </c>
      <c r="K69" s="84" t="s">
        <v>448</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15">
      <c r="G70" s="11">
        <v>69</v>
      </c>
      <c r="H70" s="84">
        <v>2533</v>
      </c>
      <c r="I70" s="84" t="s">
        <v>750</v>
      </c>
      <c r="J70" s="84" t="s">
        <v>496</v>
      </c>
      <c r="K70" s="84" t="s">
        <v>539</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15">
      <c r="G71" s="11">
        <v>70</v>
      </c>
      <c r="H71" s="84">
        <v>600039</v>
      </c>
      <c r="I71" s="84" t="s">
        <v>751</v>
      </c>
      <c r="J71" s="84" t="s">
        <v>447</v>
      </c>
      <c r="K71" s="84" t="s">
        <v>448</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15">
      <c r="G72" s="11">
        <v>71</v>
      </c>
      <c r="H72" s="84">
        <v>498</v>
      </c>
      <c r="I72" s="84" t="s">
        <v>752</v>
      </c>
      <c r="J72" s="84" t="s">
        <v>447</v>
      </c>
      <c r="K72" s="84" t="s">
        <v>448</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15">
      <c r="G73" s="11">
        <v>72</v>
      </c>
      <c r="H73" s="84">
        <v>603968</v>
      </c>
      <c r="I73" s="84" t="s">
        <v>753</v>
      </c>
      <c r="J73" s="84" t="s">
        <v>499</v>
      </c>
      <c r="K73" s="84" t="s">
        <v>513</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15">
      <c r="G74" s="11">
        <v>73</v>
      </c>
      <c r="H74" s="84">
        <v>600665</v>
      </c>
      <c r="I74" s="84" t="s">
        <v>754</v>
      </c>
      <c r="J74" s="84" t="s">
        <v>485</v>
      </c>
      <c r="K74" s="84" t="s">
        <v>486</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15">
      <c r="G75" s="11">
        <v>74</v>
      </c>
      <c r="H75" s="84">
        <v>600433</v>
      </c>
      <c r="I75" s="84" t="s">
        <v>755</v>
      </c>
      <c r="J75" s="84" t="s">
        <v>463</v>
      </c>
      <c r="K75" s="84" t="s">
        <v>756</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15">
      <c r="G76" s="11">
        <v>75</v>
      </c>
      <c r="H76" s="84">
        <v>601231</v>
      </c>
      <c r="I76" s="84" t="s">
        <v>757</v>
      </c>
      <c r="J76" s="84" t="s">
        <v>567</v>
      </c>
      <c r="K76" s="84" t="s">
        <v>592</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15">
      <c r="G77" s="11">
        <v>76</v>
      </c>
      <c r="H77" s="84">
        <v>600210</v>
      </c>
      <c r="I77" s="84" t="s">
        <v>758</v>
      </c>
      <c r="J77" s="84" t="s">
        <v>463</v>
      </c>
      <c r="K77" s="84" t="s">
        <v>521</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15">
      <c r="G78" s="11">
        <v>77</v>
      </c>
      <c r="H78" s="84">
        <v>48</v>
      </c>
      <c r="I78" s="84" t="s">
        <v>759</v>
      </c>
      <c r="J78" s="84" t="s">
        <v>474</v>
      </c>
      <c r="K78" s="84" t="s">
        <v>760</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15">
      <c r="G79" s="11">
        <v>78</v>
      </c>
      <c r="H79" s="84">
        <v>601168</v>
      </c>
      <c r="I79" s="84" t="s">
        <v>761</v>
      </c>
      <c r="J79" s="84" t="s">
        <v>188</v>
      </c>
      <c r="K79" s="84" t="s">
        <v>575</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15">
      <c r="G80" s="11">
        <v>79</v>
      </c>
      <c r="H80" s="84">
        <v>2258</v>
      </c>
      <c r="I80" s="84" t="s">
        <v>762</v>
      </c>
      <c r="J80" s="84" t="s">
        <v>499</v>
      </c>
      <c r="K80" s="84" t="s">
        <v>513</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15">
      <c r="G81" s="11">
        <v>80</v>
      </c>
      <c r="H81" s="84">
        <v>603323</v>
      </c>
      <c r="I81" s="84" t="s">
        <v>763</v>
      </c>
      <c r="J81" s="84" t="s">
        <v>697</v>
      </c>
      <c r="K81" s="84" t="s">
        <v>697</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15">
      <c r="G82" s="11">
        <v>81</v>
      </c>
      <c r="H82" s="84">
        <v>600479</v>
      </c>
      <c r="I82" s="84" t="s">
        <v>764</v>
      </c>
      <c r="J82" s="84" t="s">
        <v>669</v>
      </c>
      <c r="K82" s="84" t="s">
        <v>765</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15">
      <c r="G83" s="11">
        <v>82</v>
      </c>
      <c r="H83" s="84">
        <v>589</v>
      </c>
      <c r="I83" s="84" t="s">
        <v>766</v>
      </c>
      <c r="J83" s="84" t="s">
        <v>499</v>
      </c>
      <c r="K83" s="84" t="s">
        <v>742</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15">
      <c r="G84" s="11">
        <v>83</v>
      </c>
      <c r="H84" s="84">
        <v>600060</v>
      </c>
      <c r="I84" s="84" t="s">
        <v>767</v>
      </c>
      <c r="J84" s="84" t="s">
        <v>768</v>
      </c>
      <c r="K84" s="84" t="s">
        <v>769</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15">
      <c r="G85" s="11">
        <v>84</v>
      </c>
      <c r="H85" s="84">
        <v>601898</v>
      </c>
      <c r="I85" s="84" t="s">
        <v>770</v>
      </c>
      <c r="J85" s="84" t="s">
        <v>706</v>
      </c>
      <c r="K85" s="84" t="s">
        <v>720</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15">
      <c r="G86" s="11">
        <v>85</v>
      </c>
      <c r="H86" s="84">
        <v>601169</v>
      </c>
      <c r="I86" s="84" t="s">
        <v>771</v>
      </c>
      <c r="J86" s="84" t="s">
        <v>697</v>
      </c>
      <c r="K86" s="84" t="s">
        <v>697</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15">
      <c r="G87" s="11">
        <v>86</v>
      </c>
      <c r="H87" s="84">
        <v>2839</v>
      </c>
      <c r="I87" s="84" t="s">
        <v>772</v>
      </c>
      <c r="J87" s="84" t="s">
        <v>697</v>
      </c>
      <c r="K87" s="84" t="s">
        <v>697</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15">
      <c r="G88" s="11">
        <v>87</v>
      </c>
      <c r="H88" s="84">
        <v>601860</v>
      </c>
      <c r="I88" s="84" t="s">
        <v>773</v>
      </c>
      <c r="J88" s="84" t="s">
        <v>697</v>
      </c>
      <c r="K88" s="84" t="s">
        <v>697</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15">
      <c r="G89" s="11">
        <v>88</v>
      </c>
      <c r="H89" s="84">
        <v>2022</v>
      </c>
      <c r="I89" s="84" t="s">
        <v>774</v>
      </c>
      <c r="J89" s="84" t="s">
        <v>669</v>
      </c>
      <c r="K89" s="84" t="s">
        <v>204</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15">
      <c r="G90" s="11">
        <v>89</v>
      </c>
      <c r="H90" s="84">
        <v>2100</v>
      </c>
      <c r="I90" s="84" t="s">
        <v>775</v>
      </c>
      <c r="J90" s="84" t="s">
        <v>474</v>
      </c>
      <c r="K90" s="84" t="s">
        <v>760</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15">
      <c r="G91" s="11">
        <v>90</v>
      </c>
      <c r="H91" s="84">
        <v>601921</v>
      </c>
      <c r="I91" s="84" t="s">
        <v>776</v>
      </c>
      <c r="J91" s="84" t="s">
        <v>444</v>
      </c>
      <c r="K91" s="84" t="s">
        <v>445</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15">
      <c r="G92" s="11">
        <v>91</v>
      </c>
      <c r="H92" s="84">
        <v>600089</v>
      </c>
      <c r="I92" s="84" t="s">
        <v>777</v>
      </c>
      <c r="J92" s="84" t="s">
        <v>496</v>
      </c>
      <c r="K92" s="84" t="s">
        <v>539</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15">
      <c r="G93" s="11">
        <v>92</v>
      </c>
      <c r="H93" s="84">
        <v>605368</v>
      </c>
      <c r="I93" s="84" t="s">
        <v>778</v>
      </c>
      <c r="J93" s="84" t="s">
        <v>452</v>
      </c>
      <c r="K93" s="84" t="s">
        <v>542</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15">
      <c r="G94" s="11">
        <v>93</v>
      </c>
      <c r="H94" s="84">
        <v>600050</v>
      </c>
      <c r="I94" s="84" t="s">
        <v>779</v>
      </c>
      <c r="J94" s="84" t="s">
        <v>482</v>
      </c>
      <c r="K94" s="84" t="s">
        <v>780</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15">
      <c r="G95" s="11">
        <v>94</v>
      </c>
      <c r="H95" s="84">
        <v>600096</v>
      </c>
      <c r="I95" s="84" t="s">
        <v>781</v>
      </c>
      <c r="J95" s="84" t="s">
        <v>499</v>
      </c>
      <c r="K95" s="84" t="s">
        <v>513</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15">
      <c r="G96" s="11">
        <v>95</v>
      </c>
      <c r="H96" s="84">
        <v>603558</v>
      </c>
      <c r="I96" s="84" t="s">
        <v>782</v>
      </c>
      <c r="J96" s="84" t="s">
        <v>492</v>
      </c>
      <c r="K96" s="84" t="s">
        <v>504</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15">
      <c r="G97" s="11">
        <v>96</v>
      </c>
      <c r="H97" s="84">
        <v>3019</v>
      </c>
      <c r="I97" s="84" t="s">
        <v>783</v>
      </c>
      <c r="J97" s="84" t="s">
        <v>567</v>
      </c>
      <c r="K97" s="84" t="s">
        <v>568</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15">
      <c r="G98" s="11">
        <v>97</v>
      </c>
      <c r="H98" s="84">
        <v>2404</v>
      </c>
      <c r="I98" s="84" t="s">
        <v>784</v>
      </c>
      <c r="J98" s="84" t="s">
        <v>492</v>
      </c>
      <c r="K98" s="84" t="s">
        <v>493</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15">
      <c r="G99" s="11">
        <v>98</v>
      </c>
      <c r="H99" s="84">
        <v>600761</v>
      </c>
      <c r="I99" s="84" t="s">
        <v>785</v>
      </c>
      <c r="J99" s="84" t="s">
        <v>460</v>
      </c>
      <c r="K99" s="84" t="s">
        <v>471</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15">
      <c r="G100" s="11">
        <v>99</v>
      </c>
      <c r="H100" s="84">
        <v>603095</v>
      </c>
      <c r="I100" s="84" t="s">
        <v>786</v>
      </c>
      <c r="J100" s="84" t="s">
        <v>460</v>
      </c>
      <c r="K100" s="84" t="s">
        <v>471</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15">
      <c r="G101" s="11">
        <v>100</v>
      </c>
      <c r="H101" s="84">
        <v>601229</v>
      </c>
      <c r="I101" s="84" t="s">
        <v>787</v>
      </c>
      <c r="J101" s="84" t="s">
        <v>697</v>
      </c>
      <c r="K101" s="84" t="s">
        <v>697</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P14" sqref="P1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44.25" customHeight="1" x14ac:dyDescent="0.15">
      <c r="A1" s="23" t="s">
        <v>52</v>
      </c>
      <c r="B1" s="19" t="s">
        <v>421</v>
      </c>
      <c r="C1" s="19" t="s">
        <v>422</v>
      </c>
      <c r="D1" s="19" t="s">
        <v>323</v>
      </c>
      <c r="E1" s="22"/>
      <c r="F1" s="23" t="s">
        <v>178</v>
      </c>
      <c r="G1" s="20"/>
      <c r="H1" s="86" t="s">
        <v>420</v>
      </c>
      <c r="I1" s="86" t="s">
        <v>423</v>
      </c>
      <c r="J1" s="86" t="s">
        <v>424</v>
      </c>
      <c r="K1" s="86" t="s">
        <v>425</v>
      </c>
      <c r="L1" s="86" t="s">
        <v>426</v>
      </c>
      <c r="M1" s="86" t="s">
        <v>427</v>
      </c>
      <c r="N1" s="86" t="s">
        <v>428</v>
      </c>
      <c r="O1" s="86" t="s">
        <v>814</v>
      </c>
      <c r="P1" s="86" t="s">
        <v>815</v>
      </c>
      <c r="Q1" s="86" t="s">
        <v>816</v>
      </c>
      <c r="R1" s="86" t="s">
        <v>817</v>
      </c>
      <c r="S1" s="86" t="s">
        <v>818</v>
      </c>
      <c r="T1" s="86" t="s">
        <v>664</v>
      </c>
      <c r="U1" s="86" t="s">
        <v>819</v>
      </c>
      <c r="V1" s="86" t="s">
        <v>28</v>
      </c>
      <c r="W1" s="86" t="s">
        <v>666</v>
      </c>
      <c r="X1" s="86" t="s">
        <v>820</v>
      </c>
      <c r="Y1" s="18" t="s">
        <v>442</v>
      </c>
      <c r="AA1" s="87" t="s">
        <v>813</v>
      </c>
    </row>
    <row r="2" spans="1:27" x14ac:dyDescent="0.15">
      <c r="A2">
        <v>1</v>
      </c>
      <c r="B2">
        <v>895</v>
      </c>
      <c r="C2" t="s">
        <v>734</v>
      </c>
      <c r="D2">
        <f t="shared" ref="D2:D11" si="0">MATCH(B2,$H$2:$H$3879,0)</f>
        <v>1</v>
      </c>
      <c r="G2" s="11">
        <v>1</v>
      </c>
      <c r="H2" s="85">
        <v>895</v>
      </c>
      <c r="I2" s="85" t="s">
        <v>734</v>
      </c>
      <c r="J2" s="85" t="s">
        <v>672</v>
      </c>
      <c r="K2" s="85" t="s">
        <v>673</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15">
      <c r="A3">
        <v>2</v>
      </c>
      <c r="B3">
        <v>600867</v>
      </c>
      <c r="C3" t="s">
        <v>842</v>
      </c>
      <c r="D3">
        <f t="shared" si="0"/>
        <v>31</v>
      </c>
      <c r="G3" s="11">
        <v>2</v>
      </c>
      <c r="H3" s="85">
        <v>601156</v>
      </c>
      <c r="I3" s="85" t="s">
        <v>821</v>
      </c>
      <c r="J3" s="85" t="s">
        <v>457</v>
      </c>
      <c r="K3" s="85" t="s">
        <v>458</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15">
      <c r="A4">
        <v>3</v>
      </c>
      <c r="B4">
        <v>600612</v>
      </c>
      <c r="C4" t="s">
        <v>701</v>
      </c>
      <c r="D4">
        <f t="shared" si="0"/>
        <v>88</v>
      </c>
      <c r="G4" s="11">
        <v>3</v>
      </c>
      <c r="H4" s="85">
        <v>429</v>
      </c>
      <c r="I4" s="85" t="s">
        <v>822</v>
      </c>
      <c r="J4" s="85" t="s">
        <v>457</v>
      </c>
      <c r="K4" s="85" t="s">
        <v>823</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15">
      <c r="A5">
        <v>4</v>
      </c>
      <c r="B5">
        <v>600177</v>
      </c>
      <c r="C5" t="s">
        <v>849</v>
      </c>
      <c r="D5">
        <f t="shared" si="0"/>
        <v>47</v>
      </c>
      <c r="G5" s="11">
        <v>4</v>
      </c>
      <c r="H5" s="85">
        <v>600179</v>
      </c>
      <c r="I5" s="85" t="s">
        <v>824</v>
      </c>
      <c r="J5" s="85" t="s">
        <v>457</v>
      </c>
      <c r="K5" s="85" t="s">
        <v>458</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15">
      <c r="A6">
        <v>5</v>
      </c>
      <c r="B6">
        <v>651</v>
      </c>
      <c r="C6" t="s">
        <v>801</v>
      </c>
      <c r="D6">
        <f t="shared" si="0"/>
        <v>23</v>
      </c>
      <c r="G6" s="11">
        <v>5</v>
      </c>
      <c r="H6" s="85">
        <v>603071</v>
      </c>
      <c r="I6" s="85" t="s">
        <v>667</v>
      </c>
      <c r="J6" s="85" t="s">
        <v>452</v>
      </c>
      <c r="K6" s="85" t="s">
        <v>548</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15">
      <c r="A7">
        <v>6</v>
      </c>
      <c r="B7">
        <v>429</v>
      </c>
      <c r="C7" t="s">
        <v>822</v>
      </c>
      <c r="D7">
        <f t="shared" si="0"/>
        <v>3</v>
      </c>
      <c r="G7" s="11">
        <v>6</v>
      </c>
      <c r="H7" s="85">
        <v>600519</v>
      </c>
      <c r="I7" s="85" t="s">
        <v>825</v>
      </c>
      <c r="J7" s="85" t="s">
        <v>672</v>
      </c>
      <c r="K7" s="85" t="s">
        <v>805</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15">
      <c r="A8">
        <v>7</v>
      </c>
      <c r="B8">
        <v>600519</v>
      </c>
      <c r="C8" t="s">
        <v>825</v>
      </c>
      <c r="D8">
        <f t="shared" si="0"/>
        <v>6</v>
      </c>
      <c r="G8" s="11">
        <v>7</v>
      </c>
      <c r="H8" s="85">
        <v>600039</v>
      </c>
      <c r="I8" s="85" t="s">
        <v>751</v>
      </c>
      <c r="J8" s="85" t="s">
        <v>447</v>
      </c>
      <c r="K8" s="85" t="s">
        <v>448</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15">
      <c r="A9">
        <v>8</v>
      </c>
      <c r="B9">
        <v>2030</v>
      </c>
      <c r="C9" t="s">
        <v>845</v>
      </c>
      <c r="D9">
        <f t="shared" si="0"/>
        <v>37</v>
      </c>
      <c r="G9" s="11">
        <v>8</v>
      </c>
      <c r="H9" s="85">
        <v>600064</v>
      </c>
      <c r="I9" s="85" t="s">
        <v>826</v>
      </c>
      <c r="J9" s="85" t="s">
        <v>485</v>
      </c>
      <c r="K9" s="85" t="s">
        <v>827</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15">
      <c r="A10">
        <v>9</v>
      </c>
      <c r="B10">
        <v>600179</v>
      </c>
      <c r="C10" t="s">
        <v>824</v>
      </c>
      <c r="D10">
        <f t="shared" si="0"/>
        <v>4</v>
      </c>
      <c r="G10" s="11">
        <v>9</v>
      </c>
      <c r="H10" s="85">
        <v>600461</v>
      </c>
      <c r="I10" s="85" t="s">
        <v>828</v>
      </c>
      <c r="J10" s="85" t="s">
        <v>452</v>
      </c>
      <c r="K10" s="85" t="s">
        <v>455</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15">
      <c r="A11">
        <v>10</v>
      </c>
      <c r="B11">
        <v>603408</v>
      </c>
      <c r="C11" t="s">
        <v>740</v>
      </c>
      <c r="D11">
        <f t="shared" si="0"/>
        <v>24</v>
      </c>
      <c r="G11" s="11">
        <v>10</v>
      </c>
      <c r="H11" s="85">
        <v>600598</v>
      </c>
      <c r="I11" s="85" t="s">
        <v>829</v>
      </c>
      <c r="J11" s="85" t="s">
        <v>474</v>
      </c>
      <c r="K11" s="85" t="s">
        <v>475</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15">
      <c r="G12" s="11">
        <v>11</v>
      </c>
      <c r="H12" s="85">
        <v>600018</v>
      </c>
      <c r="I12" s="85" t="s">
        <v>830</v>
      </c>
      <c r="J12" s="85" t="s">
        <v>457</v>
      </c>
      <c r="K12" s="85" t="s">
        <v>831</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15">
      <c r="G13" s="11">
        <v>12</v>
      </c>
      <c r="H13" s="85">
        <v>601009</v>
      </c>
      <c r="I13" s="85" t="s">
        <v>799</v>
      </c>
      <c r="J13" s="85" t="s">
        <v>697</v>
      </c>
      <c r="K13" s="85" t="s">
        <v>697</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15">
      <c r="G14" s="11">
        <v>13</v>
      </c>
      <c r="H14" s="85">
        <v>601827</v>
      </c>
      <c r="I14" s="85" t="s">
        <v>807</v>
      </c>
      <c r="J14" s="85" t="s">
        <v>452</v>
      </c>
      <c r="K14" s="85" t="s">
        <v>453</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15">
      <c r="G15" s="11">
        <v>14</v>
      </c>
      <c r="H15" s="85">
        <v>600790</v>
      </c>
      <c r="I15" s="85" t="s">
        <v>832</v>
      </c>
      <c r="J15" s="85" t="s">
        <v>555</v>
      </c>
      <c r="K15" s="85" t="s">
        <v>581</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15">
      <c r="G16" s="11">
        <v>15</v>
      </c>
      <c r="H16" s="85">
        <v>600857</v>
      </c>
      <c r="I16" s="85" t="s">
        <v>833</v>
      </c>
      <c r="J16" s="85" t="s">
        <v>555</v>
      </c>
      <c r="K16" s="85" t="s">
        <v>601</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15">
      <c r="G17" s="11">
        <v>16</v>
      </c>
      <c r="H17" s="85">
        <v>2311</v>
      </c>
      <c r="I17" s="85" t="s">
        <v>834</v>
      </c>
      <c r="J17" s="85" t="s">
        <v>474</v>
      </c>
      <c r="K17" s="85" t="s">
        <v>760</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15">
      <c r="G18" s="11">
        <v>17</v>
      </c>
      <c r="H18" s="85">
        <v>601939</v>
      </c>
      <c r="I18" s="85" t="s">
        <v>835</v>
      </c>
      <c r="J18" s="85" t="s">
        <v>697</v>
      </c>
      <c r="K18" s="85" t="s">
        <v>697</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15">
      <c r="G19" s="11">
        <v>18</v>
      </c>
      <c r="H19" s="85">
        <v>600919</v>
      </c>
      <c r="I19" s="85" t="s">
        <v>789</v>
      </c>
      <c r="J19" s="85" t="s">
        <v>697</v>
      </c>
      <c r="K19" s="85" t="s">
        <v>697</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15">
      <c r="G20" s="11">
        <v>19</v>
      </c>
      <c r="H20" s="85">
        <v>603002</v>
      </c>
      <c r="I20" s="85" t="s">
        <v>800</v>
      </c>
      <c r="J20" s="85" t="s">
        <v>499</v>
      </c>
      <c r="K20" s="85" t="s">
        <v>513</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15">
      <c r="G21" s="11">
        <v>20</v>
      </c>
      <c r="H21" s="85">
        <v>605599</v>
      </c>
      <c r="I21" s="85" t="s">
        <v>690</v>
      </c>
      <c r="J21" s="85" t="s">
        <v>463</v>
      </c>
      <c r="K21" s="85" t="s">
        <v>464</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15">
      <c r="G22" s="11">
        <v>21</v>
      </c>
      <c r="H22" s="85">
        <v>603095</v>
      </c>
      <c r="I22" s="85" t="s">
        <v>786</v>
      </c>
      <c r="J22" s="85" t="s">
        <v>460</v>
      </c>
      <c r="K22" s="85" t="s">
        <v>471</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15">
      <c r="G23" s="11">
        <v>22</v>
      </c>
      <c r="H23" s="85">
        <v>601825</v>
      </c>
      <c r="I23" s="85" t="s">
        <v>797</v>
      </c>
      <c r="J23" s="85" t="s">
        <v>697</v>
      </c>
      <c r="K23" s="85" t="s">
        <v>697</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15">
      <c r="G24" s="11">
        <v>23</v>
      </c>
      <c r="H24" s="85">
        <v>651</v>
      </c>
      <c r="I24" s="85" t="s">
        <v>801</v>
      </c>
      <c r="J24" s="85" t="s">
        <v>768</v>
      </c>
      <c r="K24" s="85" t="s">
        <v>788</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15">
      <c r="G25" s="11">
        <v>24</v>
      </c>
      <c r="H25" s="85">
        <v>603408</v>
      </c>
      <c r="I25" s="85" t="s">
        <v>740</v>
      </c>
      <c r="J25" s="85" t="s">
        <v>463</v>
      </c>
      <c r="K25" s="85" t="s">
        <v>464</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15">
      <c r="G26" s="11">
        <v>25</v>
      </c>
      <c r="H26" s="85">
        <v>598</v>
      </c>
      <c r="I26" s="85" t="s">
        <v>836</v>
      </c>
      <c r="J26" s="85" t="s">
        <v>452</v>
      </c>
      <c r="K26" s="85" t="s">
        <v>455</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15">
      <c r="G27" s="11">
        <v>26</v>
      </c>
      <c r="H27" s="85">
        <v>2266</v>
      </c>
      <c r="I27" s="85" t="s">
        <v>837</v>
      </c>
      <c r="J27" s="85" t="s">
        <v>452</v>
      </c>
      <c r="K27" s="85" t="s">
        <v>453</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15">
      <c r="G28" s="11">
        <v>27</v>
      </c>
      <c r="H28" s="85">
        <v>600887</v>
      </c>
      <c r="I28" s="85" t="s">
        <v>791</v>
      </c>
      <c r="J28" s="85" t="s">
        <v>672</v>
      </c>
      <c r="K28" s="85" t="s">
        <v>673</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15">
      <c r="G29" s="11">
        <v>28</v>
      </c>
      <c r="H29" s="85">
        <v>605006</v>
      </c>
      <c r="I29" s="85" t="s">
        <v>838</v>
      </c>
      <c r="J29" s="85" t="s">
        <v>499</v>
      </c>
      <c r="K29" s="85" t="s">
        <v>513</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15">
      <c r="G30" s="11">
        <v>29</v>
      </c>
      <c r="H30" s="85">
        <v>600273</v>
      </c>
      <c r="I30" s="85" t="s">
        <v>839</v>
      </c>
      <c r="J30" s="85" t="s">
        <v>499</v>
      </c>
      <c r="K30" s="85" t="s">
        <v>513</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15">
      <c r="G31" s="11">
        <v>30</v>
      </c>
      <c r="H31" s="85">
        <v>601919</v>
      </c>
      <c r="I31" s="85" t="s">
        <v>840</v>
      </c>
      <c r="J31" s="85" t="s">
        <v>457</v>
      </c>
      <c r="K31" s="85" t="s">
        <v>841</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15">
      <c r="G32" s="11">
        <v>31</v>
      </c>
      <c r="H32" s="85">
        <v>600867</v>
      </c>
      <c r="I32" s="85" t="s">
        <v>842</v>
      </c>
      <c r="J32" s="85" t="s">
        <v>669</v>
      </c>
      <c r="K32" s="85" t="s">
        <v>843</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15">
      <c r="G33" s="11">
        <v>32</v>
      </c>
      <c r="H33" s="85">
        <v>601166</v>
      </c>
      <c r="I33" s="85" t="s">
        <v>798</v>
      </c>
      <c r="J33" s="85" t="s">
        <v>697</v>
      </c>
      <c r="K33" s="85" t="s">
        <v>697</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15">
      <c r="G34" s="11">
        <v>33</v>
      </c>
      <c r="H34" s="85">
        <v>600704</v>
      </c>
      <c r="I34" s="85" t="s">
        <v>811</v>
      </c>
      <c r="J34" s="85" t="s">
        <v>457</v>
      </c>
      <c r="K34" s="85" t="s">
        <v>458</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15">
      <c r="G35" s="11">
        <v>34</v>
      </c>
      <c r="H35" s="85">
        <v>601128</v>
      </c>
      <c r="I35" s="85" t="s">
        <v>793</v>
      </c>
      <c r="J35" s="85" t="s">
        <v>697</v>
      </c>
      <c r="K35" s="85" t="s">
        <v>697</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15">
      <c r="G36" s="11">
        <v>35</v>
      </c>
      <c r="H36" s="85">
        <v>601298</v>
      </c>
      <c r="I36" s="85" t="s">
        <v>844</v>
      </c>
      <c r="J36" s="85" t="s">
        <v>457</v>
      </c>
      <c r="K36" s="85" t="s">
        <v>831</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15">
      <c r="G37" s="11">
        <v>36</v>
      </c>
      <c r="H37" s="85">
        <v>601997</v>
      </c>
      <c r="I37" s="85" t="s">
        <v>710</v>
      </c>
      <c r="J37" s="85" t="s">
        <v>697</v>
      </c>
      <c r="K37" s="85" t="s">
        <v>697</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15">
      <c r="G38" s="11">
        <v>37</v>
      </c>
      <c r="H38" s="85">
        <v>2030</v>
      </c>
      <c r="I38" s="85" t="s">
        <v>845</v>
      </c>
      <c r="J38" s="85" t="s">
        <v>669</v>
      </c>
      <c r="K38" s="85" t="s">
        <v>204</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15">
      <c r="G39" s="11">
        <v>38</v>
      </c>
      <c r="H39" s="85">
        <v>600008</v>
      </c>
      <c r="I39" s="85" t="s">
        <v>711</v>
      </c>
      <c r="J39" s="85" t="s">
        <v>452</v>
      </c>
      <c r="K39" s="85" t="s">
        <v>455</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15">
      <c r="G40" s="11">
        <v>39</v>
      </c>
      <c r="H40" s="85">
        <v>603156</v>
      </c>
      <c r="I40" s="85" t="s">
        <v>846</v>
      </c>
      <c r="J40" s="85" t="s">
        <v>672</v>
      </c>
      <c r="K40" s="85" t="s">
        <v>805</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15">
      <c r="G41" s="11">
        <v>40</v>
      </c>
      <c r="H41" s="85">
        <v>600901</v>
      </c>
      <c r="I41" s="85" t="s">
        <v>808</v>
      </c>
      <c r="J41" s="85" t="s">
        <v>685</v>
      </c>
      <c r="K41" s="85" t="s">
        <v>809</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15">
      <c r="G42" s="11">
        <v>41</v>
      </c>
      <c r="H42" s="85">
        <v>601158</v>
      </c>
      <c r="I42" s="85" t="s">
        <v>847</v>
      </c>
      <c r="J42" s="85" t="s">
        <v>452</v>
      </c>
      <c r="K42" s="85" t="s">
        <v>455</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15">
      <c r="G43" s="11">
        <v>42</v>
      </c>
      <c r="H43" s="85">
        <v>601577</v>
      </c>
      <c r="I43" s="85" t="s">
        <v>726</v>
      </c>
      <c r="J43" s="85" t="s">
        <v>697</v>
      </c>
      <c r="K43" s="85" t="s">
        <v>697</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15">
      <c r="G44" s="11">
        <v>43</v>
      </c>
      <c r="H44" s="85">
        <v>601665</v>
      </c>
      <c r="I44" s="85" t="s">
        <v>736</v>
      </c>
      <c r="J44" s="85" t="s">
        <v>697</v>
      </c>
      <c r="K44" s="85" t="s">
        <v>697</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15">
      <c r="G45" s="11">
        <v>44</v>
      </c>
      <c r="H45" s="85">
        <v>601229</v>
      </c>
      <c r="I45" s="85" t="s">
        <v>787</v>
      </c>
      <c r="J45" s="85" t="s">
        <v>697</v>
      </c>
      <c r="K45" s="85" t="s">
        <v>697</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15">
      <c r="G46" s="11">
        <v>45</v>
      </c>
      <c r="H46" s="85">
        <v>605368</v>
      </c>
      <c r="I46" s="85" t="s">
        <v>778</v>
      </c>
      <c r="J46" s="85" t="s">
        <v>452</v>
      </c>
      <c r="K46" s="85" t="s">
        <v>542</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15">
      <c r="G47" s="11">
        <v>46</v>
      </c>
      <c r="H47" s="85">
        <v>601398</v>
      </c>
      <c r="I47" s="85" t="s">
        <v>848</v>
      </c>
      <c r="J47" s="85" t="s">
        <v>697</v>
      </c>
      <c r="K47" s="85" t="s">
        <v>697</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15">
      <c r="G48" s="11">
        <v>47</v>
      </c>
      <c r="H48" s="85">
        <v>600177</v>
      </c>
      <c r="I48" s="85" t="s">
        <v>849</v>
      </c>
      <c r="J48" s="85" t="s">
        <v>485</v>
      </c>
      <c r="K48" s="85" t="s">
        <v>486</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15">
      <c r="G49" s="11">
        <v>48</v>
      </c>
      <c r="H49" s="85">
        <v>600674</v>
      </c>
      <c r="I49" s="85" t="s">
        <v>850</v>
      </c>
      <c r="J49" s="85" t="s">
        <v>452</v>
      </c>
      <c r="K49" s="85" t="s">
        <v>548</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15">
      <c r="G50" s="11">
        <v>49</v>
      </c>
      <c r="H50" s="85">
        <v>2677</v>
      </c>
      <c r="I50" s="85" t="s">
        <v>851</v>
      </c>
      <c r="J50" s="85" t="s">
        <v>768</v>
      </c>
      <c r="K50" s="85" t="s">
        <v>788</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15">
      <c r="G51" s="11">
        <v>50</v>
      </c>
      <c r="H51" s="85">
        <v>600660</v>
      </c>
      <c r="I51" s="85" t="s">
        <v>852</v>
      </c>
      <c r="J51" s="85" t="s">
        <v>468</v>
      </c>
      <c r="K51" s="85" t="s">
        <v>469</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15">
      <c r="G52" s="11">
        <v>51</v>
      </c>
      <c r="H52" s="85">
        <v>600323</v>
      </c>
      <c r="I52" s="85" t="s">
        <v>853</v>
      </c>
      <c r="J52" s="85" t="s">
        <v>452</v>
      </c>
      <c r="K52" s="85" t="s">
        <v>453</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15">
      <c r="G53" s="11">
        <v>52</v>
      </c>
      <c r="H53" s="85">
        <v>600926</v>
      </c>
      <c r="I53" s="85" t="s">
        <v>803</v>
      </c>
      <c r="J53" s="85" t="s">
        <v>697</v>
      </c>
      <c r="K53" s="85" t="s">
        <v>697</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15">
      <c r="G54" s="11">
        <v>53</v>
      </c>
      <c r="H54" s="85">
        <v>600377</v>
      </c>
      <c r="I54" s="85" t="s">
        <v>854</v>
      </c>
      <c r="J54" s="85" t="s">
        <v>457</v>
      </c>
      <c r="K54" s="85" t="s">
        <v>823</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15">
      <c r="G55" s="11">
        <v>54</v>
      </c>
      <c r="H55" s="85">
        <v>601187</v>
      </c>
      <c r="I55" s="85" t="s">
        <v>792</v>
      </c>
      <c r="J55" s="85" t="s">
        <v>697</v>
      </c>
      <c r="K55" s="85" t="s">
        <v>697</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15">
      <c r="G56" s="11">
        <v>55</v>
      </c>
      <c r="H56" s="85">
        <v>603323</v>
      </c>
      <c r="I56" s="85" t="s">
        <v>763</v>
      </c>
      <c r="J56" s="85" t="s">
        <v>697</v>
      </c>
      <c r="K56" s="85" t="s">
        <v>697</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15">
      <c r="G57" s="11">
        <v>56</v>
      </c>
      <c r="H57" s="85">
        <v>3816</v>
      </c>
      <c r="I57" s="85" t="s">
        <v>855</v>
      </c>
      <c r="J57" s="85" t="s">
        <v>452</v>
      </c>
      <c r="K57" s="85" t="s">
        <v>548</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15">
      <c r="G58" s="11">
        <v>57</v>
      </c>
      <c r="H58" s="85">
        <v>2032</v>
      </c>
      <c r="I58" s="85" t="s">
        <v>856</v>
      </c>
      <c r="J58" s="85" t="s">
        <v>768</v>
      </c>
      <c r="K58" s="85" t="s">
        <v>788</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15">
      <c r="G59" s="11">
        <v>58</v>
      </c>
      <c r="H59" s="85">
        <v>600900</v>
      </c>
      <c r="I59" s="85" t="s">
        <v>857</v>
      </c>
      <c r="J59" s="85" t="s">
        <v>452</v>
      </c>
      <c r="K59" s="85" t="s">
        <v>548</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15">
      <c r="G60" s="11">
        <v>59</v>
      </c>
      <c r="H60" s="85">
        <v>848</v>
      </c>
      <c r="I60" s="85" t="s">
        <v>804</v>
      </c>
      <c r="J60" s="85" t="s">
        <v>672</v>
      </c>
      <c r="K60" s="85" t="s">
        <v>805</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15">
      <c r="G61" s="11">
        <v>60</v>
      </c>
      <c r="H61" s="85">
        <v>601288</v>
      </c>
      <c r="I61" s="85" t="s">
        <v>810</v>
      </c>
      <c r="J61" s="85" t="s">
        <v>697</v>
      </c>
      <c r="K61" s="85" t="s">
        <v>697</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15">
      <c r="G62" s="11">
        <v>61</v>
      </c>
      <c r="H62" s="85">
        <v>2839</v>
      </c>
      <c r="I62" s="85" t="s">
        <v>772</v>
      </c>
      <c r="J62" s="85" t="s">
        <v>697</v>
      </c>
      <c r="K62" s="85" t="s">
        <v>697</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15">
      <c r="G63" s="11">
        <v>62</v>
      </c>
      <c r="H63" s="85">
        <v>2293</v>
      </c>
      <c r="I63" s="85" t="s">
        <v>858</v>
      </c>
      <c r="J63" s="85" t="s">
        <v>492</v>
      </c>
      <c r="K63" s="85" t="s">
        <v>504</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15">
      <c r="G64" s="11">
        <v>63</v>
      </c>
      <c r="H64" s="85">
        <v>600681</v>
      </c>
      <c r="I64" s="85" t="s">
        <v>859</v>
      </c>
      <c r="J64" s="85" t="s">
        <v>452</v>
      </c>
      <c r="K64" s="85" t="s">
        <v>542</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15">
      <c r="G65" s="11">
        <v>64</v>
      </c>
      <c r="H65" s="85">
        <v>601963</v>
      </c>
      <c r="I65" s="85" t="s">
        <v>790</v>
      </c>
      <c r="J65" s="85" t="s">
        <v>697</v>
      </c>
      <c r="K65" s="85" t="s">
        <v>697</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15">
      <c r="G66" s="11">
        <v>65</v>
      </c>
      <c r="H66" s="85">
        <v>601918</v>
      </c>
      <c r="I66" s="85" t="s">
        <v>860</v>
      </c>
      <c r="J66" s="85" t="s">
        <v>706</v>
      </c>
      <c r="K66" s="85" t="s">
        <v>720</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15">
      <c r="G67" s="11">
        <v>66</v>
      </c>
      <c r="H67" s="85">
        <v>600908</v>
      </c>
      <c r="I67" s="85" t="s">
        <v>796</v>
      </c>
      <c r="J67" s="85" t="s">
        <v>697</v>
      </c>
      <c r="K67" s="85" t="s">
        <v>697</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15">
      <c r="G68" s="11">
        <v>67</v>
      </c>
      <c r="H68" s="85">
        <v>601113</v>
      </c>
      <c r="I68" s="85" t="s">
        <v>861</v>
      </c>
      <c r="J68" s="85" t="s">
        <v>555</v>
      </c>
      <c r="K68" s="85" t="s">
        <v>601</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15">
      <c r="G69" s="11">
        <v>68</v>
      </c>
      <c r="H69" s="85">
        <v>601006</v>
      </c>
      <c r="I69" s="85" t="s">
        <v>862</v>
      </c>
      <c r="J69" s="85" t="s">
        <v>457</v>
      </c>
      <c r="K69" s="85" t="s">
        <v>863</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15">
      <c r="G70" s="11">
        <v>69</v>
      </c>
      <c r="H70" s="85">
        <v>601077</v>
      </c>
      <c r="I70" s="85" t="s">
        <v>738</v>
      </c>
      <c r="J70" s="85" t="s">
        <v>697</v>
      </c>
      <c r="K70" s="85" t="s">
        <v>697</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15">
      <c r="G71" s="11">
        <v>70</v>
      </c>
      <c r="H71" s="85">
        <v>600025</v>
      </c>
      <c r="I71" s="85" t="s">
        <v>864</v>
      </c>
      <c r="J71" s="85" t="s">
        <v>452</v>
      </c>
      <c r="K71" s="85" t="s">
        <v>548</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15">
      <c r="G72" s="11">
        <v>71</v>
      </c>
      <c r="H72" s="85">
        <v>2966</v>
      </c>
      <c r="I72" s="85" t="s">
        <v>794</v>
      </c>
      <c r="J72" s="85" t="s">
        <v>697</v>
      </c>
      <c r="K72" s="85" t="s">
        <v>697</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15">
      <c r="G73" s="11">
        <v>72</v>
      </c>
      <c r="H73" s="85">
        <v>601860</v>
      </c>
      <c r="I73" s="85" t="s">
        <v>773</v>
      </c>
      <c r="J73" s="85" t="s">
        <v>697</v>
      </c>
      <c r="K73" s="85" t="s">
        <v>697</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15">
      <c r="G74" s="11">
        <v>73</v>
      </c>
      <c r="H74" s="85">
        <v>600905</v>
      </c>
      <c r="I74" s="85" t="s">
        <v>865</v>
      </c>
      <c r="J74" s="85" t="s">
        <v>452</v>
      </c>
      <c r="K74" s="85" t="s">
        <v>548</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15">
      <c r="G75" s="11">
        <v>74</v>
      </c>
      <c r="H75" s="85">
        <v>600176</v>
      </c>
      <c r="I75" s="85" t="s">
        <v>866</v>
      </c>
      <c r="J75" s="85" t="s">
        <v>499</v>
      </c>
      <c r="K75" s="85" t="s">
        <v>513</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15">
      <c r="G76" s="11">
        <v>75</v>
      </c>
      <c r="H76" s="85">
        <v>601328</v>
      </c>
      <c r="I76" s="85" t="s">
        <v>795</v>
      </c>
      <c r="J76" s="85" t="s">
        <v>697</v>
      </c>
      <c r="K76" s="85" t="s">
        <v>697</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15">
      <c r="G77" s="11">
        <v>76</v>
      </c>
      <c r="H77" s="85">
        <v>2179</v>
      </c>
      <c r="I77" s="85" t="s">
        <v>867</v>
      </c>
      <c r="J77" s="85" t="s">
        <v>692</v>
      </c>
      <c r="K77" s="85" t="s">
        <v>868</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15">
      <c r="G78" s="11">
        <v>77</v>
      </c>
      <c r="H78" s="85">
        <v>2831</v>
      </c>
      <c r="I78" s="85" t="s">
        <v>869</v>
      </c>
      <c r="J78" s="85" t="s">
        <v>463</v>
      </c>
      <c r="K78" s="85" t="s">
        <v>521</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15">
      <c r="G79" s="11">
        <v>78</v>
      </c>
      <c r="H79" s="85">
        <v>601985</v>
      </c>
      <c r="I79" s="85" t="s">
        <v>870</v>
      </c>
      <c r="J79" s="85" t="s">
        <v>452</v>
      </c>
      <c r="K79" s="85" t="s">
        <v>548</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15">
      <c r="G80" s="11">
        <v>79</v>
      </c>
      <c r="H80" s="85">
        <v>600807</v>
      </c>
      <c r="I80" s="85" t="s">
        <v>871</v>
      </c>
      <c r="J80" s="85" t="s">
        <v>485</v>
      </c>
      <c r="K80" s="85" t="s">
        <v>486</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15">
      <c r="G81" s="11">
        <v>80</v>
      </c>
      <c r="H81" s="85">
        <v>603587</v>
      </c>
      <c r="I81" s="85" t="s">
        <v>872</v>
      </c>
      <c r="J81" s="85" t="s">
        <v>492</v>
      </c>
      <c r="K81" s="85" t="s">
        <v>504</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15">
      <c r="G82" s="11">
        <v>81</v>
      </c>
      <c r="H82" s="85">
        <v>603195</v>
      </c>
      <c r="I82" s="85" t="s">
        <v>873</v>
      </c>
      <c r="J82" s="85" t="s">
        <v>463</v>
      </c>
      <c r="K82" s="85" t="s">
        <v>464</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15">
      <c r="G83" s="11">
        <v>82</v>
      </c>
      <c r="H83" s="85">
        <v>601988</v>
      </c>
      <c r="I83" s="85" t="s">
        <v>874</v>
      </c>
      <c r="J83" s="85" t="s">
        <v>697</v>
      </c>
      <c r="K83" s="85" t="s">
        <v>697</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15">
      <c r="G84" s="11">
        <v>83</v>
      </c>
      <c r="H84" s="85">
        <v>2258</v>
      </c>
      <c r="I84" s="85" t="s">
        <v>762</v>
      </c>
      <c r="J84" s="85" t="s">
        <v>499</v>
      </c>
      <c r="K84" s="85" t="s">
        <v>513</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15">
      <c r="G85" s="11">
        <v>84</v>
      </c>
      <c r="H85" s="85">
        <v>601818</v>
      </c>
      <c r="I85" s="85" t="s">
        <v>731</v>
      </c>
      <c r="J85" s="85" t="s">
        <v>697</v>
      </c>
      <c r="K85" s="85" t="s">
        <v>697</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15">
      <c r="G86" s="11">
        <v>85</v>
      </c>
      <c r="H86" s="85">
        <v>601319</v>
      </c>
      <c r="I86" s="85" t="s">
        <v>684</v>
      </c>
      <c r="J86" s="85" t="s">
        <v>685</v>
      </c>
      <c r="K86" s="85" t="s">
        <v>686</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15">
      <c r="G87" s="11">
        <v>86</v>
      </c>
      <c r="H87" s="85">
        <v>600368</v>
      </c>
      <c r="I87" s="85" t="s">
        <v>875</v>
      </c>
      <c r="J87" s="85" t="s">
        <v>457</v>
      </c>
      <c r="K87" s="85" t="s">
        <v>823</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15">
      <c r="G88" s="11">
        <v>87</v>
      </c>
      <c r="H88" s="85">
        <v>600309</v>
      </c>
      <c r="I88" s="85" t="s">
        <v>876</v>
      </c>
      <c r="J88" s="85" t="s">
        <v>499</v>
      </c>
      <c r="K88" s="85" t="s">
        <v>513</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15">
      <c r="G89" s="11">
        <v>88</v>
      </c>
      <c r="H89" s="85">
        <v>600612</v>
      </c>
      <c r="I89" s="85" t="s">
        <v>701</v>
      </c>
      <c r="J89" s="85" t="s">
        <v>463</v>
      </c>
      <c r="K89" s="85" t="s">
        <v>464</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15">
      <c r="G90" s="11">
        <v>89</v>
      </c>
      <c r="H90" s="85">
        <v>601916</v>
      </c>
      <c r="I90" s="85" t="s">
        <v>698</v>
      </c>
      <c r="J90" s="85" t="s">
        <v>697</v>
      </c>
      <c r="K90" s="85" t="s">
        <v>697</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15">
      <c r="G91" s="11">
        <v>90</v>
      </c>
      <c r="H91" s="85">
        <v>600236</v>
      </c>
      <c r="I91" s="85" t="s">
        <v>877</v>
      </c>
      <c r="J91" s="85" t="s">
        <v>452</v>
      </c>
      <c r="K91" s="85" t="s">
        <v>548</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15">
      <c r="G92" s="11">
        <v>91</v>
      </c>
      <c r="H92" s="85">
        <v>603365</v>
      </c>
      <c r="I92" s="85" t="s">
        <v>878</v>
      </c>
      <c r="J92" s="85" t="s">
        <v>492</v>
      </c>
      <c r="K92" s="85" t="s">
        <v>504</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15">
      <c r="G93" s="11">
        <v>92</v>
      </c>
      <c r="H93" s="85">
        <v>601330</v>
      </c>
      <c r="I93" s="85" t="s">
        <v>879</v>
      </c>
      <c r="J93" s="85" t="s">
        <v>452</v>
      </c>
      <c r="K93" s="85" t="s">
        <v>453</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15">
      <c r="G94" s="11">
        <v>93</v>
      </c>
      <c r="H94" s="85">
        <v>603599</v>
      </c>
      <c r="I94" s="85" t="s">
        <v>880</v>
      </c>
      <c r="J94" s="85" t="s">
        <v>499</v>
      </c>
      <c r="K94" s="85" t="s">
        <v>513</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15">
      <c r="G95" s="11">
        <v>94</v>
      </c>
      <c r="H95" s="85">
        <v>2968</v>
      </c>
      <c r="I95" s="85" t="s">
        <v>881</v>
      </c>
      <c r="J95" s="85" t="s">
        <v>485</v>
      </c>
      <c r="K95" s="85" t="s">
        <v>486</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15">
      <c r="G96" s="11">
        <v>95</v>
      </c>
      <c r="H96" s="85">
        <v>600352</v>
      </c>
      <c r="I96" s="85" t="s">
        <v>802</v>
      </c>
      <c r="J96" s="85" t="s">
        <v>499</v>
      </c>
      <c r="K96" s="85" t="s">
        <v>513</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15">
      <c r="G97" s="11">
        <v>96</v>
      </c>
      <c r="H97" s="85">
        <v>600883</v>
      </c>
      <c r="I97" s="85" t="s">
        <v>476</v>
      </c>
      <c r="J97" s="85" t="s">
        <v>477</v>
      </c>
      <c r="K97" s="85" t="s">
        <v>478</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15">
      <c r="G98" s="11">
        <v>97</v>
      </c>
      <c r="H98" s="85">
        <v>932</v>
      </c>
      <c r="I98" s="85" t="s">
        <v>882</v>
      </c>
      <c r="J98" s="85" t="s">
        <v>883</v>
      </c>
      <c r="K98" s="85" t="s">
        <v>883</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15">
      <c r="G99" s="11">
        <v>98</v>
      </c>
      <c r="H99" s="85">
        <v>601169</v>
      </c>
      <c r="I99" s="85" t="s">
        <v>771</v>
      </c>
      <c r="J99" s="85" t="s">
        <v>697</v>
      </c>
      <c r="K99" s="85" t="s">
        <v>697</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15">
      <c r="G100" s="11">
        <v>99</v>
      </c>
      <c r="H100" s="85">
        <v>600886</v>
      </c>
      <c r="I100" s="85" t="s">
        <v>884</v>
      </c>
      <c r="J100" s="85" t="s">
        <v>452</v>
      </c>
      <c r="K100" s="85" t="s">
        <v>548</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15">
      <c r="G101" s="11">
        <v>100</v>
      </c>
      <c r="H101" s="85">
        <v>600874</v>
      </c>
      <c r="I101" s="85" t="s">
        <v>806</v>
      </c>
      <c r="J101" s="85" t="s">
        <v>452</v>
      </c>
      <c r="K101" s="85" t="s">
        <v>455</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11</vt:i4>
      </vt:variant>
    </vt:vector>
  </HeadingPairs>
  <TitlesOfParts>
    <vt:vector size="11" baseType="lpstr">
      <vt:lpstr>Readme</vt:lpstr>
      <vt:lpstr>wbb渐入佳境的资产配置</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Microsoft</cp:lastModifiedBy>
  <dcterms:created xsi:type="dcterms:W3CDTF">2015-01-25T11:31:25Z</dcterms:created>
  <dcterms:modified xsi:type="dcterms:W3CDTF">2024-05-29T00:00:28Z</dcterms:modified>
</cp:coreProperties>
</file>