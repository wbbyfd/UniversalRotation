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b\UniversalRotation\"/>
    </mc:Choice>
  </mc:AlternateContent>
  <bookViews>
    <workbookView xWindow="-105" yWindow="-105" windowWidth="12810" windowHeight="5460" tabRatio="733" activeTab="4"/>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'20天净值增长率和溢价率轮动LOF、ETF和封基'!$A$1:$R$704</definedName>
    <definedName name="_xlnm._FilterDatabase" localSheetId="5" hidden="1">'20天净值增长率和溢价率轮动债券和境外基金'!$A$1:$R$115</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D3" i="3" l="1"/>
  <c r="D4" i="3"/>
  <c r="D5" i="3"/>
  <c r="D6" i="3"/>
  <c r="D7" i="3"/>
  <c r="D8" i="3"/>
  <c r="D2" i="3"/>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<sst xmlns="http://schemas.openxmlformats.org/spreadsheetml/2006/main" count="3942" uniqueCount="2038">
  <si>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</si>
  <si>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</si>
  <si>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</si>
  <si>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</si>
  <si>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</si>
  <si>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</si>
  <si>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</si>
  <si>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</si>
  <si>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</si>
  <si>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</si>
  <si>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</si>
  <si>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</si>
  <si>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</si>
  <si>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</si>
  <si>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</si>
  <si>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</si>
  <si>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</si>
  <si>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</si>
  <si>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</si>
  <si>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</si>
  <si>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</si>
  <si>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</si>
  <si>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</si>
  <si>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</si>
  <si>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</si>
  <si>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</si>
  <si>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</si>
  <si>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</si>
  <si>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</si>
  <si>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</si>
  <si>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</si>
  <si>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</si>
  <si>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</si>
  <si>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</si>
  <si>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</si>
  <si>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</si>
  <si>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</si>
  <si>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</si>
  <si>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</si>
  <si>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</si>
  <si>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</si>
  <si>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</si>
  <si>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</si>
  <si>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</si>
  <si>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</si>
  <si>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</si>
  <si>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</si>
  <si>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</si>
  <si>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</si>
  <si>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</si>
  <si>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</si>
  <si>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</si>
  <si>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</si>
  <si>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</si>
  <si>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</si>
  <si>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</si>
  <si>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</si>
  <si>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</si>
  <si>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</si>
  <si>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</si>
  <si>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</si>
  <si>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</si>
  <si>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</si>
  <si>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嘉友转债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</si>
  <si>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</si>
  <si>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</si>
  <si>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</si>
  <si>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</si>
  <si>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</si>
  <si>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</si>
  <si>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</si>
  <si>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</si>
  <si>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</si>
  <si>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</si>
  <si>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</si>
  <si>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</si>
  <si>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</si>
  <si>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</si>
  <si>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</si>
  <si>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</si>
  <si>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泉峰转债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</si>
  <si>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</si>
  <si>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</si>
  <si>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</si>
  <si>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</si>
  <si>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</si>
  <si>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</si>
  <si>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</si>
  <si>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</si>
  <si>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</si>
  <si>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</si>
  <si>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</si>
  <si>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</si>
  <si>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</si>
  <si>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</si>
  <si>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</si>
  <si>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</si>
  <si>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湖盐转债</t>
  </si>
  <si>
    <t>哈尔转债</t>
  </si>
  <si>
    <t>亚泰转债</t>
  </si>
  <si>
    <t>白电转债</t>
  </si>
  <si>
    <t>法兰转债</t>
  </si>
  <si>
    <t>济川转债</t>
  </si>
  <si>
    <t>三超转债</t>
  </si>
  <si>
    <t>朗科转债</t>
  </si>
  <si>
    <t>日丰转债</t>
  </si>
  <si>
    <t>景兴转债</t>
  </si>
  <si>
    <t>九典转债</t>
  </si>
  <si>
    <t>健友转债</t>
  </si>
  <si>
    <t>雷迪转债</t>
  </si>
  <si>
    <t>吉视转债</t>
  </si>
  <si>
    <t>奥佳转债</t>
  </si>
  <si>
    <t>灵康转债</t>
  </si>
  <si>
    <t>高澜转债</t>
  </si>
  <si>
    <t>朗新转债</t>
  </si>
  <si>
    <t>耐普转债</t>
  </si>
  <si>
    <t>春秋转债</t>
  </si>
  <si>
    <t>联诚转债</t>
  </si>
  <si>
    <t>锋龙转债</t>
  </si>
  <si>
    <t>维格转债</t>
  </si>
  <si>
    <t>三力转债</t>
  </si>
  <si>
    <t>孚日转债</t>
  </si>
  <si>
    <t>汽模转2</t>
  </si>
  <si>
    <t>宏辉转债</t>
  </si>
  <si>
    <t>利德转债</t>
  </si>
  <si>
    <t>远东转债</t>
  </si>
  <si>
    <t>美力转债</t>
  </si>
  <si>
    <t>万讯转债</t>
  </si>
  <si>
    <t>艾华转债</t>
  </si>
  <si>
    <t>小康转债</t>
  </si>
  <si>
    <t>金轮转债</t>
  </si>
  <si>
    <t>岭南转债</t>
  </si>
  <si>
    <t>新春转债</t>
  </si>
  <si>
    <t>嘉澳转债</t>
  </si>
  <si>
    <t>台华转债</t>
  </si>
  <si>
    <t>盛路转债</t>
  </si>
  <si>
    <t>广电转债</t>
  </si>
  <si>
    <t>宝莱转债</t>
  </si>
  <si>
    <t>模塑转债</t>
  </si>
  <si>
    <t>起步转债</t>
  </si>
  <si>
    <t>科达转债</t>
  </si>
  <si>
    <t>花王转债</t>
  </si>
  <si>
    <t>万孚转债</t>
  </si>
  <si>
    <t>金陵转债</t>
  </si>
  <si>
    <t>联泰转债</t>
  </si>
  <si>
    <t>纵横转债</t>
  </si>
  <si>
    <t>天创转债</t>
  </si>
  <si>
    <t>健帆转债</t>
  </si>
  <si>
    <t>侨银转债</t>
  </si>
  <si>
    <t>太平转债</t>
  </si>
  <si>
    <t>华阳转债</t>
  </si>
  <si>
    <t>江山转债</t>
  </si>
  <si>
    <t>东时转债</t>
  </si>
  <si>
    <t>拓斯转债</t>
  </si>
  <si>
    <t>瀛通转债</t>
  </si>
  <si>
    <t>道恩转债</t>
  </si>
  <si>
    <t>翔鹭转债</t>
  </si>
  <si>
    <t>佳力转债</t>
  </si>
  <si>
    <t>雪榕转债</t>
  </si>
  <si>
    <t>众信转债</t>
  </si>
  <si>
    <t>交建转债</t>
  </si>
  <si>
    <t>强力转债</t>
  </si>
  <si>
    <t>多伦转债</t>
  </si>
  <si>
    <t>久其转债</t>
  </si>
  <si>
    <t>祥鑫转债</t>
  </si>
  <si>
    <t>国光转债</t>
  </si>
  <si>
    <t>智能转债</t>
  </si>
  <si>
    <t>柳药转债</t>
  </si>
  <si>
    <t>开润转债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</si>
  <si>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</si>
  <si>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</si>
  <si>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</si>
  <si>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</si>
  <si>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</si>
  <si>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</si>
  <si>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</si>
  <si>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</si>
  <si>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</si>
  <si>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</si>
  <si>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</si>
  <si>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</si>
  <si>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</si>
  <si>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</si>
  <si>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</si>
  <si>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</si>
  <si>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</si>
  <si>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</si>
  <si>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</si>
  <si>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赛伍转债</t>
  </si>
  <si>
    <t>永东转债</t>
  </si>
  <si>
    <t>新北转债</t>
  </si>
  <si>
    <t>大丰转债</t>
  </si>
  <si>
    <t>众兴转债</t>
  </si>
  <si>
    <t>创维转债</t>
  </si>
  <si>
    <t>维尔转债</t>
  </si>
  <si>
    <t>翔港转债</t>
  </si>
  <si>
    <t>江丰转债</t>
  </si>
  <si>
    <t>万青转债</t>
  </si>
  <si>
    <t>博世转债</t>
  </si>
  <si>
    <t>晶瑞转2</t>
  </si>
  <si>
    <t>弘亚转债</t>
  </si>
  <si>
    <t>新乳转债</t>
  </si>
  <si>
    <t>海环转债</t>
  </si>
  <si>
    <t>兴森转债</t>
  </si>
  <si>
    <t>绿茵转债</t>
  </si>
  <si>
    <t>华源转债</t>
  </si>
  <si>
    <t>未来转债</t>
  </si>
  <si>
    <t>凯中转债</t>
  </si>
  <si>
    <t>游族转债</t>
  </si>
  <si>
    <t>迪森转债</t>
  </si>
  <si>
    <t>思创转债</t>
  </si>
  <si>
    <t>银信转债</t>
  </si>
  <si>
    <t>荣泰转债</t>
  </si>
  <si>
    <t>万兴转债</t>
  </si>
  <si>
    <t>亚太转债</t>
  </si>
  <si>
    <t>天路转债</t>
  </si>
  <si>
    <t>汉得转债</t>
  </si>
  <si>
    <t>大业转债</t>
  </si>
  <si>
    <t>文科转债</t>
  </si>
  <si>
    <t>润达转债</t>
  </si>
  <si>
    <t>特发转2</t>
  </si>
  <si>
    <t>中大转债</t>
  </si>
  <si>
    <t>奇精转债</t>
  </si>
  <si>
    <t>山玻转债</t>
  </si>
  <si>
    <t>皖天转债</t>
  </si>
  <si>
    <t>元力转债</t>
  </si>
  <si>
    <t>奇正转债</t>
  </si>
  <si>
    <t>利民转债</t>
  </si>
  <si>
    <t>濮耐转债</t>
  </si>
  <si>
    <t>晨丰转债</t>
  </si>
  <si>
    <t>世运转债</t>
  </si>
  <si>
    <t>北方转债</t>
  </si>
  <si>
    <t>东湖转债</t>
  </si>
  <si>
    <t>银轮转债</t>
  </si>
  <si>
    <t>拓尔转债</t>
  </si>
  <si>
    <t>超声转债</t>
  </si>
  <si>
    <t>应急转债</t>
  </si>
  <si>
    <t>帝尔转债</t>
  </si>
  <si>
    <t>威唐转债</t>
  </si>
  <si>
    <t>隆华转债</t>
  </si>
  <si>
    <t>靖远转债</t>
  </si>
  <si>
    <t>惠城转债</t>
  </si>
  <si>
    <t>杭电转债</t>
  </si>
  <si>
    <t>金博转债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</si>
  <si>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</si>
  <si>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</si>
  <si>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</si>
  <si>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</si>
  <si>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</si>
  <si>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</si>
  <si>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</si>
  <si>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</si>
  <si>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</si>
  <si>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</si>
  <si>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</si>
  <si>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</si>
  <si>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</si>
  <si>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</si>
  <si>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</si>
  <si>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</si>
  <si>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</si>
  <si>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</si>
  <si>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</si>
  <si>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</si>
  <si>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</si>
  <si>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</si>
  <si>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</si>
  <si>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</si>
  <si>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</si>
  <si>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</si>
  <si>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</si>
  <si>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</si>
  <si>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</si>
  <si>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</si>
  <si>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</si>
  <si>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</si>
  <si>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</si>
  <si>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</si>
  <si>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</si>
  <si>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</si>
  <si>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</si>
  <si>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</si>
  <si>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</si>
  <si>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</si>
  <si>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</si>
  <si>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</si>
  <si>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</si>
  <si>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</si>
  <si>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</si>
  <si>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</si>
  <si>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</si>
  <si>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</si>
  <si>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</si>
  <si>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</si>
  <si>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</si>
  <si>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</si>
  <si>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</si>
  <si>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</si>
  <si>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</si>
  <si>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</si>
  <si>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</si>
  <si>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</si>
  <si>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</si>
  <si>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</si>
  <si>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</si>
  <si>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</si>
  <si>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</si>
  <si>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</si>
  <si>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</si>
  <si>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</si>
  <si>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</si>
  <si>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</si>
  <si>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</si>
  <si>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</si>
  <si>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</si>
  <si>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</si>
  <si>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</si>
  <si>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</si>
  <si>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</si>
  <si>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</si>
  <si>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</si>
  <si>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</si>
  <si>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</si>
  <si>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</si>
  <si>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</si>
  <si>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</si>
  <si>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</si>
  <si>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</si>
  <si>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</si>
  <si>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</si>
  <si>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</si>
  <si>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</si>
  <si>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</si>
  <si>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</si>
  <si>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</si>
  <si>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</si>
  <si>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</si>
  <si>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</si>
  <si>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</si>
  <si>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</si>
  <si>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</si>
  <si>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</si>
  <si>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</si>
  <si>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</si>
  <si>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</si>
  <si>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</si>
  <si>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</si>
  <si>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</si>
  <si>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</si>
  <si>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</si>
  <si>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</si>
  <si>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</si>
  <si>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</si>
  <si>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</si>
  <si>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</si>
  <si>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</si>
  <si>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</si>
  <si>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</si>
  <si>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</si>
  <si>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</si>
  <si>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</si>
  <si>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</si>
  <si>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</si>
  <si>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</si>
  <si>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</si>
  <si>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</si>
  <si>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</si>
  <si>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</si>
  <si>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</si>
  <si>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</si>
  <si>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</si>
  <si>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</si>
  <si>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</si>
  <si>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</si>
  <si>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</si>
  <si>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</si>
  <si>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</si>
  <si>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</si>
  <si>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</si>
  <si>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</si>
  <si>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</si>
  <si>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</si>
  <si>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</si>
  <si>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</si>
  <si>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</si>
  <si>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</si>
  <si>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</si>
  <si>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</si>
  <si>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</si>
  <si>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</si>
  <si>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</si>
  <si>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</si>
  <si>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</si>
  <si>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</si>
  <si>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</si>
  <si>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</si>
  <si>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</si>
  <si>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</si>
  <si>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</si>
  <si>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</si>
  <si>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</si>
  <si>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</si>
  <si>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</si>
  <si>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</si>
  <si>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</si>
  <si>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</si>
  <si>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</si>
  <si>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</si>
  <si>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</si>
  <si>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</si>
  <si>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</si>
  <si>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</si>
  <si>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</si>
  <si>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</si>
  <si>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</si>
  <si>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</si>
  <si>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</si>
  <si>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</si>
  <si>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</si>
  <si>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</si>
  <si>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</si>
  <si>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</si>
  <si>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</si>
  <si>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SH511880</t>
  </si>
  <si>
    <t>SH516880</t>
  </si>
  <si>
    <t>SH515150</t>
  </si>
  <si>
    <t>SZ159003</t>
  </si>
  <si>
    <t>SH511360</t>
  </si>
  <si>
    <t>SZ159871</t>
  </si>
  <si>
    <t>SZ159005</t>
  </si>
  <si>
    <t>SZ159898</t>
  </si>
  <si>
    <t>SH510530</t>
  </si>
  <si>
    <t>SH511690</t>
  </si>
  <si>
    <t>SH511850</t>
  </si>
  <si>
    <t>SH501077</t>
  </si>
  <si>
    <t>SH510410</t>
  </si>
  <si>
    <t>SZ159903</t>
  </si>
  <si>
    <t>SZ159001</t>
  </si>
  <si>
    <t>SH511660</t>
  </si>
  <si>
    <t>SZ163415</t>
  </si>
  <si>
    <t>SH501054</t>
  </si>
  <si>
    <t>SH512010</t>
  </si>
  <si>
    <t>SH512660</t>
  </si>
  <si>
    <t>SH511990</t>
  </si>
  <si>
    <t>SH516150</t>
  </si>
  <si>
    <t>SH516000</t>
  </si>
  <si>
    <t>SZ159702</t>
  </si>
  <si>
    <t>SH511700</t>
  </si>
  <si>
    <t>SZ167508</t>
  </si>
  <si>
    <t>SZ159957</t>
  </si>
  <si>
    <t>SH512100</t>
  </si>
  <si>
    <t>SZ159886</t>
  </si>
  <si>
    <t>SZ166027</t>
  </si>
  <si>
    <t>SH511810</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</si>
  <si>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</si>
  <si>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</si>
  <si>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</si>
  <si>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</si>
  <si>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</si>
  <si>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</si>
  <si>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</si>
  <si>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</si>
  <si>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</si>
  <si>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</si>
  <si>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</si>
  <si>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</si>
  <si>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</si>
  <si>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</si>
  <si>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</si>
  <si>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</si>
  <si>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</si>
  <si>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</si>
  <si>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</si>
  <si>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</si>
  <si>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</si>
  <si>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</si>
  <si>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</si>
  <si>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</si>
  <si>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</si>
  <si>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</si>
  <si>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</si>
  <si>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</si>
  <si>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</si>
  <si>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</si>
  <si>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</si>
  <si>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</si>
  <si>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</si>
  <si>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</si>
  <si>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</si>
  <si>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</si>
  <si>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</si>
  <si>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</si>
  <si>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</si>
  <si>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</si>
  <si>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</si>
  <si>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</si>
  <si>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</si>
  <si>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</si>
  <si>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</si>
  <si>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</si>
  <si>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</si>
  <si>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</si>
  <si>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</si>
  <si>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</si>
  <si>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</si>
  <si>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</si>
  <si>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</si>
  <si>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</si>
  <si>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</si>
  <si>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</si>
  <si>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</si>
  <si>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</si>
  <si>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</si>
  <si>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</si>
  <si>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</si>
  <si>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</si>
  <si>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</si>
  <si>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</si>
  <si>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</si>
  <si>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</si>
  <si>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</si>
  <si>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</si>
  <si>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</si>
  <si>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</si>
  <si>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</si>
  <si>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</si>
  <si>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</si>
  <si>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</si>
  <si>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</si>
  <si>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</si>
  <si>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</si>
  <si>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</si>
  <si>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</si>
  <si>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</si>
  <si>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</si>
  <si>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</si>
  <si>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</si>
  <si>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</si>
  <si>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</si>
  <si>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</si>
  <si>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</si>
  <si>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</si>
  <si>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</si>
  <si>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</si>
  <si>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</si>
  <si>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</si>
  <si>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</si>
  <si>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</si>
  <si>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</si>
  <si>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</si>
  <si>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</si>
  <si>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</si>
  <si>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</si>
  <si>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</si>
  <si>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</si>
  <si>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</si>
  <si>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</si>
  <si>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</si>
  <si>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</si>
  <si>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</si>
  <si>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</si>
  <si>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</si>
  <si>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</si>
  <si>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</si>
  <si>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</si>
  <si>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</si>
  <si>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</si>
  <si>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</si>
  <si>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</si>
  <si>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</si>
  <si>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</si>
  <si>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</si>
  <si>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</si>
  <si>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</si>
  <si>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</si>
  <si>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</si>
  <si>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</si>
  <si>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</si>
  <si>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</si>
  <si>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</si>
  <si>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</si>
  <si>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</si>
  <si>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</si>
  <si>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</si>
  <si>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</si>
  <si>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</si>
  <si>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</si>
  <si>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</si>
  <si>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</si>
  <si>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</si>
  <si>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</si>
  <si>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</si>
  <si>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</si>
  <si>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</si>
  <si>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</si>
  <si>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</si>
  <si>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</si>
  <si>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</si>
  <si>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</si>
  <si>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</si>
  <si>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</si>
  <si>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</si>
  <si>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</si>
  <si>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</si>
  <si>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</si>
  <si>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</si>
  <si>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</si>
  <si>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</si>
  <si>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</si>
  <si>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</si>
  <si>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</si>
  <si>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</si>
  <si>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</si>
  <si>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</si>
  <si>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</si>
  <si>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</si>
  <si>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</si>
  <si>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</si>
  <si>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</si>
  <si>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</si>
  <si>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</si>
  <si>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</si>
  <si>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</si>
  <si>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</si>
  <si>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</si>
  <si>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</si>
  <si>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</si>
  <si>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</si>
  <si>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</si>
  <si>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</si>
  <si>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</si>
  <si>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</si>
  <si>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</si>
  <si>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</si>
  <si>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</si>
  <si>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</si>
  <si>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</si>
  <si>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</si>
  <si>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</si>
  <si>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</si>
  <si>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</si>
  <si>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</si>
  <si>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</si>
  <si>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</si>
  <si>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</si>
  <si>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</si>
  <si>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</si>
  <si>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</si>
  <si>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</si>
  <si>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</si>
  <si>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</si>
  <si>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</si>
  <si>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</si>
  <si>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</si>
  <si>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</si>
  <si>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</si>
  <si>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</si>
  <si>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</si>
  <si>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</si>
  <si>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</si>
  <si>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</si>
  <si>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</si>
  <si>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</si>
  <si>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</si>
  <si>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</si>
  <si>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</si>
  <si>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</si>
  <si>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</si>
  <si>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</si>
  <si>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</si>
  <si>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</si>
  <si>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</si>
  <si>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</si>
  <si>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</si>
  <si>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</si>
  <si>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</si>
  <si>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</si>
  <si>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</si>
  <si>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</si>
  <si>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</si>
  <si>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</si>
  <si>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</si>
  <si>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</si>
  <si>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</si>
  <si>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</si>
  <si>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</si>
  <si>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</si>
  <si>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</si>
  <si>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</si>
  <si>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</si>
  <si>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</si>
  <si>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</si>
  <si>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</si>
  <si>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</si>
  <si>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</si>
  <si>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</si>
  <si>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</si>
  <si>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</si>
  <si>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</si>
  <si>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</si>
  <si>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</si>
  <si>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</si>
  <si>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</si>
  <si>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</si>
  <si>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</si>
  <si>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</si>
  <si>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</si>
  <si>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</si>
  <si>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</si>
  <si>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</si>
  <si>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</si>
  <si>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</si>
  <si>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</si>
  <si>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</si>
  <si>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</si>
  <si>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</si>
  <si>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</si>
  <si>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</si>
  <si>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</si>
  <si>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</si>
  <si>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</si>
  <si>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</si>
  <si>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</si>
  <si>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</si>
  <si>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</si>
  <si>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</si>
  <si>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</si>
  <si>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</si>
  <si>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</si>
  <si>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</si>
  <si>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</si>
  <si>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</si>
  <si>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</si>
  <si>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</si>
  <si>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</si>
  <si>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</si>
  <si>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</si>
  <si>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</si>
  <si>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</si>
  <si>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</si>
  <si>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</si>
  <si>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</si>
  <si>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</si>
  <si>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</si>
  <si>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</si>
  <si>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</si>
  <si>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</si>
  <si>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</si>
  <si>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</si>
  <si>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</si>
  <si>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</si>
  <si>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</si>
  <si>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</si>
  <si>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</si>
  <si>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</si>
  <si>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</si>
  <si>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</si>
  <si>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</si>
  <si>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</si>
  <si>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</si>
  <si>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</si>
  <si>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</si>
  <si>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</si>
  <si>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</si>
  <si>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</si>
  <si>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</si>
  <si>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</si>
  <si>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</si>
  <si>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</si>
  <si>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</si>
  <si>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</si>
  <si>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</si>
  <si>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</si>
  <si>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</si>
  <si>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</si>
  <si>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</si>
  <si>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</si>
  <si>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</si>
  <si>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</si>
  <si>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</si>
  <si>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</si>
  <si>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</si>
  <si>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</si>
  <si>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</si>
  <si>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</si>
  <si>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</si>
  <si>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</si>
  <si>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</si>
  <si>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</si>
  <si>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</si>
  <si>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</si>
  <si>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</si>
  <si>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</si>
  <si>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</si>
  <si>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</si>
  <si>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</si>
  <si>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</si>
  <si>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</si>
  <si>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</si>
  <si>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</si>
  <si>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</si>
  <si>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</si>
  <si>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</si>
  <si>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</si>
  <si>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</si>
  <si>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</si>
  <si>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</si>
  <si>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</si>
  <si>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</si>
  <si>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</si>
  <si>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</si>
  <si>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</si>
  <si>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</si>
  <si>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</si>
  <si>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</si>
  <si>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</si>
  <si>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</si>
  <si>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</si>
  <si>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</si>
  <si>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</si>
  <si>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</si>
  <si>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</si>
  <si>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</si>
  <si>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</si>
  <si>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</si>
  <si>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</si>
  <si>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</si>
  <si>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</si>
  <si>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</si>
  <si>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</si>
  <si>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</si>
  <si>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</si>
  <si>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</si>
  <si>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</si>
  <si>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</si>
  <si>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</si>
  <si>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</si>
  <si>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</si>
  <si>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</si>
  <si>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</si>
  <si>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</si>
  <si>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</si>
  <si>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</si>
  <si>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</si>
  <si>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</si>
  <si>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</si>
  <si>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</si>
  <si>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</si>
  <si>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</si>
  <si>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</si>
  <si>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</si>
  <si>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</si>
  <si>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</si>
  <si>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</si>
  <si>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</si>
  <si>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</si>
  <si>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</si>
  <si>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</si>
  <si>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</si>
  <si>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</si>
  <si>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</si>
  <si>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</si>
  <si>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</si>
  <si>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</si>
  <si>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</si>
  <si>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</si>
  <si>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</si>
  <si>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</si>
  <si>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</si>
  <si>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</si>
  <si>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</si>
  <si>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</si>
  <si>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</si>
  <si>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</si>
  <si>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</si>
  <si>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</si>
  <si>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</si>
  <si>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</si>
  <si>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</si>
  <si>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</si>
  <si>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</si>
  <si>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</si>
  <si>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</si>
  <si>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</si>
  <si>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</si>
  <si>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</si>
  <si>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</si>
  <si>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</si>
  <si>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</si>
  <si>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</si>
  <si>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</si>
  <si>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</si>
  <si>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</si>
  <si>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</si>
  <si>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</si>
  <si>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</si>
  <si>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</si>
  <si>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</si>
  <si>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</si>
  <si>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</si>
  <si>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</si>
  <si>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</si>
  <si>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</si>
  <si>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</si>
  <si>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</si>
  <si>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</si>
  <si>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</si>
  <si>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</si>
  <si>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</si>
  <si>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</si>
  <si>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</si>
  <si>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</si>
  <si>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</si>
  <si>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</si>
  <si>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</si>
  <si>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</si>
  <si>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</si>
  <si>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</si>
  <si>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</si>
  <si>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</si>
  <si>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</si>
  <si>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</si>
  <si>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</si>
  <si>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</si>
  <si>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</si>
  <si>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</si>
  <si>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</si>
  <si>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</si>
  <si>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</si>
  <si>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</si>
  <si>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</si>
  <si>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</si>
  <si>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</si>
  <si>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</si>
  <si>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</si>
  <si>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</si>
  <si>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</si>
  <si>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</si>
  <si>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</si>
  <si>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</si>
  <si>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</si>
  <si>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</si>
  <si>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</si>
  <si>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</si>
  <si>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</si>
  <si>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</si>
  <si>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</si>
  <si>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</si>
  <si>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</si>
  <si>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</si>
  <si>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</si>
  <si>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</si>
  <si>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</si>
  <si>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</si>
  <si>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</si>
  <si>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</si>
  <si>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</si>
  <si>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</si>
  <si>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</si>
  <si>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</si>
  <si>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</si>
  <si>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</si>
  <si>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</si>
  <si>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</si>
  <si>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</si>
  <si>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</si>
  <si>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</si>
  <si>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</si>
  <si>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</si>
  <si>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</si>
  <si>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</si>
  <si>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</si>
  <si>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</si>
  <si>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</si>
  <si>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</si>
  <si>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</si>
  <si>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</si>
  <si>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</si>
  <si>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</si>
  <si>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</si>
  <si>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</si>
  <si>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</si>
  <si>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</si>
  <si>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</si>
  <si>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</si>
  <si>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</si>
  <si>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</si>
  <si>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</si>
  <si>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</si>
  <si>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</si>
  <si>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</si>
  <si>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</si>
  <si>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</si>
  <si>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</si>
  <si>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</si>
  <si>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</si>
  <si>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</si>
  <si>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</si>
  <si>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</si>
  <si>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</si>
  <si>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</si>
  <si>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</si>
  <si>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</si>
  <si>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</si>
  <si>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</si>
  <si>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</si>
  <si>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</si>
  <si>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港股通ETF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</si>
  <si>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</si>
  <si>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</si>
  <si>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</si>
  <si>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</si>
  <si>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</si>
  <si>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</si>
  <si>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</si>
  <si>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</si>
  <si>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</si>
  <si>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</si>
  <si>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</si>
  <si>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</si>
  <si>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</si>
  <si>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</si>
  <si>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</si>
  <si>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</si>
  <si>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</si>
  <si>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</si>
  <si>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</si>
  <si>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</si>
  <si>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</si>
  <si>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</si>
  <si>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</si>
  <si>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</si>
  <si>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</si>
  <si>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</si>
  <si>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</si>
  <si>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</si>
  <si>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</si>
  <si>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</si>
  <si>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</si>
  <si>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</si>
  <si>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</si>
  <si>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</si>
  <si>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</si>
  <si>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</si>
  <si>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</si>
  <si>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</si>
  <si>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</si>
  <si>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</si>
  <si>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</si>
  <si>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</si>
  <si>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</si>
  <si>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</si>
  <si>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</si>
  <si>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</si>
  <si>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</si>
  <si>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</si>
  <si>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</si>
  <si>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</si>
  <si>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</si>
  <si>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</si>
  <si>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</si>
  <si>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</si>
  <si>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</si>
  <si>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</si>
  <si>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</si>
  <si>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</si>
  <si>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</si>
  <si>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</si>
  <si>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</si>
  <si>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</si>
  <si>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</si>
  <si>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</si>
  <si>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</si>
  <si>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</si>
  <si>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</si>
  <si>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</si>
  <si>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</si>
  <si>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港股通100ETF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</si>
  <si>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</si>
  <si>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</si>
  <si>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</si>
  <si>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</si>
  <si>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</si>
  <si>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</si>
  <si>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</si>
  <si>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</si>
  <si>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</si>
  <si>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</si>
  <si>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</si>
  <si>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</si>
  <si>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</si>
  <si>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</si>
  <si>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</si>
  <si>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</si>
  <si>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</si>
  <si>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</si>
  <si>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</si>
  <si>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</si>
  <si>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</si>
  <si>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</si>
  <si>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</si>
  <si>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</si>
  <si>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</si>
  <si>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</si>
  <si>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</si>
  <si>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</si>
  <si>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</si>
  <si>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</si>
  <si>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</si>
  <si>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</si>
  <si>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</si>
  <si>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</si>
  <si>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</si>
  <si>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</si>
  <si>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</si>
  <si>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</si>
  <si>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</si>
  <si>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</si>
  <si>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</si>
  <si>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</si>
  <si>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</si>
  <si>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</si>
  <si>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</si>
  <si>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</si>
  <si>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</si>
  <si>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</si>
  <si>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</si>
  <si>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</si>
  <si>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</si>
  <si>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</si>
  <si>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</si>
  <si>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</si>
  <si>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</si>
  <si>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</si>
  <si>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</si>
  <si>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</si>
  <si>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</si>
  <si>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</si>
  <si>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</si>
  <si>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</si>
  <si>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</si>
  <si>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</si>
  <si>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</si>
  <si>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</si>
  <si>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</si>
  <si>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</si>
  <si>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</si>
  <si>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</si>
  <si>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</si>
  <si>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</si>
  <si>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</si>
  <si>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</si>
  <si>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</si>
  <si>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</si>
  <si>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</si>
  <si>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</si>
  <si>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</si>
  <si>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</si>
  <si>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</si>
  <si>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</si>
  <si>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</si>
  <si>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</si>
  <si>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</si>
  <si>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</si>
  <si>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</si>
  <si>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</si>
  <si>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</si>
  <si>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</si>
  <si>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</si>
  <si>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</si>
  <si>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</si>
  <si>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</si>
  <si>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</si>
  <si>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</si>
  <si>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</si>
  <si>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</si>
  <si>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</si>
  <si>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</si>
  <si>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</si>
  <si>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</si>
  <si>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</si>
  <si>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</si>
  <si>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</si>
  <si>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</si>
  <si>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</si>
  <si>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</si>
  <si>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</si>
  <si>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添富快钱</t>
  </si>
  <si>
    <t>场内货币</t>
  </si>
  <si>
    <t>交易货币</t>
  </si>
  <si>
    <t>招商快线</t>
  </si>
  <si>
    <t>理财金H</t>
  </si>
  <si>
    <t>保证金</t>
  </si>
  <si>
    <t>建信添益</t>
  </si>
  <si>
    <t>财富宝E</t>
  </si>
  <si>
    <t>银华日利</t>
  </si>
  <si>
    <t>华宝添益</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</si>
  <si>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</si>
  <si>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</si>
  <si>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</si>
  <si>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</si>
  <si>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</si>
  <si>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</si>
  <si>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</si>
  <si>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</si>
  <si>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</si>
  <si>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</si>
  <si>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</si>
  <si>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</si>
  <si>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</si>
  <si>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</si>
  <si>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</si>
  <si>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</si>
  <si>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</si>
  <si>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</si>
  <si>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</si>
  <si>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</si>
  <si>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</si>
  <si>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SH508099</t>
  </si>
  <si>
    <t>中关村</t>
  </si>
  <si>
    <t>REITs</t>
  </si>
  <si>
    <t>SH508056</t>
  </si>
  <si>
    <t>普洛斯</t>
  </si>
  <si>
    <t>SH508027</t>
  </si>
  <si>
    <t>东吴苏园</t>
  </si>
  <si>
    <t>SH508018</t>
  </si>
  <si>
    <t>中交REIT</t>
  </si>
  <si>
    <t>SH508006</t>
  </si>
  <si>
    <t>首创水务</t>
  </si>
  <si>
    <t>SH508001</t>
  </si>
  <si>
    <t>浙江杭徽</t>
  </si>
  <si>
    <t>SH508000</t>
  </si>
  <si>
    <t>张江REIT</t>
  </si>
  <si>
    <t>首钢绿能</t>
  </si>
  <si>
    <t>SZ180301</t>
  </si>
  <si>
    <t>盐港REIT</t>
  </si>
  <si>
    <t>SZ180202</t>
  </si>
  <si>
    <t>华夏越秀高速REIT</t>
  </si>
  <si>
    <t>SZ180201</t>
  </si>
  <si>
    <t>广州广河</t>
  </si>
  <si>
    <t>SZ180101</t>
  </si>
  <si>
    <t>蛇口产园</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</si>
  <si>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</si>
  <si>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</si>
  <si>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</si>
  <si>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</si>
  <si>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</si>
  <si>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</si>
  <si>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</si>
  <si>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</si>
  <si>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</si>
  <si>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</si>
  <si>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</si>
  <si>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</si>
  <si>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</si>
  <si>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</si>
  <si>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</si>
  <si>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</si>
  <si>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</si>
  <si>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</si>
  <si>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</si>
  <si>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</si>
  <si>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</si>
  <si>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</si>
  <si>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</si>
  <si>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</si>
  <si>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</si>
  <si>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</si>
  <si>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</si>
  <si>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</si>
  <si>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</si>
  <si>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</si>
  <si>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</si>
  <si>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</si>
  <si>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</si>
  <si>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</si>
  <si>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</si>
  <si>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</si>
  <si>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</si>
  <si>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</si>
  <si>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</si>
  <si>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</si>
  <si>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</si>
  <si>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</si>
  <si>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</si>
  <si>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</si>
  <si>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</si>
  <si>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</si>
  <si>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</si>
  <si>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</si>
  <si>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</si>
  <si>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</si>
  <si>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</si>
  <si>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</si>
  <si>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</si>
  <si>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</si>
  <si>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</si>
  <si>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</si>
  <si>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</si>
  <si>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</si>
  <si>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</si>
  <si>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</si>
  <si>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</si>
  <si>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</si>
  <si>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</si>
  <si>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</si>
  <si>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</si>
  <si>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</si>
  <si>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</si>
  <si>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</si>
  <si>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港股通50</t>
  </si>
  <si>
    <t>香港证券</t>
  </si>
  <si>
    <t>恒生ETF</t>
  </si>
  <si>
    <t>恒生医疗</t>
  </si>
  <si>
    <t>恒生互联</t>
  </si>
  <si>
    <t>SZ169106</t>
  </si>
  <si>
    <t>东证创优</t>
  </si>
  <si>
    <t>SH515300</t>
  </si>
  <si>
    <t>红利低波ETF基金</t>
  </si>
  <si>
    <t>货币</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</si>
  <si>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</si>
  <si>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</si>
  <si>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</si>
  <si>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</si>
  <si>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</si>
  <si>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</si>
  <si>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</si>
  <si>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</si>
  <si>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</si>
  <si>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</si>
  <si>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</si>
  <si>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</si>
  <si>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</si>
  <si>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</si>
  <si>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</si>
  <si>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</si>
  <si>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</si>
  <si>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</si>
  <si>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</si>
  <si>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</si>
  <si>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</si>
  <si>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</si>
  <si>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</si>
  <si>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</si>
  <si>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</si>
  <si>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</si>
  <si>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</si>
  <si>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</si>
  <si>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</si>
  <si>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</si>
  <si>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</si>
  <si>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</si>
  <si>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</si>
  <si>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</si>
  <si>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</si>
  <si>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</si>
  <si>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</si>
  <si>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</si>
  <si>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</si>
  <si>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</si>
  <si>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</si>
  <si>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</si>
  <si>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</si>
  <si>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</si>
  <si>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</si>
  <si>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</si>
  <si>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</si>
  <si>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</si>
  <si>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</si>
  <si>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</si>
  <si>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</si>
  <si>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</si>
  <si>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</si>
  <si>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</si>
  <si>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</si>
  <si>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</si>
  <si>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</si>
  <si>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</si>
  <si>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</si>
  <si>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</si>
  <si>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</si>
  <si>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</si>
  <si>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</si>
  <si>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</si>
  <si>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</si>
  <si>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</si>
  <si>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</si>
  <si>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</si>
  <si>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</si>
  <si>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</si>
  <si>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</si>
  <si>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</si>
  <si>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</si>
  <si>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</si>
  <si>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</si>
  <si>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</si>
  <si>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</si>
  <si>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</si>
  <si>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</si>
  <si>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</si>
  <si>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</si>
  <si>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</si>
  <si>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</si>
  <si>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</si>
  <si>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</si>
  <si>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</si>
  <si>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</si>
  <si>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</si>
  <si>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</si>
  <si>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</si>
  <si>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</si>
  <si>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</si>
  <si>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</si>
  <si>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</si>
  <si>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</si>
  <si>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</si>
  <si>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</si>
  <si>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</si>
  <si>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</si>
  <si>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</si>
  <si>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</si>
  <si>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</si>
  <si>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</si>
  <si>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</si>
  <si>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</si>
  <si>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</si>
  <si>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</si>
  <si>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</si>
  <si>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</si>
  <si>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</si>
  <si>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</si>
  <si>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</si>
  <si>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</si>
  <si>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</si>
  <si>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</si>
  <si>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</si>
  <si>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</si>
  <si>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</si>
  <si>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</si>
  <si>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</si>
  <si>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</si>
  <si>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</si>
  <si>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</si>
  <si>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</si>
  <si>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</si>
  <si>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</si>
  <si>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</si>
  <si>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</si>
  <si>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</si>
  <si>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</si>
  <si>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</si>
  <si>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</si>
  <si>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</si>
  <si>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</si>
  <si>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</si>
  <si>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</si>
  <si>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</si>
  <si>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</si>
  <si>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</si>
  <si>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</si>
  <si>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</si>
  <si>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</si>
  <si>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</si>
  <si>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</si>
  <si>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</si>
  <si>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</si>
  <si>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</si>
  <si>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</si>
  <si>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</si>
  <si>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</si>
  <si>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</si>
  <si>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</si>
  <si>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</si>
  <si>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</si>
  <si>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</si>
  <si>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</si>
  <si>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</si>
  <si>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</si>
  <si>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</si>
  <si>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</si>
  <si>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</si>
  <si>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</si>
  <si>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</si>
  <si>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</si>
  <si>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</si>
  <si>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</si>
  <si>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</si>
  <si>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</si>
  <si>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</si>
  <si>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</si>
  <si>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</si>
  <si>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</si>
  <si>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</si>
  <si>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</si>
  <si>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</si>
  <si>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</si>
  <si>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</si>
  <si>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</si>
  <si>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</si>
  <si>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</si>
  <si>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</si>
  <si>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</si>
  <si>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</si>
  <si>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</si>
  <si>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</si>
  <si>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</si>
  <si>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</si>
  <si>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</si>
  <si>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</si>
  <si>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</si>
  <si>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</si>
  <si>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</si>
  <si>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</si>
  <si>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</si>
  <si>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</si>
  <si>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</si>
  <si>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</si>
  <si>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</si>
  <si>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</si>
  <si>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</si>
  <si>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</si>
  <si>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</si>
  <si>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</si>
  <si>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</si>
  <si>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</si>
  <si>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</si>
  <si>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</si>
  <si>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</si>
  <si>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</si>
  <si>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</si>
  <si>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</si>
  <si>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</si>
  <si>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</si>
  <si>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</si>
  <si>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</si>
  <si>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</si>
  <si>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</si>
  <si>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</si>
  <si>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</si>
  <si>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</si>
  <si>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</si>
  <si>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</si>
  <si>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</si>
  <si>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</si>
  <si>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</si>
  <si>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</si>
  <si>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</si>
  <si>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</si>
  <si>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</si>
  <si>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</si>
  <si>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</si>
  <si>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</si>
  <si>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</si>
  <si>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</si>
  <si>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</si>
  <si>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</si>
  <si>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</si>
  <si>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</si>
  <si>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</si>
  <si>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</si>
  <si>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</si>
  <si>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</si>
  <si>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</si>
  <si>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</si>
  <si>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</si>
  <si>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</si>
  <si>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</si>
  <si>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</si>
  <si>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</si>
  <si>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</si>
  <si>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</si>
  <si>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</si>
  <si>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</si>
  <si>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</si>
  <si>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</si>
  <si>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</si>
  <si>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</si>
  <si>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</si>
  <si>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</si>
  <si>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</si>
  <si>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</si>
  <si>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</si>
  <si>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</si>
  <si>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</si>
  <si>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</si>
  <si>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</si>
  <si>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</si>
  <si>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</si>
  <si>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</si>
  <si>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</si>
  <si>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</si>
  <si>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</si>
  <si>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</si>
  <si>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</si>
  <si>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</si>
  <si>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</si>
  <si>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</si>
  <si>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</si>
  <si>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</si>
  <si>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</si>
  <si>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</si>
  <si>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</si>
  <si>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</si>
  <si>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</si>
  <si>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</si>
  <si>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</si>
  <si>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</si>
  <si>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</si>
  <si>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</si>
  <si>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</si>
  <si>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</si>
  <si>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</si>
  <si>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</si>
  <si>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</si>
  <si>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</si>
  <si>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</si>
  <si>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</si>
  <si>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</si>
  <si>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</si>
  <si>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</si>
  <si>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</si>
  <si>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</si>
  <si>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</si>
  <si>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</si>
  <si>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</si>
  <si>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</si>
  <si>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</si>
  <si>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</si>
  <si>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</si>
  <si>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</si>
  <si>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</si>
  <si>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</si>
  <si>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</si>
  <si>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</si>
  <si>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</si>
  <si>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</si>
  <si>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</si>
  <si>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</si>
  <si>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</si>
  <si>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</si>
  <si>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</si>
  <si>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</si>
  <si>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</si>
  <si>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</si>
  <si>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</si>
  <si>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</si>
  <si>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</si>
  <si>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</si>
  <si>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</si>
  <si>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</si>
  <si>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</si>
  <si>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</si>
  <si>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</si>
  <si>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</si>
  <si>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</si>
  <si>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</si>
  <si>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</si>
  <si>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</si>
  <si>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</si>
  <si>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</si>
  <si>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</si>
  <si>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</si>
  <si>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</si>
  <si>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</si>
  <si>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</si>
  <si>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</si>
  <si>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</si>
  <si>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</si>
  <si>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</si>
  <si>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</si>
  <si>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</si>
  <si>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</si>
  <si>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</si>
  <si>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</si>
  <si>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</si>
  <si>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</si>
  <si>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</si>
  <si>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</si>
  <si>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</si>
  <si>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</si>
  <si>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</si>
  <si>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</si>
  <si>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</si>
  <si>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</si>
  <si>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</si>
  <si>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</si>
  <si>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</si>
  <si>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</si>
  <si>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</si>
  <si>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</si>
  <si>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</si>
  <si>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</si>
  <si>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</si>
  <si>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</si>
  <si>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</si>
  <si>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</si>
  <si>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</si>
  <si>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</si>
  <si>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</si>
  <si>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</si>
  <si>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</si>
  <si>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</si>
  <si>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</si>
  <si>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</si>
  <si>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</si>
  <si>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</si>
  <si>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大成添益E</t>
  </si>
  <si>
    <t>货币型</t>
  </si>
  <si>
    <t>海富通10年地债ETF</t>
  </si>
  <si>
    <t>华夏恒生香港ETF</t>
  </si>
  <si>
    <t>海富通5年地债ETF</t>
  </si>
  <si>
    <t>SZ161010</t>
  </si>
  <si>
    <t>富国天丰</t>
  </si>
  <si>
    <t>博时恒生科技ETF</t>
  </si>
  <si>
    <t>华安225ETF</t>
  </si>
  <si>
    <t>鹏华5年地债ETF</t>
  </si>
  <si>
    <t>国泰10年国债ETF</t>
  </si>
  <si>
    <t>平安5-10年国债ETF</t>
  </si>
  <si>
    <t>鹏华0-4年地债ETF</t>
  </si>
  <si>
    <t>海富通可转债ETF</t>
  </si>
  <si>
    <t>华夏恒生ETF</t>
  </si>
  <si>
    <t>华泰恒生科技ETF</t>
  </si>
  <si>
    <t>易方达恒生科技ETF</t>
  </si>
  <si>
    <t>汇添富快钱A</t>
  </si>
  <si>
    <t>华安恒生科技ETF</t>
  </si>
  <si>
    <t>诺安纯债A</t>
  </si>
  <si>
    <t>华夏225ETF</t>
  </si>
  <si>
    <t>国泰国债ETF</t>
  </si>
  <si>
    <t>易方达黄金ETF</t>
  </si>
  <si>
    <t>黄金</t>
  </si>
  <si>
    <t>华安黄金易ETF</t>
  </si>
  <si>
    <t>华夏恒生科技ETF</t>
  </si>
  <si>
    <t>博时黄金ETF</t>
  </si>
  <si>
    <t>国泰黄金ETF</t>
  </si>
  <si>
    <t>华安石油A</t>
  </si>
  <si>
    <t>SH511600</t>
  </si>
  <si>
    <t>华安日日鑫H</t>
  </si>
  <si>
    <t>广发美国石油A</t>
  </si>
  <si>
    <t>华夏互联网ETF</t>
  </si>
  <si>
    <t>易方达恒生ETF</t>
  </si>
  <si>
    <t>前海黄金ETF</t>
  </si>
  <si>
    <t>海富通城投ETF</t>
  </si>
  <si>
    <t>易方达225ETF</t>
  </si>
  <si>
    <t>华夏沪港通ETF</t>
  </si>
  <si>
    <t>南方恒生ETF</t>
  </si>
  <si>
    <t>富国上海金ETF</t>
  </si>
  <si>
    <t>易方达原油A</t>
  </si>
  <si>
    <t>华宝香港A</t>
  </si>
  <si>
    <t>南方原油A</t>
  </si>
  <si>
    <t>华夏黄金ETF</t>
  </si>
  <si>
    <t>SZ161119</t>
  </si>
  <si>
    <t>易方达综债A</t>
  </si>
  <si>
    <t>SZ161115</t>
  </si>
  <si>
    <t>易方达岁丰</t>
  </si>
  <si>
    <t>博时中国教育ETF</t>
  </si>
  <si>
    <t>银华恒生</t>
  </si>
  <si>
    <t>SZ160618</t>
  </si>
  <si>
    <t>鹏华丰泽</t>
  </si>
  <si>
    <t>SZ160513</t>
  </si>
  <si>
    <t>博时稳健A</t>
  </si>
  <si>
    <t>平安中债ETF</t>
  </si>
  <si>
    <t>易方达互联50ETF</t>
  </si>
  <si>
    <t>SH511670</t>
  </si>
  <si>
    <t>华泰资管货币A</t>
  </si>
  <si>
    <t>SH511900</t>
  </si>
  <si>
    <t>富国收益宝H</t>
  </si>
  <si>
    <t>工银黄金ETF</t>
  </si>
  <si>
    <t>SZ161716</t>
  </si>
  <si>
    <t>招商双债C</t>
  </si>
  <si>
    <t>SH511650</t>
  </si>
  <si>
    <t>华夏快线ETF</t>
  </si>
  <si>
    <t>海富通中证ETF</t>
  </si>
  <si>
    <t>华安法国ETF</t>
  </si>
  <si>
    <t>招商财富宝E</t>
  </si>
  <si>
    <t>华安德国30ETF</t>
  </si>
  <si>
    <t>银华日利A</t>
  </si>
  <si>
    <t>SZ164705</t>
  </si>
  <si>
    <t>汇添富恒生A</t>
  </si>
  <si>
    <t>南方理财金H</t>
  </si>
  <si>
    <t>平安交易货币E</t>
  </si>
  <si>
    <t>银华新经济ETF</t>
  </si>
  <si>
    <t>招商快线A</t>
  </si>
  <si>
    <t>建信添益H</t>
  </si>
  <si>
    <t>华宝添益A</t>
  </si>
  <si>
    <t>易方达保证金A</t>
  </si>
  <si>
    <t>SH511620</t>
  </si>
  <si>
    <t>国泰瞬利A</t>
  </si>
  <si>
    <t>SH511920</t>
  </si>
  <si>
    <t>广发货币E</t>
  </si>
  <si>
    <t>SH511800</t>
  </si>
  <si>
    <t>易方达货币E</t>
  </si>
  <si>
    <t>SH511860</t>
  </si>
  <si>
    <t>博时保证金ETF</t>
  </si>
  <si>
    <t>华夏纳指100ETF</t>
  </si>
  <si>
    <t>博时标普500ETF</t>
  </si>
  <si>
    <t>SH511830</t>
  </si>
  <si>
    <t>华泰交易货币A</t>
  </si>
  <si>
    <t>SZ161226</t>
  </si>
  <si>
    <t>国投白银</t>
  </si>
  <si>
    <t>SZ161125</t>
  </si>
  <si>
    <t>易方达标普500A</t>
  </si>
  <si>
    <t>SZ160140</t>
  </si>
  <si>
    <t>南方美国REITA</t>
  </si>
  <si>
    <t>广发纳指100ETF</t>
  </si>
  <si>
    <t>国泰纳指100ETF</t>
  </si>
  <si>
    <t>工银印度</t>
  </si>
  <si>
    <t>易方达标普信息A</t>
  </si>
  <si>
    <t>SZ161116</t>
  </si>
  <si>
    <t>易方达黄金A</t>
  </si>
  <si>
    <t>易方达标普生物A</t>
  </si>
  <si>
    <t>易方达纳指A</t>
  </si>
  <si>
    <t>嘉实恒生科技ETF</t>
  </si>
  <si>
    <t>嘉实互联网30ETF</t>
  </si>
  <si>
    <t>当前价</t>
  </si>
  <si>
    <t>无锡转债</t>
  </si>
  <si>
    <t>靖远转债 !</t>
  </si>
  <si>
    <t>海兰转债 !</t>
  </si>
  <si>
    <t>天壕转债 !</t>
  </si>
  <si>
    <t>石英转债 !</t>
  </si>
  <si>
    <t>中矿转债 !</t>
  </si>
  <si>
    <t>金诚转债</t>
  </si>
  <si>
    <t>鹏辉转债 !</t>
  </si>
  <si>
    <t>川恒转债 !</t>
  </si>
  <si>
    <t>荣晟转债 !</t>
  </si>
  <si>
    <t>明泰转债 !</t>
  </si>
  <si>
    <t>国泰转债</t>
  </si>
  <si>
    <t>旺能转债</t>
  </si>
  <si>
    <t>万顺转2 !</t>
  </si>
  <si>
    <t>华统转债 !</t>
  </si>
  <si>
    <t>寿仙转债 !</t>
  </si>
  <si>
    <t>齐翔转2 !</t>
  </si>
  <si>
    <t>川投转债 !</t>
  </si>
  <si>
    <t>文灿转债 !</t>
  </si>
  <si>
    <t>同和转债 !</t>
  </si>
  <si>
    <t>湖广转债 !</t>
  </si>
  <si>
    <t>洪城转债</t>
  </si>
  <si>
    <t>伯特转债 !</t>
  </si>
  <si>
    <t>苏银转债</t>
  </si>
  <si>
    <t>君禾转债 !</t>
  </si>
  <si>
    <t>龙净转债</t>
  </si>
  <si>
    <t>南银转债</t>
  </si>
  <si>
    <t>恩捷转债 !</t>
  </si>
  <si>
    <t>万顺转债 !</t>
  </si>
  <si>
    <t>正邦转债</t>
  </si>
  <si>
    <t>太阳转债 !</t>
  </si>
  <si>
    <t>飞凯转债 !</t>
  </si>
  <si>
    <t>金禾转债 !</t>
  </si>
  <si>
    <t>张行转债</t>
  </si>
  <si>
    <t>建工转债</t>
  </si>
  <si>
    <t>苏试转债 !</t>
  </si>
  <si>
    <t>华通转债 !</t>
  </si>
  <si>
    <t>中钢转债</t>
  </si>
  <si>
    <t>通22转债</t>
  </si>
  <si>
    <t>成银转债</t>
  </si>
  <si>
    <t>杭银转债</t>
  </si>
  <si>
    <t>美联转债 !</t>
  </si>
  <si>
    <t>大秦转债</t>
  </si>
  <si>
    <t>一品转债 !</t>
  </si>
  <si>
    <t>福能转债</t>
  </si>
  <si>
    <t>科伦转债</t>
  </si>
  <si>
    <t>国微转债 !</t>
  </si>
  <si>
    <t>三角转债 !</t>
  </si>
  <si>
    <t>火炬转债</t>
  </si>
  <si>
    <t>江银转债</t>
  </si>
  <si>
    <t>傲农转债 !</t>
  </si>
  <si>
    <t>华锋转债 !</t>
  </si>
  <si>
    <t>精达转债 !</t>
  </si>
  <si>
    <t>台华转债 !</t>
  </si>
  <si>
    <t>光大转债</t>
  </si>
  <si>
    <t>节能转债 !</t>
  </si>
  <si>
    <t>新天转债 !</t>
  </si>
  <si>
    <t>苏租转债</t>
  </si>
  <si>
    <t>牧原转债</t>
  </si>
  <si>
    <t>北港转债</t>
  </si>
  <si>
    <t>中环转2</t>
  </si>
  <si>
    <t>美诺转债</t>
  </si>
  <si>
    <t>温氏转债</t>
  </si>
  <si>
    <t>润建转债 !</t>
  </si>
  <si>
    <t>希望转2</t>
  </si>
  <si>
    <t>华钰转债 !</t>
  </si>
  <si>
    <t>现代转债</t>
  </si>
  <si>
    <t>伊力转债 !</t>
  </si>
  <si>
    <t>苏农转债</t>
  </si>
  <si>
    <t>鸿达转债 !</t>
  </si>
  <si>
    <t>本钢转债</t>
  </si>
  <si>
    <t>天能转债 !</t>
  </si>
  <si>
    <t>南航转债</t>
  </si>
  <si>
    <t>中金转债</t>
  </si>
  <si>
    <t>飞鹿转债 !</t>
  </si>
  <si>
    <t>贵广转债</t>
  </si>
  <si>
    <t>小康转债 !</t>
  </si>
  <si>
    <t>招路转债</t>
  </si>
  <si>
    <t>鹰19转债</t>
  </si>
  <si>
    <t>天铁转债 !</t>
  </si>
  <si>
    <t>中银转债</t>
  </si>
  <si>
    <t>中装转2</t>
  </si>
  <si>
    <t>精工转债</t>
  </si>
  <si>
    <t>晶科转债</t>
  </si>
  <si>
    <t>山鹰转债</t>
  </si>
  <si>
    <t>楚江转债 !</t>
  </si>
  <si>
    <t>苏行转债</t>
  </si>
  <si>
    <t>鸿路转债</t>
  </si>
  <si>
    <t>长汽转债</t>
  </si>
  <si>
    <t>友发转债</t>
  </si>
  <si>
    <t>隆22转债</t>
  </si>
  <si>
    <t>鲁泰转债</t>
  </si>
  <si>
    <t>核建转债</t>
  </si>
  <si>
    <t>洽洽转债</t>
  </si>
  <si>
    <t>嘉元转债 !</t>
  </si>
  <si>
    <t>恒逸转债</t>
  </si>
  <si>
    <t>旗滨转债</t>
  </si>
  <si>
    <t>禾丰转债</t>
  </si>
  <si>
    <t>青农转债</t>
  </si>
  <si>
    <t>国君转债</t>
  </si>
  <si>
    <t>兴业转债</t>
  </si>
  <si>
    <t>长信转债</t>
  </si>
  <si>
    <t>长证转债</t>
  </si>
  <si>
    <t>上22转债</t>
  </si>
  <si>
    <t>药石转债</t>
  </si>
  <si>
    <t>冀东转债</t>
  </si>
  <si>
    <t>绿动转债</t>
  </si>
  <si>
    <t>景20转债</t>
  </si>
  <si>
    <t>华友转债</t>
  </si>
  <si>
    <t>洁美转债 !</t>
  </si>
  <si>
    <t>蓝晓转债 !</t>
  </si>
  <si>
    <t>紫银转债</t>
  </si>
  <si>
    <t>裕兴转债</t>
  </si>
  <si>
    <t>广汇转债</t>
  </si>
  <si>
    <t>重银转债</t>
  </si>
  <si>
    <t>中特转债</t>
  </si>
  <si>
    <t>海澜转债</t>
  </si>
  <si>
    <t>联创转债 !</t>
  </si>
  <si>
    <t>亨通转债</t>
  </si>
  <si>
    <t>帝欧转债</t>
  </si>
  <si>
    <t>晶瑞转债 !</t>
  </si>
  <si>
    <t>太极转债 !</t>
  </si>
  <si>
    <t>敖东转债</t>
  </si>
  <si>
    <t>巨星转债</t>
  </si>
  <si>
    <t>艾迪转债</t>
  </si>
  <si>
    <t>三花转债</t>
  </si>
  <si>
    <t>麒麟转债</t>
  </si>
  <si>
    <t>华安转债</t>
  </si>
  <si>
    <t>中信转债</t>
  </si>
  <si>
    <t>金田转债</t>
  </si>
  <si>
    <t>捷捷转债</t>
  </si>
  <si>
    <t>升21转债</t>
  </si>
  <si>
    <t>凤21转债</t>
  </si>
  <si>
    <t>宏发转债</t>
  </si>
  <si>
    <t>国投转债</t>
  </si>
  <si>
    <t>财通转债</t>
  </si>
  <si>
    <t>天康转债 !</t>
  </si>
  <si>
    <t>上银转债</t>
  </si>
  <si>
    <t>环旭转债</t>
  </si>
  <si>
    <t>垒知转债</t>
  </si>
  <si>
    <t>永东转2</t>
  </si>
  <si>
    <t>闻泰转债</t>
  </si>
  <si>
    <t>烽火转债</t>
  </si>
  <si>
    <t>韦尔转债</t>
  </si>
  <si>
    <t>浦发转债</t>
  </si>
  <si>
    <t>杭叉转债</t>
  </si>
  <si>
    <t>盈峰转债</t>
  </si>
  <si>
    <t>乐普转2</t>
  </si>
  <si>
    <t>首华转债</t>
  </si>
  <si>
    <t>崇达转2</t>
  </si>
  <si>
    <t>通光转债 !</t>
  </si>
  <si>
    <t>大族转债</t>
  </si>
  <si>
    <t>昌红转债 !</t>
  </si>
  <si>
    <t>华海转债</t>
  </si>
  <si>
    <t>康泰转2</t>
  </si>
  <si>
    <t>科沃转债</t>
  </si>
  <si>
    <t>立讯转债</t>
  </si>
  <si>
    <t>蓝帆转债</t>
  </si>
  <si>
    <t>蒙娜转债</t>
  </si>
  <si>
    <t>鹤21转债</t>
  </si>
  <si>
    <t>大参转债</t>
  </si>
  <si>
    <t>西子转债</t>
  </si>
  <si>
    <t>百润转债</t>
  </si>
  <si>
    <t>仙乐转债</t>
  </si>
  <si>
    <t>家悦转债</t>
  </si>
  <si>
    <t>城地转债</t>
  </si>
  <si>
    <t>亚药转债</t>
  </si>
  <si>
    <t>华体转债</t>
  </si>
  <si>
    <t>永吉转债</t>
  </si>
  <si>
    <t>乐歌转债</t>
  </si>
  <si>
    <t>泰林转债</t>
  </si>
  <si>
    <t>横河转债</t>
  </si>
  <si>
    <t>蓝盾转债</t>
  </si>
  <si>
    <t>转债代码</t>
  </si>
  <si>
    <t>转债名称</t>
  </si>
  <si>
    <t>双低值</t>
  </si>
  <si>
    <t>剩余规模</t>
  </si>
  <si>
    <t>交科转债 !</t>
  </si>
  <si>
    <t>最新低溢价可转债排名</t>
    <phoneticPr fontId="2" type="noConversion"/>
  </si>
  <si>
    <t>注：点击更新前请先点击更新《可转债实时数据》</t>
    <phoneticPr fontId="2" type="noConversion"/>
  </si>
  <si>
    <t>最新双低可转债排名</t>
    <phoneticPr fontId="2" type="noConversion"/>
  </si>
  <si>
    <t>SZ180801</t>
  </si>
  <si>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</si>
  <si>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</si>
  <si>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</si>
  <si>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</si>
  <si>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</si>
  <si>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</si>
  <si>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</si>
  <si>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</si>
  <si>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</si>
  <si>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</si>
  <si>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</si>
  <si>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</si>
  <si>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停牌</t>
  </si>
  <si>
    <t>雪球组合“wb动量LOF封基ETF”ZH3040077</t>
    <phoneticPr fontId="2" type="noConversion"/>
  </si>
  <si>
    <t>雪球组合“wbb境外-债基投资”ZH3044957</t>
  </si>
  <si>
    <t>雪球组合“wbb双低可转债”ZH2982722</t>
    <phoneticPr fontId="2" type="noConversion"/>
  </si>
  <si>
    <t>联系作者</t>
  </si>
  <si>
    <t>(一)、使用Python+Excel可视化你的持仓和最新排名的差异，解决买什么卖什么的烦恼</t>
  </si>
  <si>
    <t>3. 分别点击《低溢价可转债轮动》和《双低可转债轮动》里面的“点击更新”按钮，如果有其他任何自定义排名也可以手动更新”最新VIP可转债排名“。</t>
  </si>
  <si>
    <t>4. 从券商软件导出最新的低溢价可转债持仓和双低可转债持仓的Excel表格，并分别更新到“我的低溢价可转债持仓”、“我的双低可转债持仓”，这时候就可以看到需要轮动的结果了。</t>
  </si>
  <si>
    <t>注1：这里依赖的是Excel自带的各种公式，忽然发现Excel解放手脚的强大了吧？神不神奇惊不惊喜，意不意外?</t>
  </si>
  <si>
    <t>注2：每个sheet页我都做了双排名（即自定义的”最新VIP可转债排名“），满足用户自定义的需求。</t>
  </si>
  <si>
    <t>(二)、关于《20天净值增长率和溢价率轮动LOF、ETF和封基》和《20天净值增长率和溢价率轮动债券和境外基金》</t>
  </si>
  <si>
    <t>1. 安装Python3：https://www.python.org/ftp/python/3.8.7/python-3.8.7-amd64.exe</t>
  </si>
  <si>
    <t>2. 打开cmd窗口输入：pip install xlwings pandas requests pysnowball browser-cookie3</t>
  </si>
  <si>
    <t>4. 点击“点击更新”按钮，即可更新这2个策略的最新的排名数据，</t>
  </si>
  <si>
    <t>5. 从券商软件导出我的持仓放在左侧列表，即可看到目前持仓排名了。</t>
  </si>
  <si>
    <t>注4：Python调用雪球API前需要设置xq_a_token，但它大约只有20天的有效期，之前都是使用F12各种查找xq_a_token然后复制粘贴到我们的Python程序， 搜索发现可以使用browser-cookie3自动化获取电脑浏览器已缓存的cookies（当然浏览器的cookies肯定也会过期，我们只需要坚持每20天左右使用电脑浏览器访问任意一个雪球网站即可刷新电脑浏览器的cookies）。</t>
  </si>
  <si>
    <t>注5：作为一个Android程序员，从2022.2月份开始边学边练第一次写Python项目进行量化投资，语法格式肯定不完美，勿喷，仅仅是为了解放调仓的苦恼而写的小玩意，分享出来仅用于学习研究，不可用于商业用途！</t>
  </si>
  <si>
    <t xml:space="preserve">1. 这里以"低溢价可转债策略"、"双低可转债策略"为例子，我做了2个轮动的sheet表格：《低溢价可转债轮动》和《双低可转债轮动》。 </t>
  </si>
  <si>
    <t xml:space="preserve">2. 点击《可转债实时数据》里面的“点击更新”按钮。 </t>
  </si>
  <si>
    <t>注3：这里的2个sheet页仅是2个可转债的例子，填充了持仓和最新排名。用户可以将它应用于任何的“依据各种因子进行排名的量化轮动策略”。</t>
  </si>
  <si>
    <t>大家可以将这两个sheet作为壳子，替换成任何你们自己的轮动品种，比如小市值低价股票策略、低估股票策略、A/H轮动等等。</t>
  </si>
  <si>
    <t>3. 启用excel中的xlwings宏：</t>
  </si>
  <si>
    <t xml:space="preserve">   (a)、命令行安装加载项：xlwings addin install。</t>
  </si>
  <si>
    <t xml:space="preserve">   (b)、在excel中启用加载项： 文件&gt;选项&gt;信任中心&gt;信任中心设置&gt;宏设置 中，选择“启用所有并勾选”并勾选“对VBA对象模型的信任访问”。 </t>
  </si>
  <si>
    <t>如果想讨论该tool的用法或者新需求，以及量化轮动策略等相关的内容，可以加入用户交流群，共同学习和进步！</t>
  </si>
  <si>
    <t>5天净值增长率</t>
  </si>
  <si>
    <t>10天净值增长率</t>
  </si>
  <si>
    <t>更新时间:2022-06-18__17-14-46</t>
    <phoneticPr fontId="2" type="noConversion"/>
  </si>
  <si>
    <t>更新时间:2022-06-18__17-21-29</t>
    <phoneticPr fontId="2" type="noConversion"/>
  </si>
  <si>
    <t>更新时间:2022-06-18__17-22-27</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</si>
</sst>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8"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s>
  <fills count="8">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0" fontId="0" fillId="0" borderId="0" xfId="0" applyNumberFormat="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0" fontId="11" fillId="0" borderId="1" xfId="0" applyNumberFormat="1" applyFont="1" applyBorder="1" applyAlignment="1">
      <alignment horizontal="center"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0" fontId="6" fillId="0" borderId="0" xfId="1" applyNumberFormat="1" applyFont="1"/>
    <xf numFmtId="0" fontId="4" fillId="0" borderId="0" xfId="1" applyNumberFormat="1" applyFont="1"/>
    <xf numFmtId="176" fontId="4" fillId="0" borderId="0" xfId="1" applyNumberFormat="1" applyFont="1"/>
    <xf numFmtId="176" fontId="6" fillId="0" borderId="0" xfId="1" applyNumberFormat="1" applyFont="1"/>
    <xf numFmtId="0" fontId="4" fillId="7" borderId="0" xfId="1" applyFont="1" applyFill="1"/>
    <xf numFmtId="0" fontId="4" fillId="7" borderId="0" xfId="1" applyNumberFormat="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0" fontId="15" fillId="2" borderId="0" xfId="3" applyNumberFormat="1" applyFont="1" applyFill="1" applyBorder="1" applyAlignment="1">
      <alignment horizontal="center" vertical="center"/>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4</xdr:col>
      <xdr:colOff>495300</xdr:colOff>
      <xdr:row>19</xdr:row>
      <xdr:rowOff>95250</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619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123825</xdr:colOff>
          <xdr:row>1</xdr:row>
          <xdr:rowOff>123825</xdr:rowOff>
        </xdr:from>
        <xdr:to>
          <xdr:col>20</xdr:col>
          <xdr:colOff>542925</xdr:colOff>
          <xdr:row>4</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171450</xdr:colOff>
          <xdr:row>1</xdr:row>
          <xdr:rowOff>133350</xdr:rowOff>
        </xdr:from>
        <xdr:to>
          <xdr:col>20</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48"/>
  <sheetViews>
    <sheetView workbookViewId="0">
      <selection activeCell="I11" sqref="I11"/>
    </sheetView>
  </sheetViews>
  <sheetFormatPr defaultRowHeight="14.25" x14ac:dyDescent="0.15"/>
  <sheetData>
    <row r="1" spans="1:10" x14ac:dyDescent="0.15">
      <c r="A1" s="57" t="s">
        <v>2012</v>
      </c>
    </row>
    <row r="2" spans="1:10" s="59" customFormat="1" x14ac:dyDescent="0.15">
      <c r="A2" s="58" t="s">
        <v>2032</v>
      </c>
      <c r="B2" s="58"/>
      <c r="C2" s="58"/>
      <c r="D2" s="58"/>
      <c r="E2" s="58"/>
      <c r="F2" s="58"/>
      <c r="G2" s="58"/>
      <c r="H2" s="58"/>
      <c r="I2" s="58"/>
      <c r="J2" s="58"/>
    </row>
    <row r="22" spans="1:1" s="57" customFormat="1" x14ac:dyDescent="0.15">
      <c r="A22" s="57" t="s">
        <v>2013</v>
      </c>
    </row>
    <row r="23" spans="1:1" x14ac:dyDescent="0.15">
      <c r="A23" s="58" t="s">
        <v>2025</v>
      </c>
    </row>
    <row r="24" spans="1:1" x14ac:dyDescent="0.15">
      <c r="A24" t="s">
        <v>2026</v>
      </c>
    </row>
    <row r="25" spans="1:1" x14ac:dyDescent="0.15">
      <c r="A25" t="s">
        <v>2014</v>
      </c>
    </row>
    <row r="26" spans="1:1" x14ac:dyDescent="0.15">
      <c r="A26" t="s">
        <v>2015</v>
      </c>
    </row>
    <row r="29" spans="1:1" x14ac:dyDescent="0.15">
      <c r="A29" t="s">
        <v>2016</v>
      </c>
    </row>
    <row r="31" spans="1:1" x14ac:dyDescent="0.15">
      <c r="A31" t="s">
        <v>2017</v>
      </c>
    </row>
    <row r="33" spans="1:1" x14ac:dyDescent="0.15">
      <c r="A33" t="s">
        <v>2027</v>
      </c>
    </row>
    <row r="34" spans="1:1" x14ac:dyDescent="0.15">
      <c r="A34" t="s">
        <v>2028</v>
      </c>
    </row>
    <row r="36" spans="1:1" s="57" customFormat="1" x14ac:dyDescent="0.15">
      <c r="A36" s="57" t="s">
        <v>2018</v>
      </c>
    </row>
    <row r="37" spans="1:1" x14ac:dyDescent="0.15">
      <c r="A37" t="s">
        <v>2019</v>
      </c>
    </row>
    <row r="38" spans="1:1" x14ac:dyDescent="0.15">
      <c r="A38" t="s">
        <v>2020</v>
      </c>
    </row>
    <row r="39" spans="1:1" x14ac:dyDescent="0.15">
      <c r="A39" t="s">
        <v>2029</v>
      </c>
    </row>
    <row r="40" spans="1:1" x14ac:dyDescent="0.15">
      <c r="A40" t="s">
        <v>2030</v>
      </c>
    </row>
    <row r="41" spans="1:1" x14ac:dyDescent="0.15">
      <c r="A41" t="s">
        <v>2031</v>
      </c>
    </row>
    <row r="42" spans="1:1" x14ac:dyDescent="0.15">
      <c r="A42" t="s">
        <v>2021</v>
      </c>
    </row>
    <row r="43" spans="1:1" x14ac:dyDescent="0.15">
      <c r="A43" t="s">
        <v>2022</v>
      </c>
    </row>
    <row r="46" spans="1:1" x14ac:dyDescent="0.15">
      <c r="A46" t="s">
        <v>2023</v>
      </c>
    </row>
    <row r="48" spans="1:1" x14ac:dyDescent="0.15">
      <c r="A48" t="s">
        <v>2024</v>
      </c>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11"/>
  <sheetViews>
    <sheetView workbookViewId="0">
      <pane ySplit="1" topLeftCell="A2" activePane="bottomLeft" state="frozen"/>
      <selection pane="bottomLeft" activeCell="U17" sqref="U17"/>
    </sheetView>
  </sheetViews>
  <sheetFormatPr defaultRowHeight="14.25" x14ac:dyDescent="0.15"/>
  <cols>
    <col min="1" max="1" width="5.75" style="31" customWidth="1"/>
    <col min="2" max="3" width="10.75" style="30" customWidth="1"/>
    <col min="4" max="6" width="9" style="30"/>
    <col min="7" max="7" width="10.75" style="30" customWidth="1"/>
    <col min="8" max="8" width="9" style="30"/>
    <col min="9" max="9" width="9.5" style="51" bestFit="1" customWidth="1"/>
    <col min="10" max="10" width="11.125" style="30" customWidth="1"/>
    <col min="11" max="12" width="10.75" style="53" customWidth="1"/>
    <col min="13" max="13" width="11.625" style="53" bestFit="1" customWidth="1"/>
    <col min="14" max="14" width="9" style="54" customWidth="1"/>
    <col min="15" max="15" width="10.75" style="53" customWidth="1"/>
    <col min="16" max="17" width="9" style="30"/>
    <col min="18" max="18" width="9" style="54"/>
    <col min="19" max="16384" width="9" style="30"/>
  </cols>
  <sheetData>
    <row r="1" spans="1:21" s="40" customFormat="1" x14ac:dyDescent="0.15">
      <c r="A1" s="41"/>
      <c r="B1" s="42" t="s">
        <v>1987</v>
      </c>
      <c r="C1" s="43" t="s">
        <v>1988</v>
      </c>
      <c r="D1" s="44" t="s">
        <v>1813</v>
      </c>
      <c r="E1" s="45" t="s">
        <v>1997</v>
      </c>
      <c r="F1" s="40" t="s">
        <v>1998</v>
      </c>
      <c r="G1" s="40" t="s">
        <v>1999</v>
      </c>
      <c r="H1" s="44" t="s">
        <v>35</v>
      </c>
      <c r="I1" s="46" t="s">
        <v>1989</v>
      </c>
      <c r="J1" s="40" t="s">
        <v>2000</v>
      </c>
      <c r="K1" s="47" t="s">
        <v>2001</v>
      </c>
      <c r="L1" s="48" t="s">
        <v>1990</v>
      </c>
      <c r="M1" s="44" t="s">
        <v>2002</v>
      </c>
      <c r="N1" s="49" t="s">
        <v>2003</v>
      </c>
      <c r="O1" s="47" t="s">
        <v>2004</v>
      </c>
      <c r="P1" s="44" t="s">
        <v>2005</v>
      </c>
      <c r="Q1" s="44" t="s">
        <v>2006</v>
      </c>
      <c r="R1" s="50" t="s">
        <v>2007</v>
      </c>
    </row>
    <row r="2" spans="1:21" x14ac:dyDescent="0.15">
      <c r="A2" s="31">
        <v>1</v>
      </c>
      <c r="B2" s="30">
        <v>113568</v>
      </c>
      <c r="C2" s="30" t="s">
        <v>132</v>
      </c>
      <c r="D2" s="30">
        <v>155.29</v>
      </c>
      <c r="F2" s="30">
        <v>8.75</v>
      </c>
      <c r="G2" s="30">
        <v>157.71</v>
      </c>
      <c r="H2" s="30">
        <v>-1.53</v>
      </c>
      <c r="I2" s="51">
        <v>153.76</v>
      </c>
      <c r="J2" s="52">
        <v>46087</v>
      </c>
      <c r="K2" s="53">
        <v>3.7290000000000001</v>
      </c>
      <c r="L2" s="53">
        <v>2.8459999999999999E-2</v>
      </c>
      <c r="M2" s="53">
        <v>0</v>
      </c>
      <c r="N2" s="54">
        <v>0</v>
      </c>
      <c r="O2" s="53">
        <v>-6.0701000000000001</v>
      </c>
      <c r="R2" s="54" t="s">
        <v>2008</v>
      </c>
    </row>
    <row r="3" spans="1:21" x14ac:dyDescent="0.15">
      <c r="A3" s="31">
        <v>2</v>
      </c>
      <c r="B3" s="30">
        <v>127040</v>
      </c>
      <c r="C3" s="30" t="s">
        <v>1825</v>
      </c>
      <c r="D3" s="30">
        <v>134.28100000000001</v>
      </c>
      <c r="E3" s="30">
        <v>2.36</v>
      </c>
      <c r="F3" s="30">
        <v>8.77</v>
      </c>
      <c r="G3" s="30">
        <v>135.80000000000001</v>
      </c>
      <c r="H3" s="30">
        <v>-1.1200000000000001</v>
      </c>
      <c r="I3" s="51">
        <v>133.161</v>
      </c>
      <c r="J3" s="52">
        <v>46575</v>
      </c>
      <c r="K3" s="53">
        <v>5.0549999999999997</v>
      </c>
      <c r="L3" s="53">
        <v>41.219786999999997</v>
      </c>
      <c r="M3" s="53">
        <v>77014.459504400002</v>
      </c>
      <c r="N3" s="54">
        <v>0.1391399880634932</v>
      </c>
      <c r="O3" s="53">
        <v>-3.4918999999999998</v>
      </c>
      <c r="P3" s="30">
        <v>135.5</v>
      </c>
      <c r="Q3" s="30">
        <v>130</v>
      </c>
      <c r="R3" s="54">
        <v>4.230769230769231E-2</v>
      </c>
      <c r="T3" s="32"/>
      <c r="U3" s="32"/>
    </row>
    <row r="4" spans="1:21" x14ac:dyDescent="0.15">
      <c r="A4" s="31">
        <v>3</v>
      </c>
      <c r="B4" s="30">
        <v>128046</v>
      </c>
      <c r="C4" s="30" t="s">
        <v>800</v>
      </c>
      <c r="D4" s="30">
        <v>198.797</v>
      </c>
      <c r="E4" s="30">
        <v>5.62</v>
      </c>
      <c r="F4" s="30">
        <v>12.8</v>
      </c>
      <c r="G4" s="30">
        <v>200.31</v>
      </c>
      <c r="H4" s="30">
        <v>-0.76</v>
      </c>
      <c r="I4" s="51">
        <v>198.03700000000001</v>
      </c>
      <c r="J4" s="52">
        <v>45582</v>
      </c>
      <c r="K4" s="53">
        <v>2.3340000000000001</v>
      </c>
      <c r="L4" s="53">
        <v>7.7484169999999999</v>
      </c>
      <c r="M4" s="53">
        <v>113486.1982065</v>
      </c>
      <c r="N4" s="54">
        <v>0.73675015484890294</v>
      </c>
      <c r="O4" s="53">
        <v>-22.279800000000002</v>
      </c>
      <c r="P4" s="30">
        <v>205</v>
      </c>
      <c r="Q4" s="30">
        <v>191.11</v>
      </c>
      <c r="R4" s="54">
        <v>7.2680655120087825E-2</v>
      </c>
      <c r="T4" s="32"/>
      <c r="U4" s="32"/>
    </row>
    <row r="5" spans="1:21" x14ac:dyDescent="0.15">
      <c r="A5" s="31">
        <v>4</v>
      </c>
      <c r="B5" s="30">
        <v>127013</v>
      </c>
      <c r="C5" s="30" t="s">
        <v>193</v>
      </c>
      <c r="D5" s="30">
        <v>157.01</v>
      </c>
      <c r="E5" s="30">
        <v>2.2400000000000002</v>
      </c>
      <c r="F5" s="30">
        <v>11.19</v>
      </c>
      <c r="G5" s="30">
        <v>158</v>
      </c>
      <c r="H5" s="30">
        <v>-0.63</v>
      </c>
      <c r="I5" s="51">
        <v>156.38</v>
      </c>
      <c r="J5" s="52">
        <v>45762</v>
      </c>
      <c r="K5" s="53">
        <v>2.827</v>
      </c>
      <c r="L5" s="53">
        <v>2.3781349999999999</v>
      </c>
      <c r="M5" s="53">
        <v>45992.172068899999</v>
      </c>
      <c r="N5" s="54">
        <v>1.2317429981432919</v>
      </c>
      <c r="O5" s="53">
        <v>-10.191700000000001</v>
      </c>
      <c r="P5" s="30">
        <v>161.99</v>
      </c>
      <c r="Q5" s="30">
        <v>149</v>
      </c>
      <c r="R5" s="54">
        <v>8.7181208053691339E-2</v>
      </c>
      <c r="T5" s="32"/>
      <c r="U5" s="32"/>
    </row>
    <row r="6" spans="1:21" x14ac:dyDescent="0.15">
      <c r="A6" s="31">
        <v>5</v>
      </c>
      <c r="B6" s="30">
        <v>128111</v>
      </c>
      <c r="C6" s="30" t="s">
        <v>1819</v>
      </c>
      <c r="D6" s="30">
        <v>760.05</v>
      </c>
      <c r="E6" s="30">
        <v>2.5299999999999998</v>
      </c>
      <c r="F6" s="30">
        <v>10.96</v>
      </c>
      <c r="G6" s="30">
        <v>763.23</v>
      </c>
      <c r="H6" s="30">
        <v>-0.42</v>
      </c>
      <c r="I6" s="51">
        <v>759.63</v>
      </c>
      <c r="J6" s="52">
        <v>46184</v>
      </c>
      <c r="K6" s="53">
        <v>3.984</v>
      </c>
      <c r="L6" s="53">
        <v>1.340368</v>
      </c>
      <c r="M6" s="53">
        <v>287455.35152630002</v>
      </c>
      <c r="N6" s="54">
        <v>2.8216567668662398</v>
      </c>
      <c r="O6" s="53">
        <v>-36.987000000000002</v>
      </c>
      <c r="P6" s="30">
        <v>782</v>
      </c>
      <c r="Q6" s="30">
        <v>736.995</v>
      </c>
      <c r="R6" s="54">
        <v>6.1065543185503286E-2</v>
      </c>
      <c r="T6" s="30" t="s">
        <v>2037</v>
      </c>
    </row>
    <row r="7" spans="1:21" x14ac:dyDescent="0.15">
      <c r="A7" s="31">
        <v>6</v>
      </c>
      <c r="B7" s="30">
        <v>113541</v>
      </c>
      <c r="C7" s="30" t="s">
        <v>1823</v>
      </c>
      <c r="D7" s="30">
        <v>128.36000000000001</v>
      </c>
      <c r="E7" s="30">
        <v>-0.77</v>
      </c>
      <c r="F7" s="30">
        <v>10.49</v>
      </c>
      <c r="G7" s="30">
        <v>128.69</v>
      </c>
      <c r="H7" s="30">
        <v>-0.26</v>
      </c>
      <c r="I7" s="51">
        <v>128.10000000000002</v>
      </c>
      <c r="J7" s="52">
        <v>45861</v>
      </c>
      <c r="K7" s="53">
        <v>3.0990000000000002</v>
      </c>
      <c r="L7" s="53">
        <v>1.2318</v>
      </c>
      <c r="M7" s="53">
        <v>5278.4312</v>
      </c>
      <c r="N7" s="54">
        <v>0.33383737520574408</v>
      </c>
      <c r="O7" s="53">
        <v>-3.7494999999999998</v>
      </c>
      <c r="P7" s="30">
        <v>130.38</v>
      </c>
      <c r="Q7" s="30">
        <v>127.18</v>
      </c>
      <c r="R7" s="54">
        <v>2.5161188866173835E-2</v>
      </c>
    </row>
    <row r="8" spans="1:21" x14ac:dyDescent="0.15">
      <c r="A8" s="31">
        <v>7</v>
      </c>
      <c r="B8" s="30">
        <v>128107</v>
      </c>
      <c r="C8" s="30" t="s">
        <v>1991</v>
      </c>
      <c r="D8" s="30">
        <v>135.911</v>
      </c>
      <c r="E8" s="30">
        <v>0.23</v>
      </c>
      <c r="F8" s="30">
        <v>5.08</v>
      </c>
      <c r="G8" s="30">
        <v>136.22</v>
      </c>
      <c r="H8" s="30">
        <v>-0.23</v>
      </c>
      <c r="I8" s="51">
        <v>135.68100000000001</v>
      </c>
      <c r="J8" s="52">
        <v>46134</v>
      </c>
      <c r="K8" s="53">
        <v>3.847</v>
      </c>
      <c r="L8" s="53">
        <v>2.6659480000000002</v>
      </c>
      <c r="M8" s="53">
        <v>21988.486638999999</v>
      </c>
      <c r="N8" s="54">
        <v>0.60686076182968096</v>
      </c>
      <c r="O8" s="53">
        <v>-4.4730999999999996</v>
      </c>
      <c r="P8" s="30">
        <v>137.88</v>
      </c>
      <c r="Q8" s="30">
        <v>133.858</v>
      </c>
      <c r="R8" s="54">
        <v>3.0046765975884827E-2</v>
      </c>
    </row>
    <row r="9" spans="1:21" x14ac:dyDescent="0.15">
      <c r="A9" s="31">
        <v>8</v>
      </c>
      <c r="B9" s="30">
        <v>110071</v>
      </c>
      <c r="C9" s="30" t="s">
        <v>97</v>
      </c>
      <c r="D9" s="30">
        <v>135.72999999999999</v>
      </c>
      <c r="E9" s="30">
        <v>-1.44</v>
      </c>
      <c r="F9" s="30">
        <v>5.69</v>
      </c>
      <c r="G9" s="30">
        <v>135.68</v>
      </c>
      <c r="H9" s="30">
        <v>0.04</v>
      </c>
      <c r="I9" s="51">
        <v>135.76999999999998</v>
      </c>
      <c r="J9" s="52">
        <v>46213</v>
      </c>
      <c r="K9" s="53">
        <v>4.0629999999999997</v>
      </c>
      <c r="L9" s="53">
        <v>3.6839300000000001</v>
      </c>
      <c r="M9" s="53">
        <v>17540.090700000001</v>
      </c>
      <c r="N9" s="54">
        <v>0.35078790953899935</v>
      </c>
      <c r="O9" s="53">
        <v>-4.0982000000000003</v>
      </c>
      <c r="P9" s="30">
        <v>138.66</v>
      </c>
      <c r="Q9" s="30">
        <v>133.36000000000001</v>
      </c>
      <c r="R9" s="54">
        <v>3.9742051589681929E-2</v>
      </c>
    </row>
    <row r="10" spans="1:21" x14ac:dyDescent="0.15">
      <c r="A10" s="31">
        <v>9</v>
      </c>
      <c r="B10" s="30">
        <v>123070</v>
      </c>
      <c r="C10" s="30" t="s">
        <v>1821</v>
      </c>
      <c r="D10" s="30">
        <v>255</v>
      </c>
      <c r="E10" s="30">
        <v>1.26</v>
      </c>
      <c r="F10" s="30">
        <v>20.03</v>
      </c>
      <c r="G10" s="30">
        <v>254.42</v>
      </c>
      <c r="H10" s="30">
        <v>0.23</v>
      </c>
      <c r="I10" s="51">
        <v>255.23</v>
      </c>
      <c r="J10" s="52">
        <v>46315</v>
      </c>
      <c r="K10" s="53">
        <v>4.3419999999999996</v>
      </c>
      <c r="L10" s="53">
        <v>4.176005</v>
      </c>
      <c r="M10" s="53">
        <v>151078.7451415</v>
      </c>
      <c r="N10" s="54">
        <v>1.418737925892255</v>
      </c>
      <c r="O10" s="53">
        <v>-17.0245</v>
      </c>
      <c r="P10" s="30">
        <v>268.92200000000003</v>
      </c>
      <c r="Q10" s="30">
        <v>249.2</v>
      </c>
      <c r="R10" s="54">
        <v>7.9141252006420693E-2</v>
      </c>
    </row>
    <row r="11" spans="1:21" x14ac:dyDescent="0.15">
      <c r="A11" s="31">
        <v>10</v>
      </c>
      <c r="B11" s="30">
        <v>113599</v>
      </c>
      <c r="C11" s="30" t="s">
        <v>63</v>
      </c>
      <c r="D11" s="30">
        <v>129.13</v>
      </c>
      <c r="E11" s="30">
        <v>-0.43</v>
      </c>
      <c r="F11" s="30">
        <v>12.73</v>
      </c>
      <c r="G11" s="30">
        <v>128.19999999999999</v>
      </c>
      <c r="H11" s="30">
        <v>0.73</v>
      </c>
      <c r="I11" s="51">
        <v>129.85999999999999</v>
      </c>
      <c r="J11" s="52">
        <v>46239</v>
      </c>
      <c r="K11" s="53">
        <v>4.1340000000000003</v>
      </c>
      <c r="L11" s="53">
        <v>7.0939699999999997</v>
      </c>
      <c r="M11" s="53">
        <v>12854.8784</v>
      </c>
      <c r="N11" s="54">
        <v>0.14033030665741045</v>
      </c>
      <c r="O11" s="53">
        <v>-0.68189999999999995</v>
      </c>
      <c r="P11" s="30">
        <v>130</v>
      </c>
      <c r="Q11" s="30">
        <v>128.38999999999999</v>
      </c>
      <c r="R11" s="54">
        <v>1.2539917439052993E-2</v>
      </c>
    </row>
    <row r="12" spans="1:21" x14ac:dyDescent="0.15">
      <c r="A12" s="31">
        <v>11</v>
      </c>
      <c r="B12" s="30">
        <v>127043</v>
      </c>
      <c r="C12" s="30" t="s">
        <v>1822</v>
      </c>
      <c r="D12" s="30">
        <v>174.5</v>
      </c>
      <c r="E12" s="30">
        <v>2.59</v>
      </c>
      <c r="F12" s="30">
        <v>20.7</v>
      </c>
      <c r="G12" s="30">
        <v>172.66</v>
      </c>
      <c r="H12" s="30">
        <v>1.07</v>
      </c>
      <c r="I12" s="51">
        <v>175.57</v>
      </c>
      <c r="J12" s="52">
        <v>46611</v>
      </c>
      <c r="K12" s="53">
        <v>5.1529999999999996</v>
      </c>
      <c r="L12" s="53">
        <v>10.448248</v>
      </c>
      <c r="M12" s="53">
        <v>65916.181145099996</v>
      </c>
      <c r="N12" s="54">
        <v>0.36153732034752795</v>
      </c>
      <c r="O12" s="53">
        <v>-6.9809999999999999</v>
      </c>
      <c r="P12" s="30">
        <v>176.5</v>
      </c>
      <c r="Q12" s="30">
        <v>168.12799999999999</v>
      </c>
      <c r="R12" s="54">
        <v>4.9795393985534918E-2</v>
      </c>
    </row>
    <row r="13" spans="1:21" x14ac:dyDescent="0.15">
      <c r="A13" s="31">
        <v>12</v>
      </c>
      <c r="B13" s="30">
        <v>123086</v>
      </c>
      <c r="C13" s="30" t="s">
        <v>1816</v>
      </c>
      <c r="D13" s="30">
        <v>182.15899999999999</v>
      </c>
      <c r="E13" s="30">
        <v>-0.68</v>
      </c>
      <c r="F13" s="30">
        <v>7.27</v>
      </c>
      <c r="G13" s="30">
        <v>179.92</v>
      </c>
      <c r="H13" s="30">
        <v>1.24</v>
      </c>
      <c r="I13" s="51">
        <v>183.399</v>
      </c>
      <c r="J13" s="52">
        <v>46367</v>
      </c>
      <c r="K13" s="53">
        <v>4.4850000000000003</v>
      </c>
      <c r="L13" s="53">
        <v>3.9790749999999999</v>
      </c>
      <c r="M13" s="53">
        <v>38487.232208999994</v>
      </c>
      <c r="N13" s="54">
        <v>0.53098704046914824</v>
      </c>
      <c r="O13" s="53">
        <v>-8.4997000000000007</v>
      </c>
      <c r="P13" s="30">
        <v>188.5</v>
      </c>
      <c r="Q13" s="30">
        <v>180.78299999999999</v>
      </c>
      <c r="R13" s="54">
        <v>4.2686535791529145E-2</v>
      </c>
    </row>
    <row r="14" spans="1:21" x14ac:dyDescent="0.15">
      <c r="A14" s="31">
        <v>13</v>
      </c>
      <c r="B14" s="30">
        <v>123092</v>
      </c>
      <c r="C14" s="30" t="s">
        <v>1817</v>
      </c>
      <c r="D14" s="30">
        <v>212.81100000000001</v>
      </c>
      <c r="E14" s="30">
        <v>0.74</v>
      </c>
      <c r="F14" s="30">
        <v>5.14</v>
      </c>
      <c r="G14" s="30">
        <v>210.12</v>
      </c>
      <c r="H14" s="30">
        <v>1.28</v>
      </c>
      <c r="I14" s="51">
        <v>214.09100000000001</v>
      </c>
      <c r="J14" s="52">
        <v>46380</v>
      </c>
      <c r="K14" s="53">
        <v>4.5209999999999999</v>
      </c>
      <c r="L14" s="53">
        <v>4.1420399999999997</v>
      </c>
      <c r="M14" s="53">
        <v>13516.621538999998</v>
      </c>
      <c r="N14" s="54">
        <v>0.15334153020387326</v>
      </c>
      <c r="O14" s="53">
        <v>-11.937200000000001</v>
      </c>
      <c r="P14" s="30">
        <v>218.49700000000001</v>
      </c>
      <c r="Q14" s="30">
        <v>211</v>
      </c>
      <c r="R14" s="54">
        <v>3.5530805687203855E-2</v>
      </c>
    </row>
    <row r="15" spans="1:21" x14ac:dyDescent="0.15">
      <c r="A15" s="31">
        <v>14</v>
      </c>
      <c r="B15" s="30">
        <v>127027</v>
      </c>
      <c r="C15" s="30" t="s">
        <v>1815</v>
      </c>
      <c r="D15" s="30">
        <v>150.25700000000001</v>
      </c>
      <c r="E15" s="30">
        <v>1</v>
      </c>
      <c r="F15" s="30">
        <v>3.08</v>
      </c>
      <c r="G15" s="30">
        <v>147.08000000000001</v>
      </c>
      <c r="H15" s="30">
        <v>2.16</v>
      </c>
      <c r="I15" s="51">
        <v>152.417</v>
      </c>
      <c r="J15" s="52">
        <v>46366</v>
      </c>
      <c r="K15" s="53">
        <v>4.4820000000000002</v>
      </c>
      <c r="L15" s="53">
        <v>19.474136999999999</v>
      </c>
      <c r="M15" s="53">
        <v>26313.9600828</v>
      </c>
      <c r="N15" s="54">
        <v>8.9927656736591727E-2</v>
      </c>
      <c r="O15" s="53">
        <v>-5.9119000000000002</v>
      </c>
      <c r="P15" s="30">
        <v>150.85499999999999</v>
      </c>
      <c r="Q15" s="30">
        <v>147.12</v>
      </c>
      <c r="R15" s="54">
        <v>2.5387438825448513E-2</v>
      </c>
    </row>
    <row r="16" spans="1:21" x14ac:dyDescent="0.15">
      <c r="A16" s="31">
        <v>15</v>
      </c>
      <c r="B16" s="30">
        <v>128114</v>
      </c>
      <c r="C16" s="30" t="s">
        <v>1843</v>
      </c>
      <c r="D16" s="30">
        <v>106.84099999999999</v>
      </c>
      <c r="E16" s="30">
        <v>-0.52</v>
      </c>
      <c r="F16" s="30">
        <v>6.08</v>
      </c>
      <c r="G16" s="30">
        <v>103.95</v>
      </c>
      <c r="H16" s="30">
        <v>2.78</v>
      </c>
      <c r="I16" s="51">
        <v>109.621</v>
      </c>
      <c r="J16" s="52">
        <v>46190</v>
      </c>
      <c r="K16" s="53">
        <v>4</v>
      </c>
      <c r="L16" s="53">
        <v>15.957808999999999</v>
      </c>
      <c r="M16" s="53">
        <v>17478.374313</v>
      </c>
      <c r="N16" s="54">
        <v>0.10251556957188865</v>
      </c>
      <c r="O16" s="53">
        <v>1.7305999999999999</v>
      </c>
      <c r="P16" s="30">
        <v>108.625</v>
      </c>
      <c r="Q16" s="30">
        <v>106.426</v>
      </c>
      <c r="R16" s="54">
        <v>2.0662244188450172E-2</v>
      </c>
    </row>
    <row r="17" spans="1:18" x14ac:dyDescent="0.15">
      <c r="A17" s="31">
        <v>16</v>
      </c>
      <c r="B17" s="30">
        <v>123083</v>
      </c>
      <c r="C17" s="30" t="s">
        <v>114</v>
      </c>
      <c r="D17" s="30">
        <v>195.5</v>
      </c>
      <c r="E17" s="30">
        <v>0.6</v>
      </c>
      <c r="F17" s="30">
        <v>15.27</v>
      </c>
      <c r="G17" s="30">
        <v>189.91</v>
      </c>
      <c r="H17" s="30">
        <v>2.94</v>
      </c>
      <c r="I17" s="51">
        <v>198.44</v>
      </c>
      <c r="J17" s="52">
        <v>46365</v>
      </c>
      <c r="K17" s="53">
        <v>4.4790000000000001</v>
      </c>
      <c r="L17" s="53">
        <v>5.4829610000000004</v>
      </c>
      <c r="M17" s="53">
        <v>22840.6868588</v>
      </c>
      <c r="N17" s="54">
        <v>0.21308223393440931</v>
      </c>
      <c r="O17" s="53">
        <v>-11.376200000000001</v>
      </c>
      <c r="P17" s="30">
        <v>198.3</v>
      </c>
      <c r="Q17" s="30">
        <v>190.01</v>
      </c>
      <c r="R17" s="54">
        <v>4.3629282669333302E-2</v>
      </c>
    </row>
    <row r="18" spans="1:18" x14ac:dyDescent="0.15">
      <c r="A18" s="31">
        <v>17</v>
      </c>
      <c r="B18" s="30">
        <v>113548</v>
      </c>
      <c r="C18" s="30" t="s">
        <v>1818</v>
      </c>
      <c r="D18" s="30">
        <v>784.49</v>
      </c>
      <c r="E18" s="30">
        <v>5.65</v>
      </c>
      <c r="F18" s="30">
        <v>14.69</v>
      </c>
      <c r="G18" s="30">
        <v>761.88</v>
      </c>
      <c r="H18" s="30">
        <v>2.97</v>
      </c>
      <c r="I18" s="51">
        <v>787.46</v>
      </c>
      <c r="J18" s="52">
        <v>45958</v>
      </c>
      <c r="K18" s="53">
        <v>3.3639999999999999</v>
      </c>
      <c r="L18" s="53">
        <v>0.71064000000000005</v>
      </c>
      <c r="M18" s="53">
        <v>366724.26569999999</v>
      </c>
      <c r="N18" s="54">
        <v>6.5781320394315337</v>
      </c>
      <c r="O18" s="53">
        <v>-42.698</v>
      </c>
      <c r="P18" s="30">
        <v>792.99</v>
      </c>
      <c r="Q18" s="30">
        <v>740</v>
      </c>
      <c r="R18" s="54">
        <v>7.1608108108108123E-2</v>
      </c>
    </row>
    <row r="19" spans="1:18" x14ac:dyDescent="0.15">
      <c r="A19" s="31">
        <v>18</v>
      </c>
      <c r="B19" s="30">
        <v>113630</v>
      </c>
      <c r="C19" s="30" t="s">
        <v>188</v>
      </c>
      <c r="D19" s="30">
        <v>145.41999999999999</v>
      </c>
      <c r="E19" s="30">
        <v>1.41</v>
      </c>
      <c r="F19" s="30">
        <v>19.079999999999998</v>
      </c>
      <c r="G19" s="30">
        <v>139.83000000000001</v>
      </c>
      <c r="H19" s="30">
        <v>4</v>
      </c>
      <c r="I19" s="51">
        <v>149.41999999999999</v>
      </c>
      <c r="J19" s="52">
        <v>46687</v>
      </c>
      <c r="K19" s="53">
        <v>5.3620000000000001</v>
      </c>
      <c r="L19" s="53">
        <v>6.9971800000000002</v>
      </c>
      <c r="M19" s="53">
        <v>23250.394499999999</v>
      </c>
      <c r="N19" s="54">
        <v>0.22849838755148635</v>
      </c>
      <c r="O19" s="53">
        <v>-3.5063</v>
      </c>
      <c r="P19" s="30">
        <v>149</v>
      </c>
      <c r="Q19" s="30">
        <v>142.36000000000001</v>
      </c>
      <c r="R19" s="54">
        <v>4.6642315257094592E-2</v>
      </c>
    </row>
    <row r="20" spans="1:18" x14ac:dyDescent="0.15">
      <c r="A20" s="31">
        <v>19</v>
      </c>
      <c r="B20" s="30">
        <v>128013</v>
      </c>
      <c r="C20" s="30" t="s">
        <v>52</v>
      </c>
      <c r="D20" s="30">
        <v>110.10599999999999</v>
      </c>
      <c r="E20" s="30">
        <v>-0.53</v>
      </c>
      <c r="F20" s="30">
        <v>2.31</v>
      </c>
      <c r="G20" s="30">
        <v>105.63</v>
      </c>
      <c r="H20" s="30">
        <v>4.24</v>
      </c>
      <c r="I20" s="51">
        <v>114.34599999999999</v>
      </c>
      <c r="J20" s="52">
        <v>44771</v>
      </c>
      <c r="K20" s="53">
        <v>0.112</v>
      </c>
      <c r="L20" s="53">
        <v>7.7974889999999997</v>
      </c>
      <c r="M20" s="53">
        <v>17324.310062</v>
      </c>
      <c r="N20" s="54">
        <v>0.20178560977806639</v>
      </c>
      <c r="O20" s="53">
        <v>-15.4505</v>
      </c>
      <c r="P20" s="30">
        <v>111.23699999999999</v>
      </c>
      <c r="Q20" s="30">
        <v>110.011</v>
      </c>
      <c r="R20" s="54">
        <v>1.1144340111443394E-2</v>
      </c>
    </row>
    <row r="21" spans="1:18" x14ac:dyDescent="0.15">
      <c r="A21" s="31">
        <v>20</v>
      </c>
      <c r="B21" s="30">
        <v>128106</v>
      </c>
      <c r="C21" s="30" t="s">
        <v>1828</v>
      </c>
      <c r="D21" s="30">
        <v>199.99</v>
      </c>
      <c r="E21" s="30">
        <v>3.08</v>
      </c>
      <c r="F21" s="30">
        <v>9.3699999999999992</v>
      </c>
      <c r="G21" s="30">
        <v>191.14</v>
      </c>
      <c r="H21" s="30">
        <v>4.63</v>
      </c>
      <c r="I21" s="51">
        <v>204.62</v>
      </c>
      <c r="J21" s="52">
        <v>46122</v>
      </c>
      <c r="K21" s="53">
        <v>3.8140000000000001</v>
      </c>
      <c r="L21" s="53">
        <v>2.8922729999999999</v>
      </c>
      <c r="M21" s="53">
        <v>150395.74497230002</v>
      </c>
      <c r="N21" s="54">
        <v>2.6000876323838864</v>
      </c>
      <c r="O21" s="53">
        <v>-14.2393</v>
      </c>
      <c r="P21" s="30">
        <v>199.99</v>
      </c>
      <c r="Q21" s="30">
        <v>190.5</v>
      </c>
      <c r="R21" s="54">
        <v>4.9816272965879316E-2</v>
      </c>
    </row>
    <row r="22" spans="1:18" x14ac:dyDescent="0.15">
      <c r="A22" s="31">
        <v>21</v>
      </c>
      <c r="B22" s="30">
        <v>110084</v>
      </c>
      <c r="C22" s="30" t="s">
        <v>276</v>
      </c>
      <c r="D22" s="30">
        <v>125.41</v>
      </c>
      <c r="E22" s="30">
        <v>-0.48</v>
      </c>
      <c r="F22" s="30">
        <v>7.18</v>
      </c>
      <c r="G22" s="30">
        <v>119.78</v>
      </c>
      <c r="H22" s="30">
        <v>4.7</v>
      </c>
      <c r="I22" s="51">
        <v>130.10999999999999</v>
      </c>
      <c r="J22" s="52">
        <v>46748</v>
      </c>
      <c r="K22" s="53">
        <v>5.5289999999999999</v>
      </c>
      <c r="L22" s="53">
        <v>10</v>
      </c>
      <c r="M22" s="53">
        <v>59596.0026</v>
      </c>
      <c r="N22" s="54">
        <v>0.4752093341838769</v>
      </c>
      <c r="O22" s="53">
        <v>-1.5659000000000001</v>
      </c>
      <c r="P22" s="30">
        <v>129.16</v>
      </c>
      <c r="Q22" s="30">
        <v>125.11</v>
      </c>
      <c r="R22" s="54">
        <v>3.2371513068499697E-2</v>
      </c>
    </row>
    <row r="23" spans="1:18" x14ac:dyDescent="0.15">
      <c r="A23" s="31">
        <v>22</v>
      </c>
      <c r="B23" s="30">
        <v>110085</v>
      </c>
      <c r="C23" s="30" t="s">
        <v>1852</v>
      </c>
      <c r="D23" s="30">
        <v>148.96</v>
      </c>
      <c r="E23" s="30">
        <v>1.04</v>
      </c>
      <c r="F23" s="30">
        <v>38.36</v>
      </c>
      <c r="G23" s="30">
        <v>142.08000000000001</v>
      </c>
      <c r="H23" s="30">
        <v>4.84</v>
      </c>
      <c r="I23" s="51">
        <v>153.80000000000001</v>
      </c>
      <c r="J23" s="52">
        <v>46807</v>
      </c>
      <c r="K23" s="53">
        <v>5.69</v>
      </c>
      <c r="L23" s="53">
        <v>120</v>
      </c>
      <c r="M23" s="53">
        <v>52212.344899999996</v>
      </c>
      <c r="N23" s="54">
        <v>2.9209376622359468E-2</v>
      </c>
      <c r="O23" s="53">
        <v>-4.7249999999999996</v>
      </c>
      <c r="P23" s="30">
        <v>150.69999999999999</v>
      </c>
      <c r="Q23" s="30">
        <v>147.88</v>
      </c>
      <c r="R23" s="54">
        <v>1.9069515823640745E-2</v>
      </c>
    </row>
    <row r="24" spans="1:18" x14ac:dyDescent="0.15">
      <c r="A24" s="31">
        <v>23</v>
      </c>
      <c r="B24" s="30">
        <v>123085</v>
      </c>
      <c r="C24" s="30" t="s">
        <v>1827</v>
      </c>
      <c r="D24" s="30">
        <v>150</v>
      </c>
      <c r="E24" s="30">
        <v>4.26</v>
      </c>
      <c r="F24" s="30">
        <v>6.2</v>
      </c>
      <c r="G24" s="30">
        <v>142.74</v>
      </c>
      <c r="H24" s="30">
        <v>5.09</v>
      </c>
      <c r="I24" s="51">
        <v>155.09</v>
      </c>
      <c r="J24" s="52">
        <v>46367</v>
      </c>
      <c r="K24" s="53">
        <v>4.4850000000000003</v>
      </c>
      <c r="L24" s="53">
        <v>8.4948669999999993</v>
      </c>
      <c r="M24" s="53">
        <v>29169.584989800001</v>
      </c>
      <c r="N24" s="54">
        <v>0.22891929906848454</v>
      </c>
      <c r="O24" s="53">
        <v>-6.2477999999999998</v>
      </c>
      <c r="P24" s="30">
        <v>151.9</v>
      </c>
      <c r="Q24" s="30">
        <v>143.80000000000001</v>
      </c>
      <c r="R24" s="54">
        <v>5.6328233657858093E-2</v>
      </c>
    </row>
    <row r="25" spans="1:18" x14ac:dyDescent="0.15">
      <c r="A25" s="31">
        <v>24</v>
      </c>
      <c r="B25" s="30">
        <v>113615</v>
      </c>
      <c r="C25" s="30" t="s">
        <v>1820</v>
      </c>
      <c r="D25" s="30">
        <v>180.45</v>
      </c>
      <c r="E25" s="30">
        <v>0.17</v>
      </c>
      <c r="F25" s="30">
        <v>12.65</v>
      </c>
      <c r="G25" s="30">
        <v>171.7</v>
      </c>
      <c r="H25" s="30">
        <v>5.0999999999999996</v>
      </c>
      <c r="I25" s="51">
        <v>185.54999999999998</v>
      </c>
      <c r="J25" s="52">
        <v>46379</v>
      </c>
      <c r="K25" s="53">
        <v>4.5179999999999998</v>
      </c>
      <c r="L25" s="53">
        <v>8.4798799999999996</v>
      </c>
      <c r="M25" s="53">
        <v>20578.559799999999</v>
      </c>
      <c r="N25" s="54">
        <v>0.13448330830520533</v>
      </c>
      <c r="O25" s="53">
        <v>-9.3089999999999993</v>
      </c>
      <c r="P25" s="30">
        <v>183.27</v>
      </c>
      <c r="Q25" s="30">
        <v>174.96</v>
      </c>
      <c r="R25" s="54">
        <v>4.7496570644718801E-2</v>
      </c>
    </row>
    <row r="26" spans="1:18" x14ac:dyDescent="0.15">
      <c r="A26" s="31">
        <v>25</v>
      </c>
      <c r="B26" s="30">
        <v>113620</v>
      </c>
      <c r="C26" s="30" t="s">
        <v>1864</v>
      </c>
      <c r="D26" s="30">
        <v>145.41999999999999</v>
      </c>
      <c r="E26" s="30">
        <v>0.72</v>
      </c>
      <c r="F26" s="30">
        <v>14.11</v>
      </c>
      <c r="G26" s="30">
        <v>138.34</v>
      </c>
      <c r="H26" s="30">
        <v>5.12</v>
      </c>
      <c r="I26" s="51">
        <v>150.54</v>
      </c>
      <c r="J26" s="52">
        <v>46456</v>
      </c>
      <c r="K26" s="53">
        <v>4.7290000000000001</v>
      </c>
      <c r="L26" s="53">
        <v>8.4636899999999997</v>
      </c>
      <c r="M26" s="53">
        <v>32912.299400000004</v>
      </c>
      <c r="N26" s="54">
        <v>0.26740796361286195</v>
      </c>
      <c r="O26" s="53">
        <v>-3.9070999999999998</v>
      </c>
      <c r="P26" s="30">
        <v>145.80000000000001</v>
      </c>
      <c r="Q26" s="30">
        <v>142.09</v>
      </c>
      <c r="R26" s="54">
        <v>2.6110211837567794E-2</v>
      </c>
    </row>
    <row r="27" spans="1:18" x14ac:dyDescent="0.15">
      <c r="A27" s="31">
        <v>26</v>
      </c>
      <c r="B27" s="30">
        <v>128141</v>
      </c>
      <c r="C27" s="30" t="s">
        <v>1826</v>
      </c>
      <c r="D27" s="30">
        <v>137.12200000000001</v>
      </c>
      <c r="E27" s="30">
        <v>-0.64</v>
      </c>
      <c r="F27" s="30">
        <v>15.67</v>
      </c>
      <c r="G27" s="30">
        <v>127.12</v>
      </c>
      <c r="H27" s="30">
        <v>7.87</v>
      </c>
      <c r="I27" s="51">
        <v>144.99200000000002</v>
      </c>
      <c r="J27" s="52">
        <v>46373</v>
      </c>
      <c r="K27" s="53">
        <v>4.5010000000000003</v>
      </c>
      <c r="L27" s="53">
        <v>12.701738000000001</v>
      </c>
      <c r="M27" s="53">
        <v>6985.430944400001</v>
      </c>
      <c r="N27" s="54">
        <v>4.0107252707029847E-2</v>
      </c>
      <c r="O27" s="53">
        <v>-3.9378000000000002</v>
      </c>
      <c r="P27" s="30">
        <v>138.88999999999999</v>
      </c>
      <c r="Q27" s="30">
        <v>136.23099999999999</v>
      </c>
      <c r="R27" s="54">
        <v>1.9518318150787941E-2</v>
      </c>
    </row>
    <row r="28" spans="1:18" x14ac:dyDescent="0.15">
      <c r="A28" s="31">
        <v>27</v>
      </c>
      <c r="B28" s="30">
        <v>113626</v>
      </c>
      <c r="C28" s="30" t="s">
        <v>1836</v>
      </c>
      <c r="D28" s="30">
        <v>228.08</v>
      </c>
      <c r="E28" s="30">
        <v>2.1800000000000002</v>
      </c>
      <c r="F28" s="30">
        <v>35.880000000000003</v>
      </c>
      <c r="G28" s="30">
        <v>210.7</v>
      </c>
      <c r="H28" s="30">
        <v>8.25</v>
      </c>
      <c r="I28" s="51">
        <v>236.33</v>
      </c>
      <c r="J28" s="52">
        <v>46567</v>
      </c>
      <c r="K28" s="53">
        <v>5.0330000000000004</v>
      </c>
      <c r="L28" s="53">
        <v>9.0145</v>
      </c>
      <c r="M28" s="53">
        <v>27248.337599999999</v>
      </c>
      <c r="N28" s="54">
        <v>0.13252907417818352</v>
      </c>
      <c r="O28" s="53">
        <v>-11.9901</v>
      </c>
      <c r="P28" s="30">
        <v>232.11</v>
      </c>
      <c r="Q28" s="30">
        <v>219.83</v>
      </c>
      <c r="R28" s="54">
        <v>5.5861347404812814E-2</v>
      </c>
    </row>
    <row r="29" spans="1:18" x14ac:dyDescent="0.15">
      <c r="A29" s="31">
        <v>28</v>
      </c>
      <c r="B29" s="30">
        <v>128128</v>
      </c>
      <c r="C29" s="30" t="s">
        <v>1830</v>
      </c>
      <c r="D29" s="30">
        <v>158.11500000000001</v>
      </c>
      <c r="E29" s="30">
        <v>1.32</v>
      </c>
      <c r="F29" s="30">
        <v>5.69</v>
      </c>
      <c r="G29" s="30">
        <v>146.05000000000001</v>
      </c>
      <c r="H29" s="30">
        <v>8.26</v>
      </c>
      <c r="I29" s="51">
        <v>166.375</v>
      </c>
      <c r="J29" s="52">
        <v>46254</v>
      </c>
      <c r="K29" s="53">
        <v>4.1749999999999998</v>
      </c>
      <c r="L29" s="53">
        <v>6.8042189999999998</v>
      </c>
      <c r="M29" s="53">
        <v>6829.8546357999994</v>
      </c>
      <c r="N29" s="54">
        <v>6.3483389233248061E-2</v>
      </c>
      <c r="O29" s="53">
        <v>-7.4778000000000002</v>
      </c>
      <c r="P29" s="30">
        <v>159.887</v>
      </c>
      <c r="Q29" s="30">
        <v>155.61199999999999</v>
      </c>
      <c r="R29" s="54">
        <v>2.7472174382438409E-2</v>
      </c>
    </row>
    <row r="30" spans="1:18" x14ac:dyDescent="0.15">
      <c r="A30" s="31">
        <v>29</v>
      </c>
      <c r="B30" s="30">
        <v>128081</v>
      </c>
      <c r="C30" s="30" t="s">
        <v>92</v>
      </c>
      <c r="D30" s="30">
        <v>128.001</v>
      </c>
      <c r="E30" s="30">
        <v>0.43</v>
      </c>
      <c r="F30" s="30">
        <v>9.69</v>
      </c>
      <c r="G30" s="30">
        <v>118.16</v>
      </c>
      <c r="H30" s="30">
        <v>8.33</v>
      </c>
      <c r="I30" s="51">
        <v>136.33100000000002</v>
      </c>
      <c r="J30" s="52">
        <v>45982</v>
      </c>
      <c r="K30" s="53">
        <v>3.43</v>
      </c>
      <c r="L30" s="53">
        <v>30.054901000000001</v>
      </c>
      <c r="M30" s="53">
        <v>4175.8301326000001</v>
      </c>
      <c r="N30" s="54">
        <v>1.0854608384996529E-2</v>
      </c>
      <c r="O30" s="53">
        <v>-3.3066</v>
      </c>
      <c r="P30" s="30">
        <v>128.375</v>
      </c>
      <c r="Q30" s="30">
        <v>126.297</v>
      </c>
      <c r="R30" s="54">
        <v>1.6453280758846237E-2</v>
      </c>
    </row>
    <row r="31" spans="1:18" x14ac:dyDescent="0.15">
      <c r="A31" s="31">
        <v>30</v>
      </c>
      <c r="B31" s="30">
        <v>128095</v>
      </c>
      <c r="C31" s="30" t="s">
        <v>1841</v>
      </c>
      <c r="D31" s="30">
        <v>402.40600000000001</v>
      </c>
      <c r="E31" s="30">
        <v>3.18</v>
      </c>
      <c r="F31" s="30">
        <v>64.62</v>
      </c>
      <c r="G31" s="30">
        <v>371.25</v>
      </c>
      <c r="H31" s="30">
        <v>8.39</v>
      </c>
      <c r="I31" s="51">
        <v>410.79599999999999</v>
      </c>
      <c r="J31" s="52">
        <v>46064</v>
      </c>
      <c r="K31" s="53">
        <v>3.6549999999999998</v>
      </c>
      <c r="L31" s="53">
        <v>4.539485</v>
      </c>
      <c r="M31" s="53">
        <v>32237.5349173</v>
      </c>
      <c r="N31" s="54">
        <v>0.17647808910219484</v>
      </c>
      <c r="O31" s="53">
        <v>-29.445499999999999</v>
      </c>
      <c r="P31" s="30">
        <v>407.93</v>
      </c>
      <c r="Q31" s="30">
        <v>385.661</v>
      </c>
      <c r="R31" s="54">
        <v>5.7742421453037783E-2</v>
      </c>
    </row>
    <row r="32" spans="1:18" x14ac:dyDescent="0.15">
      <c r="A32" s="31">
        <v>31</v>
      </c>
      <c r="B32" s="30">
        <v>123057</v>
      </c>
      <c r="C32" s="30" t="s">
        <v>1855</v>
      </c>
      <c r="D32" s="30">
        <v>164.5</v>
      </c>
      <c r="E32" s="30">
        <v>1.81</v>
      </c>
      <c r="F32" s="30">
        <v>9.5</v>
      </c>
      <c r="G32" s="30">
        <v>151.68</v>
      </c>
      <c r="H32" s="30">
        <v>8.4499999999999993</v>
      </c>
      <c r="I32" s="51">
        <v>172.95</v>
      </c>
      <c r="J32" s="52">
        <v>46204</v>
      </c>
      <c r="K32" s="53">
        <v>4.0380000000000003</v>
      </c>
      <c r="L32" s="53">
        <v>2.0650419999999996</v>
      </c>
      <c r="M32" s="53">
        <v>20630.599428900001</v>
      </c>
      <c r="N32" s="54">
        <v>0.60731926174472695</v>
      </c>
      <c r="O32" s="53">
        <v>-8.1035000000000004</v>
      </c>
      <c r="P32" s="30">
        <v>165.8</v>
      </c>
      <c r="Q32" s="30">
        <v>159.63999999999999</v>
      </c>
      <c r="R32" s="54">
        <v>3.8586820345778164E-2</v>
      </c>
    </row>
    <row r="33" spans="1:18" x14ac:dyDescent="0.15">
      <c r="A33" s="31">
        <v>32</v>
      </c>
      <c r="B33" s="30">
        <v>110068</v>
      </c>
      <c r="C33" s="30" t="s">
        <v>1839</v>
      </c>
      <c r="D33" s="30">
        <v>133.08000000000001</v>
      </c>
      <c r="E33" s="30">
        <v>-0.6</v>
      </c>
      <c r="F33" s="30">
        <v>10.55</v>
      </c>
      <c r="G33" s="30">
        <v>122.37</v>
      </c>
      <c r="H33" s="30">
        <v>8.75</v>
      </c>
      <c r="I33" s="51">
        <v>141.83000000000001</v>
      </c>
      <c r="J33" s="52">
        <v>46105</v>
      </c>
      <c r="K33" s="53">
        <v>3.7669999999999999</v>
      </c>
      <c r="L33" s="53">
        <v>19.99512</v>
      </c>
      <c r="M33" s="53">
        <v>7015.723</v>
      </c>
      <c r="N33" s="54">
        <v>2.6365476608814341E-2</v>
      </c>
      <c r="O33" s="53">
        <v>-4.0233999999999996</v>
      </c>
      <c r="P33" s="30">
        <v>134.59</v>
      </c>
      <c r="Q33" s="30">
        <v>132.56</v>
      </c>
      <c r="R33" s="54">
        <v>1.5313820156910086E-2</v>
      </c>
    </row>
    <row r="34" spans="1:18" x14ac:dyDescent="0.15">
      <c r="A34" s="31">
        <v>33</v>
      </c>
      <c r="B34" s="30">
        <v>113534</v>
      </c>
      <c r="C34" s="30" t="s">
        <v>828</v>
      </c>
      <c r="D34" s="30">
        <v>273.58</v>
      </c>
      <c r="E34" s="30">
        <v>3.18</v>
      </c>
      <c r="F34" s="30">
        <v>15.18</v>
      </c>
      <c r="G34" s="30">
        <v>251.32</v>
      </c>
      <c r="H34" s="30">
        <v>8.86</v>
      </c>
      <c r="I34" s="51">
        <v>282.44</v>
      </c>
      <c r="J34" s="52">
        <v>45756</v>
      </c>
      <c r="K34" s="53">
        <v>2.8109999999999999</v>
      </c>
      <c r="L34" s="53">
        <v>4.0373599999999996</v>
      </c>
      <c r="M34" s="53">
        <v>250408.01089999999</v>
      </c>
      <c r="N34" s="54">
        <v>2.2670776594751816</v>
      </c>
      <c r="O34" s="53">
        <v>-27.1723</v>
      </c>
      <c r="P34" s="30">
        <v>307</v>
      </c>
      <c r="Q34" s="30">
        <v>273</v>
      </c>
      <c r="R34" s="54">
        <v>0.12454212454212454</v>
      </c>
    </row>
    <row r="35" spans="1:18" x14ac:dyDescent="0.15">
      <c r="A35" s="31">
        <v>34</v>
      </c>
      <c r="B35" s="30">
        <v>110061</v>
      </c>
      <c r="C35" s="30" t="s">
        <v>1831</v>
      </c>
      <c r="D35" s="30">
        <v>141.69999999999999</v>
      </c>
      <c r="E35" s="30">
        <v>0.5</v>
      </c>
      <c r="F35" s="30">
        <v>9.1999999999999993</v>
      </c>
      <c r="G35" s="30">
        <v>129.35</v>
      </c>
      <c r="H35" s="30">
        <v>9.5500000000000007</v>
      </c>
      <c r="I35" s="51">
        <v>151.25</v>
      </c>
      <c r="J35" s="52">
        <v>45972</v>
      </c>
      <c r="K35" s="53">
        <v>3.403</v>
      </c>
      <c r="L35" s="53">
        <v>39.615589999999997</v>
      </c>
      <c r="M35" s="53">
        <v>3221.2645000000002</v>
      </c>
      <c r="N35" s="54">
        <v>5.73839458368263E-3</v>
      </c>
      <c r="O35" s="53">
        <v>-7.226</v>
      </c>
      <c r="P35" s="30">
        <v>142.6</v>
      </c>
      <c r="Q35" s="30">
        <v>140</v>
      </c>
      <c r="R35" s="54">
        <v>1.857142857142853E-2</v>
      </c>
    </row>
    <row r="36" spans="1:18" x14ac:dyDescent="0.15">
      <c r="A36" s="31">
        <v>35</v>
      </c>
      <c r="B36" s="30">
        <v>110053</v>
      </c>
      <c r="C36" s="30" t="s">
        <v>1837</v>
      </c>
      <c r="D36" s="30">
        <v>123.03</v>
      </c>
      <c r="E36" s="30">
        <v>-0.13</v>
      </c>
      <c r="F36" s="30">
        <v>5.97</v>
      </c>
      <c r="G36" s="30">
        <v>112.23</v>
      </c>
      <c r="H36" s="30">
        <v>9.6199999999999992</v>
      </c>
      <c r="I36" s="51">
        <v>132.65</v>
      </c>
      <c r="J36" s="52">
        <v>45730</v>
      </c>
      <c r="K36" s="53">
        <v>2.74</v>
      </c>
      <c r="L36" s="53">
        <v>199.99203</v>
      </c>
      <c r="M36" s="53">
        <v>25306.438399999999</v>
      </c>
      <c r="N36" s="54">
        <v>1.0285071487344156E-2</v>
      </c>
      <c r="O36" s="53">
        <v>-1.9245000000000001</v>
      </c>
      <c r="P36" s="30">
        <v>123.41</v>
      </c>
      <c r="Q36" s="30">
        <v>122.67</v>
      </c>
      <c r="R36" s="54">
        <v>6.0324447705224988E-3</v>
      </c>
    </row>
    <row r="37" spans="1:18" x14ac:dyDescent="0.15">
      <c r="A37" s="31">
        <v>36</v>
      </c>
      <c r="B37" s="30">
        <v>110077</v>
      </c>
      <c r="C37" s="30" t="s">
        <v>1835</v>
      </c>
      <c r="D37" s="30">
        <v>131</v>
      </c>
      <c r="E37" s="30">
        <v>-0.02</v>
      </c>
      <c r="F37" s="30">
        <v>6.71</v>
      </c>
      <c r="G37" s="30">
        <v>119.23</v>
      </c>
      <c r="H37" s="30">
        <v>9.8699999999999992</v>
      </c>
      <c r="I37" s="51">
        <v>140.87</v>
      </c>
      <c r="J37" s="52">
        <v>46346</v>
      </c>
      <c r="K37" s="53">
        <v>4.4269999999999996</v>
      </c>
      <c r="L37" s="53">
        <v>17.676639999999999</v>
      </c>
      <c r="M37" s="53">
        <v>1719.5251000000001</v>
      </c>
      <c r="N37" s="54">
        <v>7.4257018310757688E-3</v>
      </c>
      <c r="O37" s="53">
        <v>-3.2633999999999999</v>
      </c>
      <c r="P37" s="30">
        <v>131.69</v>
      </c>
      <c r="Q37" s="30">
        <v>130.28</v>
      </c>
      <c r="R37" s="54">
        <v>1.0822843107153797E-2</v>
      </c>
    </row>
    <row r="38" spans="1:18" x14ac:dyDescent="0.15">
      <c r="A38" s="31">
        <v>37</v>
      </c>
      <c r="B38" s="30">
        <v>113537</v>
      </c>
      <c r="C38" s="30" t="s">
        <v>1832</v>
      </c>
      <c r="D38" s="30">
        <v>320.95</v>
      </c>
      <c r="E38" s="30">
        <v>0.26</v>
      </c>
      <c r="F38" s="30">
        <v>19.28</v>
      </c>
      <c r="G38" s="30">
        <v>290.25</v>
      </c>
      <c r="H38" s="30">
        <v>10.58</v>
      </c>
      <c r="I38" s="51">
        <v>331.53</v>
      </c>
      <c r="J38" s="52">
        <v>45818</v>
      </c>
      <c r="K38" s="53">
        <v>2.9809999999999999</v>
      </c>
      <c r="L38" s="53">
        <v>1.40395</v>
      </c>
      <c r="M38" s="53">
        <v>200914.79829999999</v>
      </c>
      <c r="N38" s="54">
        <v>4.4588504311281492</v>
      </c>
      <c r="O38" s="53">
        <v>-28.5319</v>
      </c>
      <c r="P38" s="30">
        <v>336.48</v>
      </c>
      <c r="Q38" s="30">
        <v>317.8</v>
      </c>
      <c r="R38" s="54">
        <v>5.8779106356198887E-2</v>
      </c>
    </row>
    <row r="39" spans="1:18" x14ac:dyDescent="0.15">
      <c r="A39" s="31">
        <v>38</v>
      </c>
      <c r="B39" s="30">
        <v>113055</v>
      </c>
      <c r="C39" s="30" t="s">
        <v>1853</v>
      </c>
      <c r="D39" s="30">
        <v>128.19999999999999</v>
      </c>
      <c r="E39" s="30">
        <v>7.0000000000000007E-2</v>
      </c>
      <c r="F39" s="30">
        <v>14.53</v>
      </c>
      <c r="G39" s="30">
        <v>115.83</v>
      </c>
      <c r="H39" s="30">
        <v>10.68</v>
      </c>
      <c r="I39" s="51">
        <v>138.88</v>
      </c>
      <c r="J39" s="52">
        <v>46815</v>
      </c>
      <c r="K39" s="53">
        <v>5.7119999999999997</v>
      </c>
      <c r="L39" s="53">
        <v>80</v>
      </c>
      <c r="M39" s="53">
        <v>10878.2595</v>
      </c>
      <c r="N39" s="54">
        <v>1.0606727281591264E-2</v>
      </c>
      <c r="O39" s="53">
        <v>-2.4914999999999998</v>
      </c>
      <c r="P39" s="30">
        <v>128.77000000000001</v>
      </c>
      <c r="Q39" s="30">
        <v>127.3</v>
      </c>
      <c r="R39" s="54">
        <v>1.1547525530243623E-2</v>
      </c>
    </row>
    <row r="40" spans="1:18" x14ac:dyDescent="0.15">
      <c r="A40" s="31">
        <v>39</v>
      </c>
      <c r="B40" s="30">
        <v>127007</v>
      </c>
      <c r="C40" s="30" t="s">
        <v>1834</v>
      </c>
      <c r="D40" s="30">
        <v>170.685</v>
      </c>
      <c r="E40" s="30">
        <v>-2</v>
      </c>
      <c r="F40" s="30">
        <v>5.58</v>
      </c>
      <c r="G40" s="30">
        <v>153.58000000000001</v>
      </c>
      <c r="H40" s="30">
        <v>11.14</v>
      </c>
      <c r="I40" s="51">
        <v>181.82499999999999</v>
      </c>
      <c r="J40" s="52">
        <v>45471</v>
      </c>
      <c r="K40" s="53">
        <v>2.0299999999999998</v>
      </c>
      <c r="L40" s="53">
        <v>3.6974049999999998</v>
      </c>
      <c r="M40" s="53">
        <v>89624.049899499994</v>
      </c>
      <c r="N40" s="54">
        <v>1.4201433486920958</v>
      </c>
      <c r="O40" s="53">
        <v>-19.281600000000001</v>
      </c>
      <c r="P40" s="30">
        <v>176.63499999999999</v>
      </c>
      <c r="Q40" s="30">
        <v>170.197</v>
      </c>
      <c r="R40" s="54">
        <v>3.7826753703061676E-2</v>
      </c>
    </row>
    <row r="41" spans="1:18" x14ac:dyDescent="0.15">
      <c r="A41" s="31">
        <v>40</v>
      </c>
      <c r="B41" s="30">
        <v>128029</v>
      </c>
      <c r="C41" s="30" t="s">
        <v>1844</v>
      </c>
      <c r="D41" s="30">
        <v>159.30000000000001</v>
      </c>
      <c r="E41" s="30">
        <v>0.39</v>
      </c>
      <c r="F41" s="30">
        <v>8.4499999999999993</v>
      </c>
      <c r="G41" s="30">
        <v>143.19999999999999</v>
      </c>
      <c r="H41" s="30">
        <v>11.24</v>
      </c>
      <c r="I41" s="51">
        <v>170.54000000000002</v>
      </c>
      <c r="J41" s="52">
        <v>44917</v>
      </c>
      <c r="K41" s="53">
        <v>0.51200000000000001</v>
      </c>
      <c r="L41" s="53">
        <v>9.0859769999999997</v>
      </c>
      <c r="M41" s="53">
        <v>3379.5138469999997</v>
      </c>
      <c r="N41" s="54">
        <v>2.334892129880959E-2</v>
      </c>
      <c r="O41" s="53">
        <v>-54.654800000000002</v>
      </c>
      <c r="P41" s="30">
        <v>160</v>
      </c>
      <c r="Q41" s="30">
        <v>158</v>
      </c>
      <c r="R41" s="54">
        <v>1.2658227848101266E-2</v>
      </c>
    </row>
    <row r="42" spans="1:18" x14ac:dyDescent="0.15">
      <c r="A42" s="31">
        <v>41</v>
      </c>
      <c r="B42" s="30">
        <v>113025</v>
      </c>
      <c r="C42" s="30" t="s">
        <v>1824</v>
      </c>
      <c r="D42" s="30">
        <v>334.49</v>
      </c>
      <c r="E42" s="30">
        <v>1.43</v>
      </c>
      <c r="F42" s="30">
        <v>7.66</v>
      </c>
      <c r="G42" s="30">
        <v>300.64999999999998</v>
      </c>
      <c r="H42" s="30">
        <v>11.26</v>
      </c>
      <c r="I42" s="51">
        <v>345.75</v>
      </c>
      <c r="J42" s="52">
        <v>45757</v>
      </c>
      <c r="K42" s="53">
        <v>2.8140000000000001</v>
      </c>
      <c r="L42" s="53">
        <v>10.147880000000001</v>
      </c>
      <c r="M42" s="53">
        <v>18332.9355</v>
      </c>
      <c r="N42" s="54">
        <v>5.400992186206835E-2</v>
      </c>
      <c r="O42" s="53">
        <v>-32.180999999999997</v>
      </c>
      <c r="P42" s="30">
        <v>337.69</v>
      </c>
      <c r="Q42" s="30">
        <v>323.64999999999998</v>
      </c>
      <c r="R42" s="54">
        <v>4.3380194654719671E-2</v>
      </c>
    </row>
    <row r="43" spans="1:18" x14ac:dyDescent="0.15">
      <c r="A43" s="31">
        <v>42</v>
      </c>
      <c r="B43" s="30">
        <v>113585</v>
      </c>
      <c r="C43" s="30" t="s">
        <v>1829</v>
      </c>
      <c r="D43" s="30">
        <v>204.18</v>
      </c>
      <c r="E43" s="30">
        <v>-0.98</v>
      </c>
      <c r="F43" s="30">
        <v>21.64</v>
      </c>
      <c r="G43" s="30">
        <v>183.27</v>
      </c>
      <c r="H43" s="30">
        <v>11.41</v>
      </c>
      <c r="I43" s="51">
        <v>215.59</v>
      </c>
      <c r="J43" s="52">
        <v>46182</v>
      </c>
      <c r="K43" s="53">
        <v>3.9780000000000002</v>
      </c>
      <c r="L43" s="53">
        <v>1.00258</v>
      </c>
      <c r="M43" s="53">
        <v>12083.2745</v>
      </c>
      <c r="N43" s="54">
        <v>0.59027230267019903</v>
      </c>
      <c r="O43" s="53">
        <v>-13.3329</v>
      </c>
      <c r="P43" s="30">
        <v>208</v>
      </c>
      <c r="Q43" s="30">
        <v>202.11</v>
      </c>
      <c r="R43" s="54">
        <v>2.9142546138241483E-2</v>
      </c>
    </row>
    <row r="44" spans="1:18" x14ac:dyDescent="0.15">
      <c r="A44" s="31">
        <v>43</v>
      </c>
      <c r="B44" s="30">
        <v>123063</v>
      </c>
      <c r="C44" s="30" t="s">
        <v>91</v>
      </c>
      <c r="D44" s="30">
        <v>133.15799999999999</v>
      </c>
      <c r="E44" s="30">
        <v>1.66</v>
      </c>
      <c r="F44" s="30">
        <v>4.72</v>
      </c>
      <c r="G44" s="30">
        <v>119.49</v>
      </c>
      <c r="H44" s="30">
        <v>11.44</v>
      </c>
      <c r="I44" s="51">
        <v>144.59799999999998</v>
      </c>
      <c r="J44" s="52">
        <v>46231</v>
      </c>
      <c r="K44" s="53">
        <v>4.1120000000000001</v>
      </c>
      <c r="L44" s="53">
        <v>6.3456590000000004</v>
      </c>
      <c r="M44" s="53">
        <v>5092.6063543</v>
      </c>
      <c r="N44" s="54">
        <v>6.0269295310939462E-2</v>
      </c>
      <c r="O44" s="53">
        <v>-1.3453999999999999</v>
      </c>
      <c r="P44" s="30">
        <v>133.4</v>
      </c>
      <c r="Q44" s="30">
        <v>130.55000000000001</v>
      </c>
      <c r="R44" s="54">
        <v>2.1830716200689347E-2</v>
      </c>
    </row>
    <row r="45" spans="1:18" x14ac:dyDescent="0.15">
      <c r="A45" s="31">
        <v>44</v>
      </c>
      <c r="B45" s="30">
        <v>128139</v>
      </c>
      <c r="C45" s="30" t="s">
        <v>164</v>
      </c>
      <c r="D45" s="30">
        <v>134.999</v>
      </c>
      <c r="E45" s="30">
        <v>1.71</v>
      </c>
      <c r="F45" s="30">
        <v>26.25</v>
      </c>
      <c r="G45" s="30">
        <v>121.14</v>
      </c>
      <c r="H45" s="30">
        <v>11.44</v>
      </c>
      <c r="I45" s="51">
        <v>146.43899999999999</v>
      </c>
      <c r="J45" s="52">
        <v>46357</v>
      </c>
      <c r="K45" s="53">
        <v>4.4580000000000002</v>
      </c>
      <c r="L45" s="53">
        <v>6.4690849999999998</v>
      </c>
      <c r="M45" s="53">
        <v>44921.140290399999</v>
      </c>
      <c r="N45" s="54">
        <v>0.5143720513230996</v>
      </c>
      <c r="O45" s="53">
        <v>-2.5465</v>
      </c>
      <c r="P45" s="30">
        <v>140.71199999999999</v>
      </c>
      <c r="Q45" s="30">
        <v>132.80000000000001</v>
      </c>
      <c r="R45" s="54">
        <v>5.9578313253011876E-2</v>
      </c>
    </row>
    <row r="46" spans="1:18" x14ac:dyDescent="0.15">
      <c r="A46" s="31">
        <v>45</v>
      </c>
      <c r="B46" s="30">
        <v>128130</v>
      </c>
      <c r="C46" s="30" t="s">
        <v>106</v>
      </c>
      <c r="D46" s="30">
        <v>123.831</v>
      </c>
      <c r="E46" s="30">
        <v>0.04</v>
      </c>
      <c r="F46" s="30">
        <v>3.4</v>
      </c>
      <c r="G46" s="30">
        <v>110.88</v>
      </c>
      <c r="H46" s="30">
        <v>11.68</v>
      </c>
      <c r="I46" s="51">
        <v>135.511</v>
      </c>
      <c r="J46" s="52">
        <v>46265</v>
      </c>
      <c r="K46" s="53">
        <v>4.2050000000000001</v>
      </c>
      <c r="L46" s="53">
        <v>9.9868059999999996</v>
      </c>
      <c r="M46" s="53">
        <v>1930.6642925000001</v>
      </c>
      <c r="N46" s="54">
        <v>1.5611720621974972E-2</v>
      </c>
      <c r="O46" s="53">
        <v>-1.8191999999999999</v>
      </c>
      <c r="P46" s="30">
        <v>124.241</v>
      </c>
      <c r="Q46" s="30">
        <v>122.994</v>
      </c>
      <c r="R46" s="54">
        <v>1.0138705953135924E-2</v>
      </c>
    </row>
    <row r="47" spans="1:18" x14ac:dyDescent="0.15">
      <c r="A47" s="31">
        <v>46</v>
      </c>
      <c r="B47" s="30">
        <v>113050</v>
      </c>
      <c r="C47" s="30" t="s">
        <v>1840</v>
      </c>
      <c r="D47" s="30">
        <v>124.58</v>
      </c>
      <c r="E47" s="30">
        <v>0.27</v>
      </c>
      <c r="F47" s="30">
        <v>9.64</v>
      </c>
      <c r="G47" s="30">
        <v>111.51</v>
      </c>
      <c r="H47" s="30">
        <v>11.72</v>
      </c>
      <c r="I47" s="51">
        <v>136.30000000000001</v>
      </c>
      <c r="J47" s="52">
        <v>46553</v>
      </c>
      <c r="K47" s="53">
        <v>4.9950000000000001</v>
      </c>
      <c r="L47" s="53">
        <v>169.83022</v>
      </c>
      <c r="M47" s="53">
        <v>14295.624599999999</v>
      </c>
      <c r="N47" s="54">
        <v>6.756780900192866E-3</v>
      </c>
      <c r="O47" s="53">
        <v>-2.3144</v>
      </c>
      <c r="P47" s="30">
        <v>124.68</v>
      </c>
      <c r="Q47" s="30">
        <v>123.53</v>
      </c>
      <c r="R47" s="54">
        <v>9.3094794786691953E-3</v>
      </c>
    </row>
    <row r="48" spans="1:18" x14ac:dyDescent="0.15">
      <c r="A48" s="31">
        <v>47</v>
      </c>
      <c r="B48" s="30">
        <v>128048</v>
      </c>
      <c r="C48" s="30" t="s">
        <v>1847</v>
      </c>
      <c r="D48" s="30">
        <v>126.529</v>
      </c>
      <c r="E48" s="30">
        <v>0.56000000000000005</v>
      </c>
      <c r="F48" s="30">
        <v>4.53</v>
      </c>
      <c r="G48" s="30">
        <v>113.02</v>
      </c>
      <c r="H48" s="30">
        <v>11.95</v>
      </c>
      <c r="I48" s="51">
        <v>138.47899999999998</v>
      </c>
      <c r="J48" s="52">
        <v>45608</v>
      </c>
      <c r="K48" s="53">
        <v>2.4049999999999998</v>
      </c>
      <c r="L48" s="53">
        <v>24.970395</v>
      </c>
      <c r="M48" s="53">
        <v>8794.9099776999992</v>
      </c>
      <c r="N48" s="54">
        <v>2.7836582152964202E-2</v>
      </c>
      <c r="O48" s="53">
        <v>-4.915</v>
      </c>
      <c r="P48" s="30">
        <v>126.529</v>
      </c>
      <c r="Q48" s="30">
        <v>124.658</v>
      </c>
      <c r="R48" s="54">
        <v>1.5009064801296308E-2</v>
      </c>
    </row>
    <row r="49" spans="1:18" x14ac:dyDescent="0.15">
      <c r="A49" s="31">
        <v>48</v>
      </c>
      <c r="B49" s="30">
        <v>123107</v>
      </c>
      <c r="C49" s="30" t="s">
        <v>1876</v>
      </c>
      <c r="D49" s="30">
        <v>129.399</v>
      </c>
      <c r="E49" s="30">
        <v>0.46</v>
      </c>
      <c r="F49" s="30">
        <v>17.62</v>
      </c>
      <c r="G49" s="30">
        <v>115.55</v>
      </c>
      <c r="H49" s="30">
        <v>11.99</v>
      </c>
      <c r="I49" s="51">
        <v>141.38900000000001</v>
      </c>
      <c r="J49" s="52">
        <v>46475</v>
      </c>
      <c r="K49" s="53">
        <v>4.7809999999999997</v>
      </c>
      <c r="L49" s="53">
        <v>92.962683999999996</v>
      </c>
      <c r="M49" s="53">
        <v>20331.406171999999</v>
      </c>
      <c r="N49" s="54">
        <v>1.690160089878746E-2</v>
      </c>
      <c r="O49" s="53">
        <v>-2.8788999999999998</v>
      </c>
      <c r="P49" s="30">
        <v>129.99</v>
      </c>
      <c r="Q49" s="30">
        <v>128.102</v>
      </c>
      <c r="R49" s="54">
        <v>1.4738255452686181E-2</v>
      </c>
    </row>
    <row r="50" spans="1:18" x14ac:dyDescent="0.15">
      <c r="A50" s="31">
        <v>49</v>
      </c>
      <c r="B50" s="30">
        <v>128021</v>
      </c>
      <c r="C50" s="30" t="s">
        <v>51</v>
      </c>
      <c r="D50" s="30">
        <v>141.72800000000001</v>
      </c>
      <c r="E50" s="30">
        <v>0.95</v>
      </c>
      <c r="F50" s="30">
        <v>5.19</v>
      </c>
      <c r="G50" s="30">
        <v>126.2</v>
      </c>
      <c r="H50" s="30">
        <v>12.3</v>
      </c>
      <c r="I50" s="51">
        <v>154.02800000000002</v>
      </c>
      <c r="J50" s="52">
        <v>45258</v>
      </c>
      <c r="K50" s="53">
        <v>1.4470000000000001</v>
      </c>
      <c r="L50" s="53">
        <v>2.6517419999999996</v>
      </c>
      <c r="M50" s="53">
        <v>14039.240522</v>
      </c>
      <c r="N50" s="54">
        <v>0.37355683623309394</v>
      </c>
      <c r="O50" s="53">
        <v>-17.5032</v>
      </c>
      <c r="P50" s="30">
        <v>142.5</v>
      </c>
      <c r="Q50" s="30">
        <v>139.655</v>
      </c>
      <c r="R50" s="54">
        <v>2.0371630088432201E-2</v>
      </c>
    </row>
    <row r="51" spans="1:18" x14ac:dyDescent="0.15">
      <c r="A51" s="31">
        <v>50</v>
      </c>
      <c r="B51" s="30">
        <v>127058</v>
      </c>
      <c r="C51" s="30" t="s">
        <v>1859</v>
      </c>
      <c r="D51" s="30">
        <v>127.6</v>
      </c>
      <c r="E51" s="30">
        <v>0.16</v>
      </c>
      <c r="F51" s="30">
        <v>16.690000000000001</v>
      </c>
      <c r="G51" s="30">
        <v>113.36</v>
      </c>
      <c r="H51" s="30">
        <v>12.56</v>
      </c>
      <c r="I51" s="51">
        <v>140.16</v>
      </c>
      <c r="J51" s="52">
        <v>46830</v>
      </c>
      <c r="K51" s="53">
        <v>5.7530000000000001</v>
      </c>
      <c r="L51" s="53">
        <v>30</v>
      </c>
      <c r="M51" s="53">
        <v>7878.2389341999997</v>
      </c>
      <c r="N51" s="54">
        <v>2.058056147910136E-2</v>
      </c>
      <c r="O51" s="53">
        <v>-2.1943000000000001</v>
      </c>
      <c r="P51" s="30">
        <v>128.88800000000001</v>
      </c>
      <c r="Q51" s="30">
        <v>126.878</v>
      </c>
      <c r="R51" s="54">
        <v>1.5841989943094981E-2</v>
      </c>
    </row>
    <row r="52" spans="1:18" x14ac:dyDescent="0.15">
      <c r="A52" s="31">
        <v>51</v>
      </c>
      <c r="B52" s="30">
        <v>127045</v>
      </c>
      <c r="C52" s="30" t="s">
        <v>1872</v>
      </c>
      <c r="D52" s="30">
        <v>130.13999999999999</v>
      </c>
      <c r="E52" s="30">
        <v>0.56999999999999995</v>
      </c>
      <c r="F52" s="30">
        <v>47.46</v>
      </c>
      <c r="G52" s="30">
        <v>115.57</v>
      </c>
      <c r="H52" s="30">
        <v>12.61</v>
      </c>
      <c r="I52" s="51">
        <v>142.75</v>
      </c>
      <c r="J52" s="52">
        <v>46615</v>
      </c>
      <c r="K52" s="53">
        <v>5.1639999999999997</v>
      </c>
      <c r="L52" s="53">
        <v>95.473815999999999</v>
      </c>
      <c r="M52" s="53">
        <v>32929.674261299995</v>
      </c>
      <c r="N52" s="54">
        <v>2.650283611607546E-2</v>
      </c>
      <c r="O52" s="53">
        <v>-3.0596999999999999</v>
      </c>
      <c r="P52" s="30">
        <v>130.63</v>
      </c>
      <c r="Q52" s="30">
        <v>128.82599999999999</v>
      </c>
      <c r="R52" s="54">
        <v>1.4003384409979369E-2</v>
      </c>
    </row>
    <row r="53" spans="1:18" x14ac:dyDescent="0.15">
      <c r="A53" s="31">
        <v>52</v>
      </c>
      <c r="B53" s="30">
        <v>128017</v>
      </c>
      <c r="C53" s="30" t="s">
        <v>1846</v>
      </c>
      <c r="D53" s="30">
        <v>212.88</v>
      </c>
      <c r="E53" s="30">
        <v>1.1299999999999999</v>
      </c>
      <c r="F53" s="30">
        <v>21.33</v>
      </c>
      <c r="G53" s="30">
        <v>188.94</v>
      </c>
      <c r="H53" s="30">
        <v>12.67</v>
      </c>
      <c r="I53" s="51">
        <v>225.54999999999998</v>
      </c>
      <c r="J53" s="52">
        <v>45231</v>
      </c>
      <c r="K53" s="53">
        <v>1.373</v>
      </c>
      <c r="L53" s="53">
        <v>5.5181570000000004</v>
      </c>
      <c r="M53" s="53">
        <v>6143.2063646999995</v>
      </c>
      <c r="N53" s="54">
        <v>5.2295725256258085E-2</v>
      </c>
      <c r="O53" s="53">
        <v>-39.394500000000001</v>
      </c>
      <c r="P53" s="30">
        <v>213.899</v>
      </c>
      <c r="Q53" s="30">
        <v>209</v>
      </c>
      <c r="R53" s="54">
        <v>2.3440191387559813E-2</v>
      </c>
    </row>
    <row r="54" spans="1:18" x14ac:dyDescent="0.15">
      <c r="A54" s="31">
        <v>53</v>
      </c>
      <c r="B54" s="30">
        <v>127030</v>
      </c>
      <c r="C54" s="30" t="s">
        <v>783</v>
      </c>
      <c r="D54" s="30">
        <v>150.58799999999999</v>
      </c>
      <c r="E54" s="30">
        <v>-0.01</v>
      </c>
      <c r="F54" s="30">
        <v>13.38</v>
      </c>
      <c r="G54" s="30">
        <v>133.41</v>
      </c>
      <c r="H54" s="30">
        <v>12.88</v>
      </c>
      <c r="I54" s="51">
        <v>163.46799999999999</v>
      </c>
      <c r="J54" s="52">
        <v>46468</v>
      </c>
      <c r="K54" s="53">
        <v>4.7619999999999996</v>
      </c>
      <c r="L54" s="53">
        <v>49.981955999999997</v>
      </c>
      <c r="M54" s="53">
        <v>27032.309168800002</v>
      </c>
      <c r="N54" s="54">
        <v>3.591530282670554E-2</v>
      </c>
      <c r="O54" s="53">
        <v>-6.0556999999999999</v>
      </c>
      <c r="P54" s="30">
        <v>155.30600000000001</v>
      </c>
      <c r="Q54" s="30">
        <v>149.023</v>
      </c>
      <c r="R54" s="54">
        <v>4.2161277118297279E-2</v>
      </c>
    </row>
    <row r="55" spans="1:18" x14ac:dyDescent="0.15">
      <c r="A55" s="31">
        <v>54</v>
      </c>
      <c r="B55" s="30">
        <v>113504</v>
      </c>
      <c r="C55" s="30" t="s">
        <v>128</v>
      </c>
      <c r="D55" s="30">
        <v>148.56</v>
      </c>
      <c r="E55" s="30">
        <v>1.1000000000000001</v>
      </c>
      <c r="F55" s="30">
        <v>20.81</v>
      </c>
      <c r="G55" s="30">
        <v>131.33000000000001</v>
      </c>
      <c r="H55" s="30">
        <v>13.12</v>
      </c>
      <c r="I55" s="51">
        <v>161.68</v>
      </c>
      <c r="J55" s="52">
        <v>45353</v>
      </c>
      <c r="K55" s="53">
        <v>1.7070000000000001</v>
      </c>
      <c r="L55" s="53">
        <v>4.6275899999999996</v>
      </c>
      <c r="M55" s="53">
        <v>4391.5492999999997</v>
      </c>
      <c r="N55" s="54">
        <v>6.3879424948857733E-2</v>
      </c>
      <c r="O55" s="53">
        <v>-17.245100000000001</v>
      </c>
      <c r="P55" s="30">
        <v>149</v>
      </c>
      <c r="Q55" s="30">
        <v>144.51</v>
      </c>
      <c r="R55" s="54">
        <v>3.1070514151269872E-2</v>
      </c>
    </row>
    <row r="56" spans="1:18" x14ac:dyDescent="0.15">
      <c r="A56" s="31">
        <v>55</v>
      </c>
      <c r="B56" s="30">
        <v>123121</v>
      </c>
      <c r="C56" s="30" t="s">
        <v>237</v>
      </c>
      <c r="D56" s="30">
        <v>151</v>
      </c>
      <c r="E56" s="30">
        <v>3.53</v>
      </c>
      <c r="F56" s="30">
        <v>119.68</v>
      </c>
      <c r="G56" s="30">
        <v>133.19</v>
      </c>
      <c r="H56" s="30">
        <v>13.37</v>
      </c>
      <c r="I56" s="51">
        <v>164.37</v>
      </c>
      <c r="J56" s="52">
        <v>46604</v>
      </c>
      <c r="K56" s="53">
        <v>5.1340000000000003</v>
      </c>
      <c r="L56" s="53">
        <v>8.3953559999999996</v>
      </c>
      <c r="M56" s="53">
        <v>31906.098730900001</v>
      </c>
      <c r="N56" s="54">
        <v>0.2516851782009637</v>
      </c>
      <c r="O56" s="53">
        <v>-4.3022999999999998</v>
      </c>
      <c r="P56" s="30">
        <v>152.96799999999999</v>
      </c>
      <c r="Q56" s="30">
        <v>145.99199999999999</v>
      </c>
      <c r="R56" s="54">
        <v>4.7783440188503473E-2</v>
      </c>
    </row>
    <row r="57" spans="1:18" x14ac:dyDescent="0.15">
      <c r="A57" s="31">
        <v>56</v>
      </c>
      <c r="B57" s="30">
        <v>123089</v>
      </c>
      <c r="C57" s="30" t="s">
        <v>798</v>
      </c>
      <c r="D57" s="30">
        <v>144.19</v>
      </c>
      <c r="E57" s="30">
        <v>3.14</v>
      </c>
      <c r="F57" s="30">
        <v>5.63</v>
      </c>
      <c r="G57" s="30">
        <v>127.18</v>
      </c>
      <c r="H57" s="30">
        <v>13.37</v>
      </c>
      <c r="I57" s="51">
        <v>157.56</v>
      </c>
      <c r="J57" s="52">
        <v>46377</v>
      </c>
      <c r="K57" s="53">
        <v>4.5119999999999996</v>
      </c>
      <c r="L57" s="53">
        <v>3.0624180000000001</v>
      </c>
      <c r="M57" s="53">
        <v>25828.883615300001</v>
      </c>
      <c r="N57" s="54">
        <v>0.58493286698768476</v>
      </c>
      <c r="O57" s="53">
        <v>-3.9535</v>
      </c>
      <c r="P57" s="30">
        <v>145.42099999999999</v>
      </c>
      <c r="Q57" s="30">
        <v>139.6</v>
      </c>
      <c r="R57" s="54">
        <v>4.1697707736389672E-2</v>
      </c>
    </row>
    <row r="58" spans="1:18" x14ac:dyDescent="0.15">
      <c r="A58" s="31">
        <v>57</v>
      </c>
      <c r="B58" s="30">
        <v>113525</v>
      </c>
      <c r="C58" s="30" t="s">
        <v>1867</v>
      </c>
      <c r="D58" s="30">
        <v>185.86</v>
      </c>
      <c r="E58" s="30">
        <v>0.2</v>
      </c>
      <c r="F58" s="30">
        <v>7.78</v>
      </c>
      <c r="G58" s="30">
        <v>163.75</v>
      </c>
      <c r="H58" s="30">
        <v>13.5</v>
      </c>
      <c r="I58" s="51">
        <v>199.36</v>
      </c>
      <c r="J58" s="52">
        <v>45643</v>
      </c>
      <c r="K58" s="53">
        <v>2.5009999999999999</v>
      </c>
      <c r="L58" s="53">
        <v>1.8535699999999999</v>
      </c>
      <c r="M58" s="53">
        <v>36024.186800000003</v>
      </c>
      <c r="N58" s="54">
        <v>1.0456811068570706</v>
      </c>
      <c r="O58" s="53">
        <v>-18.1738</v>
      </c>
      <c r="P58" s="30">
        <v>190.5</v>
      </c>
      <c r="Q58" s="30">
        <v>179.07</v>
      </c>
      <c r="R58" s="54">
        <v>6.382978723404259E-2</v>
      </c>
    </row>
    <row r="59" spans="1:18" x14ac:dyDescent="0.15">
      <c r="A59" s="31">
        <v>58</v>
      </c>
      <c r="B59" s="30">
        <v>123103</v>
      </c>
      <c r="C59" s="30" t="s">
        <v>818</v>
      </c>
      <c r="D59" s="30">
        <v>151.90100000000001</v>
      </c>
      <c r="E59" s="30">
        <v>2.67</v>
      </c>
      <c r="F59" s="30">
        <v>47.33</v>
      </c>
      <c r="G59" s="30">
        <v>133.72</v>
      </c>
      <c r="H59" s="30">
        <v>13.6</v>
      </c>
      <c r="I59" s="51">
        <v>165.501</v>
      </c>
      <c r="J59" s="52">
        <v>46458</v>
      </c>
      <c r="K59" s="53">
        <v>4.734</v>
      </c>
      <c r="L59" s="53">
        <v>2.4949330000000005</v>
      </c>
      <c r="M59" s="53">
        <v>12254.682347</v>
      </c>
      <c r="N59" s="54">
        <v>0.32335720187893074</v>
      </c>
      <c r="O59" s="53">
        <v>-4.7984999999999998</v>
      </c>
      <c r="P59" s="30">
        <v>153.10499999999999</v>
      </c>
      <c r="Q59" s="30">
        <v>146.952</v>
      </c>
      <c r="R59" s="54">
        <v>4.1870814959986881E-2</v>
      </c>
    </row>
    <row r="60" spans="1:18" x14ac:dyDescent="0.15">
      <c r="A60" s="31">
        <v>59</v>
      </c>
      <c r="B60" s="30">
        <v>113591</v>
      </c>
      <c r="C60" s="30" t="s">
        <v>41</v>
      </c>
      <c r="D60" s="30">
        <v>120.61</v>
      </c>
      <c r="E60" s="30">
        <v>0.24</v>
      </c>
      <c r="F60" s="30">
        <v>8.74</v>
      </c>
      <c r="G60" s="30">
        <v>105.61</v>
      </c>
      <c r="H60" s="30">
        <v>14.2</v>
      </c>
      <c r="I60" s="51">
        <v>134.81</v>
      </c>
      <c r="J60" s="52">
        <v>46204</v>
      </c>
      <c r="K60" s="53">
        <v>4.0380000000000003</v>
      </c>
      <c r="L60" s="53">
        <v>4.7749899999999998</v>
      </c>
      <c r="M60" s="53">
        <v>2369.1599000000001</v>
      </c>
      <c r="N60" s="54">
        <v>4.1137565744147953E-2</v>
      </c>
      <c r="O60" s="53">
        <v>0.2281</v>
      </c>
      <c r="P60" s="30">
        <v>120.81</v>
      </c>
      <c r="Q60" s="30">
        <v>119.9</v>
      </c>
      <c r="R60" s="54">
        <v>7.5896580483736159E-3</v>
      </c>
    </row>
    <row r="61" spans="1:18" x14ac:dyDescent="0.15">
      <c r="A61" s="31">
        <v>60</v>
      </c>
      <c r="B61" s="30">
        <v>113039</v>
      </c>
      <c r="C61" s="30" t="s">
        <v>45</v>
      </c>
      <c r="D61" s="30">
        <v>139.36000000000001</v>
      </c>
      <c r="E61" s="30">
        <v>1.06</v>
      </c>
      <c r="F61" s="30">
        <v>3.36</v>
      </c>
      <c r="G61" s="30">
        <v>121.43</v>
      </c>
      <c r="H61" s="30">
        <v>14.77</v>
      </c>
      <c r="I61" s="51">
        <v>154.13000000000002</v>
      </c>
      <c r="J61" s="52">
        <v>46258</v>
      </c>
      <c r="K61" s="53">
        <v>4.1859999999999999</v>
      </c>
      <c r="L61" s="53">
        <v>2.88409</v>
      </c>
      <c r="M61" s="53">
        <v>2785.8699000000001</v>
      </c>
      <c r="N61" s="54">
        <v>6.9312870452795189E-2</v>
      </c>
      <c r="O61" s="53">
        <v>-5.0176999999999996</v>
      </c>
      <c r="P61" s="30">
        <v>139.85</v>
      </c>
      <c r="Q61" s="30">
        <v>136.88</v>
      </c>
      <c r="R61" s="54">
        <v>2.1697837521917E-2</v>
      </c>
    </row>
    <row r="62" spans="1:18" x14ac:dyDescent="0.15">
      <c r="A62" s="31">
        <v>61</v>
      </c>
      <c r="B62" s="30">
        <v>123073</v>
      </c>
      <c r="C62" s="30" t="s">
        <v>1833</v>
      </c>
      <c r="D62" s="30">
        <v>203.6</v>
      </c>
      <c r="E62" s="30">
        <v>2.34</v>
      </c>
      <c r="F62" s="30">
        <v>14.82</v>
      </c>
      <c r="G62" s="30">
        <v>177.19</v>
      </c>
      <c r="H62" s="30">
        <v>14.9</v>
      </c>
      <c r="I62" s="51">
        <v>218.5</v>
      </c>
      <c r="J62" s="52">
        <v>46321</v>
      </c>
      <c r="K62" s="53">
        <v>4.359</v>
      </c>
      <c r="L62" s="53">
        <v>2.5517530000000002</v>
      </c>
      <c r="M62" s="53">
        <v>217699.382469</v>
      </c>
      <c r="N62" s="54">
        <v>4.1902582462096749</v>
      </c>
      <c r="O62" s="53">
        <v>-11.307399999999999</v>
      </c>
      <c r="P62" s="30">
        <v>210.619</v>
      </c>
      <c r="Q62" s="30">
        <v>194.5</v>
      </c>
      <c r="R62" s="54">
        <v>8.2874035989717224E-2</v>
      </c>
    </row>
    <row r="63" spans="1:18" x14ac:dyDescent="0.15">
      <c r="A63" s="31">
        <v>62</v>
      </c>
      <c r="B63" s="30">
        <v>128119</v>
      </c>
      <c r="C63" s="30" t="s">
        <v>246</v>
      </c>
      <c r="D63" s="30">
        <v>127.435</v>
      </c>
      <c r="E63" s="30">
        <v>0.18</v>
      </c>
      <c r="F63" s="30">
        <v>9.2799999999999994</v>
      </c>
      <c r="G63" s="30">
        <v>110.88</v>
      </c>
      <c r="H63" s="30">
        <v>14.93</v>
      </c>
      <c r="I63" s="51">
        <v>142.36500000000001</v>
      </c>
      <c r="J63" s="52">
        <v>46216</v>
      </c>
      <c r="K63" s="53">
        <v>4.0709999999999997</v>
      </c>
      <c r="L63" s="53">
        <v>9.4607820000000018</v>
      </c>
      <c r="M63" s="53">
        <v>1891.9792937</v>
      </c>
      <c r="N63" s="54">
        <v>1.5692806524995228E-2</v>
      </c>
      <c r="O63" s="53">
        <v>-1.5157</v>
      </c>
      <c r="P63" s="30">
        <v>128.29499999999999</v>
      </c>
      <c r="Q63" s="30">
        <v>126.4</v>
      </c>
      <c r="R63" s="54">
        <v>1.4992088607594793E-2</v>
      </c>
    </row>
    <row r="64" spans="1:18" x14ac:dyDescent="0.15">
      <c r="A64" s="31">
        <v>63</v>
      </c>
      <c r="B64" s="30">
        <v>113642</v>
      </c>
      <c r="C64" s="30" t="s">
        <v>1917</v>
      </c>
      <c r="D64" s="30">
        <v>149.16999999999999</v>
      </c>
      <c r="E64" s="30">
        <v>1.87</v>
      </c>
      <c r="F64" s="30">
        <v>102.61</v>
      </c>
      <c r="G64" s="30">
        <v>129.79</v>
      </c>
      <c r="H64" s="30">
        <v>14.93</v>
      </c>
      <c r="I64" s="51">
        <v>164.1</v>
      </c>
      <c r="J64" s="52">
        <v>46813</v>
      </c>
      <c r="K64" s="53">
        <v>5.7069999999999999</v>
      </c>
      <c r="L64" s="53">
        <v>24.7</v>
      </c>
      <c r="M64" s="53">
        <v>22248.043900000001</v>
      </c>
      <c r="N64" s="54">
        <v>6.0382819753784713E-2</v>
      </c>
      <c r="O64" s="53">
        <v>-4.2168000000000001</v>
      </c>
      <c r="P64" s="30">
        <v>149.80000000000001</v>
      </c>
      <c r="Q64" s="30">
        <v>144.97999999999999</v>
      </c>
      <c r="R64" s="54">
        <v>3.3245964960684382E-2</v>
      </c>
    </row>
    <row r="65" spans="1:18" x14ac:dyDescent="0.15">
      <c r="A65" s="31">
        <v>64</v>
      </c>
      <c r="B65" s="30">
        <v>123105</v>
      </c>
      <c r="C65" s="30" t="s">
        <v>234</v>
      </c>
      <c r="D65" s="30">
        <v>130.398</v>
      </c>
      <c r="E65" s="30">
        <v>0.37</v>
      </c>
      <c r="F65" s="30">
        <v>9.91</v>
      </c>
      <c r="G65" s="30">
        <v>113.42</v>
      </c>
      <c r="H65" s="30">
        <v>14.97</v>
      </c>
      <c r="I65" s="51">
        <v>145.36799999999999</v>
      </c>
      <c r="J65" s="52">
        <v>46465</v>
      </c>
      <c r="K65" s="53">
        <v>4.7530000000000001</v>
      </c>
      <c r="L65" s="53">
        <v>7.9986300000000004</v>
      </c>
      <c r="M65" s="53">
        <v>1697.9778936</v>
      </c>
      <c r="N65" s="54">
        <v>1.627966611948288E-2</v>
      </c>
      <c r="O65" s="53">
        <v>-1.6427</v>
      </c>
      <c r="P65" s="30">
        <v>130.398</v>
      </c>
      <c r="Q65" s="30">
        <v>128.44499999999999</v>
      </c>
      <c r="R65" s="54">
        <v>1.5204951535676773E-2</v>
      </c>
    </row>
    <row r="66" spans="1:18" x14ac:dyDescent="0.15">
      <c r="A66" s="31">
        <v>65</v>
      </c>
      <c r="B66" s="30">
        <v>127049</v>
      </c>
      <c r="C66" s="30" t="s">
        <v>1878</v>
      </c>
      <c r="D66" s="30">
        <v>124.4</v>
      </c>
      <c r="E66" s="30">
        <v>0.16</v>
      </c>
      <c r="F66" s="30">
        <v>14.45</v>
      </c>
      <c r="G66" s="30">
        <v>108.1</v>
      </c>
      <c r="H66" s="30">
        <v>15.08</v>
      </c>
      <c r="I66" s="51">
        <v>139.48000000000002</v>
      </c>
      <c r="J66" s="52">
        <v>46693</v>
      </c>
      <c r="K66" s="53">
        <v>5.3780000000000001</v>
      </c>
      <c r="L66" s="53">
        <v>81.493674999999996</v>
      </c>
      <c r="M66" s="53">
        <v>23288.992973699998</v>
      </c>
      <c r="N66" s="54">
        <v>2.2972403005627692E-2</v>
      </c>
      <c r="O66" s="53">
        <v>-2.0933999999999999</v>
      </c>
      <c r="P66" s="30">
        <v>124.78700000000001</v>
      </c>
      <c r="Q66" s="30">
        <v>123.697</v>
      </c>
      <c r="R66" s="54">
        <v>8.8118547741659319E-3</v>
      </c>
    </row>
    <row r="67" spans="1:18" x14ac:dyDescent="0.15">
      <c r="A67" s="31">
        <v>66</v>
      </c>
      <c r="B67" s="30">
        <v>110038</v>
      </c>
      <c r="C67" s="30" t="s">
        <v>102</v>
      </c>
      <c r="D67" s="30">
        <v>139.4</v>
      </c>
      <c r="E67" s="30">
        <v>-2.1800000000000002</v>
      </c>
      <c r="F67" s="30">
        <v>22.72</v>
      </c>
      <c r="G67" s="30">
        <v>121.04</v>
      </c>
      <c r="H67" s="30">
        <v>15.17</v>
      </c>
      <c r="I67" s="51">
        <v>154.57</v>
      </c>
      <c r="J67" s="52">
        <v>44878</v>
      </c>
      <c r="K67" s="53">
        <v>0.40500000000000003</v>
      </c>
      <c r="L67" s="53">
        <v>6.3023899999999999</v>
      </c>
      <c r="M67" s="53">
        <v>6633.56</v>
      </c>
      <c r="N67" s="54">
        <v>7.5505504467102455E-2</v>
      </c>
      <c r="O67" s="53">
        <v>-48.8795</v>
      </c>
      <c r="P67" s="30">
        <v>143.19999999999999</v>
      </c>
      <c r="Q67" s="30">
        <v>138.6</v>
      </c>
      <c r="R67" s="54">
        <v>3.318903318903315E-2</v>
      </c>
    </row>
    <row r="68" spans="1:18" x14ac:dyDescent="0.15">
      <c r="A68" s="31">
        <v>67</v>
      </c>
      <c r="B68" s="30">
        <v>123067</v>
      </c>
      <c r="C68" s="30" t="s">
        <v>796</v>
      </c>
      <c r="D68" s="30">
        <v>201</v>
      </c>
      <c r="E68" s="30">
        <v>7.32</v>
      </c>
      <c r="F68" s="30">
        <v>9.36</v>
      </c>
      <c r="G68" s="30">
        <v>174.36</v>
      </c>
      <c r="H68" s="30">
        <v>15.28</v>
      </c>
      <c r="I68" s="51">
        <v>216.28</v>
      </c>
      <c r="J68" s="52">
        <v>46282</v>
      </c>
      <c r="K68" s="53">
        <v>4.2519999999999998</v>
      </c>
      <c r="L68" s="53">
        <v>2.397748</v>
      </c>
      <c r="M68" s="53">
        <v>429369.75145539996</v>
      </c>
      <c r="N68" s="54">
        <v>8.9090593243683536</v>
      </c>
      <c r="O68" s="53">
        <v>-11.4915</v>
      </c>
      <c r="P68" s="30">
        <v>208.77799999999999</v>
      </c>
      <c r="Q68" s="30">
        <v>185.5</v>
      </c>
      <c r="R68" s="54">
        <v>0.12548787061994604</v>
      </c>
    </row>
    <row r="69" spans="1:18" x14ac:dyDescent="0.15">
      <c r="A69" s="31">
        <v>68</v>
      </c>
      <c r="B69" s="30">
        <v>110074</v>
      </c>
      <c r="C69" s="30" t="s">
        <v>1866</v>
      </c>
      <c r="D69" s="30">
        <v>169.56</v>
      </c>
      <c r="E69" s="30">
        <v>4.01</v>
      </c>
      <c r="F69" s="30">
        <v>3.7</v>
      </c>
      <c r="G69" s="30">
        <v>147.03</v>
      </c>
      <c r="H69" s="30">
        <v>15.32</v>
      </c>
      <c r="I69" s="51">
        <v>184.88</v>
      </c>
      <c r="J69" s="52">
        <v>46253</v>
      </c>
      <c r="K69" s="53">
        <v>4.173</v>
      </c>
      <c r="L69" s="53">
        <v>5.0958899999999998</v>
      </c>
      <c r="M69" s="53">
        <v>21757.121200000001</v>
      </c>
      <c r="N69" s="54">
        <v>0.25180130605055723</v>
      </c>
      <c r="O69" s="53">
        <v>-8.6769999999999996</v>
      </c>
      <c r="P69" s="30">
        <v>169.86</v>
      </c>
      <c r="Q69" s="30">
        <v>161.69</v>
      </c>
      <c r="R69" s="54">
        <v>5.0528789659224541E-2</v>
      </c>
    </row>
    <row r="70" spans="1:18" x14ac:dyDescent="0.15">
      <c r="A70" s="31">
        <v>69</v>
      </c>
      <c r="B70" s="30">
        <v>128034</v>
      </c>
      <c r="C70" s="30" t="s">
        <v>1863</v>
      </c>
      <c r="D70" s="30">
        <v>121.5</v>
      </c>
      <c r="E70" s="30">
        <v>-0.31</v>
      </c>
      <c r="F70" s="30">
        <v>4.1399999999999997</v>
      </c>
      <c r="G70" s="30">
        <v>105.31</v>
      </c>
      <c r="H70" s="30">
        <v>15.37</v>
      </c>
      <c r="I70" s="51">
        <v>136.87</v>
      </c>
      <c r="J70" s="52">
        <v>45317</v>
      </c>
      <c r="K70" s="53">
        <v>1.6080000000000001</v>
      </c>
      <c r="L70" s="53">
        <v>17.579893999999999</v>
      </c>
      <c r="M70" s="53">
        <v>6107.1419593000001</v>
      </c>
      <c r="N70" s="54">
        <v>2.8592062543094467E-2</v>
      </c>
      <c r="O70" s="53">
        <v>-7.4770000000000003</v>
      </c>
      <c r="P70" s="30">
        <v>122.498</v>
      </c>
      <c r="Q70" s="30">
        <v>120.66</v>
      </c>
      <c r="R70" s="54">
        <v>1.523288579479536E-2</v>
      </c>
    </row>
    <row r="71" spans="1:18" x14ac:dyDescent="0.15">
      <c r="A71" s="31">
        <v>70</v>
      </c>
      <c r="B71" s="30">
        <v>128083</v>
      </c>
      <c r="C71" s="30" t="s">
        <v>190</v>
      </c>
      <c r="D71" s="30">
        <v>121.64400000000001</v>
      </c>
      <c r="E71" s="30">
        <v>0.45</v>
      </c>
      <c r="F71" s="30">
        <v>6.65</v>
      </c>
      <c r="G71" s="30">
        <v>104.51</v>
      </c>
      <c r="H71" s="30">
        <v>16.39</v>
      </c>
      <c r="I71" s="51">
        <v>138.03399999999999</v>
      </c>
      <c r="J71" s="52">
        <v>46003</v>
      </c>
      <c r="K71" s="53">
        <v>3.488</v>
      </c>
      <c r="L71" s="53">
        <v>8.7687390000000001</v>
      </c>
      <c r="M71" s="53">
        <v>881.42786280000007</v>
      </c>
      <c r="N71" s="54">
        <v>8.2634031001485152E-3</v>
      </c>
      <c r="O71" s="53">
        <v>-1.8026</v>
      </c>
      <c r="P71" s="30">
        <v>121.827</v>
      </c>
      <c r="Q71" s="30">
        <v>119.9</v>
      </c>
      <c r="R71" s="54">
        <v>1.6071726438698853E-2</v>
      </c>
    </row>
    <row r="72" spans="1:18" x14ac:dyDescent="0.15">
      <c r="A72" s="31">
        <v>71</v>
      </c>
      <c r="B72" s="30">
        <v>110055</v>
      </c>
      <c r="C72" s="30" t="s">
        <v>1881</v>
      </c>
      <c r="D72" s="30">
        <v>210.94</v>
      </c>
      <c r="E72" s="30">
        <v>-2.08</v>
      </c>
      <c r="F72" s="30">
        <v>16.41</v>
      </c>
      <c r="G72" s="30">
        <v>180.99</v>
      </c>
      <c r="H72" s="30">
        <v>16.55</v>
      </c>
      <c r="I72" s="51">
        <v>227.49</v>
      </c>
      <c r="J72" s="52">
        <v>45731</v>
      </c>
      <c r="K72" s="53">
        <v>2.742</v>
      </c>
      <c r="L72" s="53">
        <v>2.4353500000000001</v>
      </c>
      <c r="M72" s="53">
        <v>85057.8223</v>
      </c>
      <c r="N72" s="54">
        <v>1.6557468308323735</v>
      </c>
      <c r="O72" s="53">
        <v>-20.497499999999999</v>
      </c>
      <c r="P72" s="30">
        <v>216.5</v>
      </c>
      <c r="Q72" s="30">
        <v>208.02</v>
      </c>
      <c r="R72" s="54">
        <v>4.0765311027785738E-2</v>
      </c>
    </row>
    <row r="73" spans="1:18" x14ac:dyDescent="0.15">
      <c r="A73" s="31">
        <v>72</v>
      </c>
      <c r="B73" s="30">
        <v>113570</v>
      </c>
      <c r="C73" s="30" t="s">
        <v>42</v>
      </c>
      <c r="D73" s="30">
        <v>126.91</v>
      </c>
      <c r="E73" s="30">
        <v>0.19</v>
      </c>
      <c r="F73" s="30">
        <v>11.09</v>
      </c>
      <c r="G73" s="30">
        <v>108.57</v>
      </c>
      <c r="H73" s="30">
        <v>16.89</v>
      </c>
      <c r="I73" s="51">
        <v>143.80000000000001</v>
      </c>
      <c r="J73" s="52">
        <v>46092</v>
      </c>
      <c r="K73" s="53">
        <v>3.7320000000000002</v>
      </c>
      <c r="L73" s="53">
        <v>2.7993199999999998</v>
      </c>
      <c r="M73" s="53">
        <v>2235.5943000000002</v>
      </c>
      <c r="N73" s="54">
        <v>6.2928097581265552E-2</v>
      </c>
      <c r="O73" s="53">
        <v>-2.8128000000000002</v>
      </c>
      <c r="P73" s="30">
        <v>127.3</v>
      </c>
      <c r="Q73" s="30">
        <v>126.21</v>
      </c>
      <c r="R73" s="54">
        <v>8.636399651374721E-3</v>
      </c>
    </row>
    <row r="74" spans="1:18" x14ac:dyDescent="0.15">
      <c r="A74" s="31">
        <v>73</v>
      </c>
      <c r="B74" s="30">
        <v>123123</v>
      </c>
      <c r="C74" s="30" t="s">
        <v>196</v>
      </c>
      <c r="D74" s="30">
        <v>136.39599999999999</v>
      </c>
      <c r="E74" s="30">
        <v>0.45</v>
      </c>
      <c r="F74" s="30">
        <v>51.41</v>
      </c>
      <c r="G74" s="30">
        <v>116.65</v>
      </c>
      <c r="H74" s="30">
        <v>16.93</v>
      </c>
      <c r="I74" s="51">
        <v>153.32599999999999</v>
      </c>
      <c r="J74" s="52">
        <v>46611</v>
      </c>
      <c r="K74" s="53">
        <v>5.1529999999999996</v>
      </c>
      <c r="L74" s="53">
        <v>5.1604099999999997</v>
      </c>
      <c r="M74" s="53">
        <v>8072.2599347000005</v>
      </c>
      <c r="N74" s="54">
        <v>0.1146857068878054</v>
      </c>
      <c r="O74" s="53">
        <v>-2.2669000000000001</v>
      </c>
      <c r="P74" s="30">
        <v>136.94999999999999</v>
      </c>
      <c r="Q74" s="30">
        <v>135.19</v>
      </c>
      <c r="R74" s="54">
        <v>1.3018714401952741E-2</v>
      </c>
    </row>
    <row r="75" spans="1:18" x14ac:dyDescent="0.15">
      <c r="A75" s="31">
        <v>74</v>
      </c>
      <c r="B75" s="30">
        <v>127038</v>
      </c>
      <c r="C75" s="30" t="s">
        <v>1860</v>
      </c>
      <c r="D75" s="30">
        <v>167.602</v>
      </c>
      <c r="E75" s="30">
        <v>1.52</v>
      </c>
      <c r="F75" s="30">
        <v>137.78</v>
      </c>
      <c r="G75" s="30">
        <v>143.26</v>
      </c>
      <c r="H75" s="30">
        <v>16.989999999999998</v>
      </c>
      <c r="I75" s="51">
        <v>184.59200000000001</v>
      </c>
      <c r="J75" s="52">
        <v>46548</v>
      </c>
      <c r="K75" s="53">
        <v>4.9809999999999999</v>
      </c>
      <c r="L75" s="53">
        <v>14.938332000000001</v>
      </c>
      <c r="M75" s="53">
        <v>10082.9607148</v>
      </c>
      <c r="N75" s="54">
        <v>4.0272331309789057E-2</v>
      </c>
      <c r="O75" s="53">
        <v>-7.4880000000000004</v>
      </c>
      <c r="P75" s="30">
        <v>167.821</v>
      </c>
      <c r="Q75" s="30">
        <v>163.518</v>
      </c>
      <c r="R75" s="54">
        <v>2.6315145733191436E-2</v>
      </c>
    </row>
    <row r="76" spans="1:18" x14ac:dyDescent="0.15">
      <c r="A76" s="31">
        <v>75</v>
      </c>
      <c r="B76" s="30">
        <v>123078</v>
      </c>
      <c r="C76" s="30" t="s">
        <v>1845</v>
      </c>
      <c r="D76" s="30">
        <v>165.601</v>
      </c>
      <c r="E76" s="30">
        <v>0.87</v>
      </c>
      <c r="F76" s="30">
        <v>15.49</v>
      </c>
      <c r="G76" s="30">
        <v>141.32</v>
      </c>
      <c r="H76" s="30">
        <v>17.18</v>
      </c>
      <c r="I76" s="51">
        <v>182.78100000000001</v>
      </c>
      <c r="J76" s="52">
        <v>46353</v>
      </c>
      <c r="K76" s="53">
        <v>4.4470000000000001</v>
      </c>
      <c r="L76" s="53">
        <v>6.1840570000000001</v>
      </c>
      <c r="M76" s="53">
        <v>11095.90991</v>
      </c>
      <c r="N76" s="54">
        <v>0.1083493930979607</v>
      </c>
      <c r="O76" s="53">
        <v>-8.0256000000000007</v>
      </c>
      <c r="P76" s="30">
        <v>166.5</v>
      </c>
      <c r="Q76" s="30">
        <v>162.488</v>
      </c>
      <c r="R76" s="54">
        <v>2.46910541086111E-2</v>
      </c>
    </row>
    <row r="77" spans="1:18" x14ac:dyDescent="0.15">
      <c r="A77" s="31">
        <v>76</v>
      </c>
      <c r="B77" s="30">
        <v>127029</v>
      </c>
      <c r="C77" s="30" t="s">
        <v>1851</v>
      </c>
      <c r="D77" s="30">
        <v>128</v>
      </c>
      <c r="E77" s="30">
        <v>0.31</v>
      </c>
      <c r="F77" s="30">
        <v>5.64</v>
      </c>
      <c r="G77" s="30">
        <v>109.22</v>
      </c>
      <c r="H77" s="30">
        <v>17.190000000000001</v>
      </c>
      <c r="I77" s="51">
        <v>145.19</v>
      </c>
      <c r="J77" s="52">
        <v>46465</v>
      </c>
      <c r="K77" s="53">
        <v>4.7530000000000001</v>
      </c>
      <c r="L77" s="53">
        <v>8.191396000000001</v>
      </c>
      <c r="M77" s="53">
        <v>2478.2091255999999</v>
      </c>
      <c r="N77" s="54">
        <v>2.3635786615309524E-2</v>
      </c>
      <c r="O77" s="53">
        <v>-1.845</v>
      </c>
      <c r="P77" s="30">
        <v>128.80000000000001</v>
      </c>
      <c r="Q77" s="30">
        <v>127.236</v>
      </c>
      <c r="R77" s="54">
        <v>1.2292118582791089E-2</v>
      </c>
    </row>
    <row r="78" spans="1:18" x14ac:dyDescent="0.15">
      <c r="A78" s="31">
        <v>77</v>
      </c>
      <c r="B78" s="30">
        <v>128087</v>
      </c>
      <c r="C78" s="30" t="s">
        <v>121</v>
      </c>
      <c r="D78" s="30">
        <v>119.203</v>
      </c>
      <c r="E78" s="30">
        <v>-0.21</v>
      </c>
      <c r="F78" s="30">
        <v>4.16</v>
      </c>
      <c r="G78" s="30">
        <v>101.68</v>
      </c>
      <c r="H78" s="30">
        <v>17.23</v>
      </c>
      <c r="I78" s="51">
        <v>136.43299999999999</v>
      </c>
      <c r="J78" s="52">
        <v>46008</v>
      </c>
      <c r="K78" s="53">
        <v>3.5009999999999999</v>
      </c>
      <c r="L78" s="53">
        <v>6.4940579999999999</v>
      </c>
      <c r="M78" s="53">
        <v>2155.6593177</v>
      </c>
      <c r="N78" s="54">
        <v>2.7846894987026385E-2</v>
      </c>
      <c r="O78" s="53">
        <v>-1.7212000000000001</v>
      </c>
      <c r="P78" s="30">
        <v>119.7</v>
      </c>
      <c r="Q78" s="30">
        <v>118.68899999999999</v>
      </c>
      <c r="R78" s="54">
        <v>8.5180598033517008E-3</v>
      </c>
    </row>
    <row r="79" spans="1:18" x14ac:dyDescent="0.15">
      <c r="A79" s="31">
        <v>78</v>
      </c>
      <c r="B79" s="30">
        <v>123060</v>
      </c>
      <c r="C79" s="30" t="s">
        <v>1849</v>
      </c>
      <c r="D79" s="30">
        <v>187.1</v>
      </c>
      <c r="E79" s="30">
        <v>-0.06</v>
      </c>
      <c r="F79" s="30">
        <v>14.54</v>
      </c>
      <c r="G79" s="30">
        <v>159.56</v>
      </c>
      <c r="H79" s="30">
        <v>17.260000000000002</v>
      </c>
      <c r="I79" s="51">
        <v>204.35999999999999</v>
      </c>
      <c r="J79" s="52">
        <v>46224</v>
      </c>
      <c r="K79" s="53">
        <v>4.093</v>
      </c>
      <c r="L79" s="53">
        <v>3.0963069999999999</v>
      </c>
      <c r="M79" s="53">
        <v>11849.844714000001</v>
      </c>
      <c r="N79" s="54">
        <v>0.20454782083696813</v>
      </c>
      <c r="O79" s="53">
        <v>-10.995100000000001</v>
      </c>
      <c r="P79" s="30">
        <v>191.3</v>
      </c>
      <c r="Q79" s="30">
        <v>184.79</v>
      </c>
      <c r="R79" s="54">
        <v>3.52291790681315E-2</v>
      </c>
    </row>
    <row r="80" spans="1:18" x14ac:dyDescent="0.15">
      <c r="A80" s="31">
        <v>79</v>
      </c>
      <c r="B80" s="30">
        <v>110079</v>
      </c>
      <c r="C80" s="30" t="s">
        <v>1854</v>
      </c>
      <c r="D80" s="30">
        <v>123.04</v>
      </c>
      <c r="E80" s="30">
        <v>-0.26</v>
      </c>
      <c r="F80" s="30">
        <v>12.99</v>
      </c>
      <c r="G80" s="30">
        <v>104.7</v>
      </c>
      <c r="H80" s="30">
        <v>17.52</v>
      </c>
      <c r="I80" s="51">
        <v>140.56</v>
      </c>
      <c r="J80" s="52">
        <v>46475</v>
      </c>
      <c r="K80" s="53">
        <v>4.7809999999999997</v>
      </c>
      <c r="L80" s="53">
        <v>149.99047999999999</v>
      </c>
      <c r="M80" s="53">
        <v>7752.4355999999998</v>
      </c>
      <c r="N80" s="54">
        <v>4.2007627072361345E-3</v>
      </c>
      <c r="O80" s="53">
        <v>-1.9381999999999999</v>
      </c>
      <c r="P80" s="30">
        <v>123.87</v>
      </c>
      <c r="Q80" s="30">
        <v>122.88</v>
      </c>
      <c r="R80" s="54">
        <v>8.0566406250000746E-3</v>
      </c>
    </row>
    <row r="81" spans="1:18" x14ac:dyDescent="0.15">
      <c r="A81" s="31">
        <v>80</v>
      </c>
      <c r="B81" s="30">
        <v>123012</v>
      </c>
      <c r="C81" s="30" t="s">
        <v>1842</v>
      </c>
      <c r="D81" s="30">
        <v>197.79</v>
      </c>
      <c r="E81" s="30">
        <v>0.05</v>
      </c>
      <c r="F81" s="30">
        <v>5.27</v>
      </c>
      <c r="G81" s="30">
        <v>167.93</v>
      </c>
      <c r="H81" s="30">
        <v>17.78</v>
      </c>
      <c r="I81" s="51">
        <v>215.57</v>
      </c>
      <c r="J81" s="52">
        <v>45493</v>
      </c>
      <c r="K81" s="53">
        <v>2.09</v>
      </c>
      <c r="L81" s="53">
        <v>1.223781</v>
      </c>
      <c r="M81" s="53">
        <v>192577.68187230002</v>
      </c>
      <c r="N81" s="54">
        <v>7.9560575874566712</v>
      </c>
      <c r="O81" s="53">
        <v>-25.0413</v>
      </c>
      <c r="P81" s="30">
        <v>217.44</v>
      </c>
      <c r="Q81" s="30">
        <v>194</v>
      </c>
      <c r="R81" s="54">
        <v>0.12082474226804123</v>
      </c>
    </row>
    <row r="82" spans="1:18" x14ac:dyDescent="0.15">
      <c r="A82" s="31">
        <v>81</v>
      </c>
      <c r="B82" s="30">
        <v>113634</v>
      </c>
      <c r="C82" s="30" t="s">
        <v>252</v>
      </c>
      <c r="D82" s="30">
        <v>136.65</v>
      </c>
      <c r="E82" s="30">
        <v>0.55000000000000004</v>
      </c>
      <c r="F82" s="30">
        <v>139.37</v>
      </c>
      <c r="G82" s="30">
        <v>115.92</v>
      </c>
      <c r="H82" s="30">
        <v>17.88</v>
      </c>
      <c r="I82" s="51">
        <v>154.53</v>
      </c>
      <c r="J82" s="52">
        <v>46729</v>
      </c>
      <c r="K82" s="53">
        <v>5.4770000000000003</v>
      </c>
      <c r="L82" s="53">
        <v>7.51553</v>
      </c>
      <c r="M82" s="53">
        <v>3775.1983</v>
      </c>
      <c r="N82" s="54">
        <v>3.6759578251400533E-2</v>
      </c>
      <c r="O82" s="53">
        <v>-2.3673999999999999</v>
      </c>
      <c r="P82" s="30">
        <v>137.47</v>
      </c>
      <c r="Q82" s="30">
        <v>135.38</v>
      </c>
      <c r="R82" s="54">
        <v>1.5438026296351038E-2</v>
      </c>
    </row>
    <row r="83" spans="1:18" x14ac:dyDescent="0.15">
      <c r="A83" s="31">
        <v>82</v>
      </c>
      <c r="B83" s="30">
        <v>113044</v>
      </c>
      <c r="C83" s="30" t="s">
        <v>1856</v>
      </c>
      <c r="D83" s="30">
        <v>109.38</v>
      </c>
      <c r="E83" s="30">
        <v>-0.13</v>
      </c>
      <c r="F83" s="30">
        <v>7.18</v>
      </c>
      <c r="G83" s="30">
        <v>92.62</v>
      </c>
      <c r="H83" s="30">
        <v>18.100000000000001</v>
      </c>
      <c r="I83" s="51">
        <v>127.47999999999999</v>
      </c>
      <c r="J83" s="52">
        <v>46370</v>
      </c>
      <c r="K83" s="53">
        <v>4.4930000000000003</v>
      </c>
      <c r="L83" s="53">
        <v>319.98989999999998</v>
      </c>
      <c r="M83" s="53">
        <v>11964.575800000001</v>
      </c>
      <c r="N83" s="54">
        <v>3.418401857013129E-3</v>
      </c>
      <c r="O83" s="53">
        <v>0.92530000000000001</v>
      </c>
      <c r="P83" s="30">
        <v>109.62</v>
      </c>
      <c r="Q83" s="30">
        <v>108.99</v>
      </c>
      <c r="R83" s="54">
        <v>5.7803468208093376E-3</v>
      </c>
    </row>
    <row r="84" spans="1:18" x14ac:dyDescent="0.15">
      <c r="A84" s="31">
        <v>83</v>
      </c>
      <c r="B84" s="30">
        <v>110043</v>
      </c>
      <c r="C84" s="30" t="s">
        <v>1814</v>
      </c>
      <c r="D84" s="30">
        <v>118.51</v>
      </c>
      <c r="E84" s="30">
        <v>-0.1</v>
      </c>
      <c r="F84" s="30">
        <v>5.61</v>
      </c>
      <c r="G84" s="30">
        <v>100.18</v>
      </c>
      <c r="H84" s="30">
        <v>18.3</v>
      </c>
      <c r="I84" s="51">
        <v>136.81</v>
      </c>
      <c r="J84" s="52">
        <v>45321</v>
      </c>
      <c r="K84" s="53">
        <v>1.619</v>
      </c>
      <c r="L84" s="53">
        <v>29.2134</v>
      </c>
      <c r="M84" s="53">
        <v>2942.6995000000002</v>
      </c>
      <c r="N84" s="54">
        <v>8.4998020585909991E-3</v>
      </c>
      <c r="O84" s="53">
        <v>-5.9847999999999999</v>
      </c>
      <c r="P84" s="30">
        <v>118.97</v>
      </c>
      <c r="Q84" s="30">
        <v>118.15</v>
      </c>
      <c r="R84" s="54">
        <v>6.9403300888700222E-3</v>
      </c>
    </row>
    <row r="85" spans="1:18" x14ac:dyDescent="0.15">
      <c r="A85" s="31">
        <v>84</v>
      </c>
      <c r="B85" s="30">
        <v>123091</v>
      </c>
      <c r="C85" s="30" t="s">
        <v>244</v>
      </c>
      <c r="D85" s="30">
        <v>131.9</v>
      </c>
      <c r="E85" s="30">
        <v>0.17</v>
      </c>
      <c r="F85" s="30">
        <v>15.99</v>
      </c>
      <c r="G85" s="30">
        <v>111.44</v>
      </c>
      <c r="H85" s="30">
        <v>18.36</v>
      </c>
      <c r="I85" s="51">
        <v>150.26</v>
      </c>
      <c r="J85" s="52">
        <v>46379</v>
      </c>
      <c r="K85" s="53">
        <v>4.5179999999999998</v>
      </c>
      <c r="L85" s="53">
        <v>5.4975870000000002</v>
      </c>
      <c r="M85" s="53">
        <v>1519.4862135000001</v>
      </c>
      <c r="N85" s="54">
        <v>2.0954623284084851E-2</v>
      </c>
      <c r="O85" s="53">
        <v>-2.8733</v>
      </c>
      <c r="P85" s="30">
        <v>133.5</v>
      </c>
      <c r="Q85" s="30">
        <v>131</v>
      </c>
      <c r="R85" s="54">
        <v>1.9083969465648856E-2</v>
      </c>
    </row>
    <row r="86" spans="1:18" x14ac:dyDescent="0.15">
      <c r="A86" s="31">
        <v>85</v>
      </c>
      <c r="B86" s="30">
        <v>123023</v>
      </c>
      <c r="C86" s="30" t="s">
        <v>209</v>
      </c>
      <c r="D86" s="30">
        <v>120.298</v>
      </c>
      <c r="E86" s="30">
        <v>0.13</v>
      </c>
      <c r="F86" s="30">
        <v>4.58</v>
      </c>
      <c r="G86" s="30">
        <v>101.53</v>
      </c>
      <c r="H86" s="30">
        <v>18.489999999999998</v>
      </c>
      <c r="I86" s="51">
        <v>138.78800000000001</v>
      </c>
      <c r="J86" s="52">
        <v>45736</v>
      </c>
      <c r="K86" s="53">
        <v>2.7559999999999998</v>
      </c>
      <c r="L86" s="53">
        <v>5.2936360000000002</v>
      </c>
      <c r="M86" s="53">
        <v>1959.7960460000002</v>
      </c>
      <c r="N86" s="54">
        <v>3.0775023619031568E-2</v>
      </c>
      <c r="O86" s="53">
        <v>-2.1815000000000002</v>
      </c>
      <c r="P86" s="30">
        <v>120.7</v>
      </c>
      <c r="Q86" s="30">
        <v>119.45</v>
      </c>
      <c r="R86" s="54">
        <v>1.0464629552113854E-2</v>
      </c>
    </row>
    <row r="87" spans="1:18" x14ac:dyDescent="0.15">
      <c r="A87" s="31">
        <v>86</v>
      </c>
      <c r="B87" s="30">
        <v>128140</v>
      </c>
      <c r="C87" s="30" t="s">
        <v>1877</v>
      </c>
      <c r="D87" s="30">
        <v>149.42400000000001</v>
      </c>
      <c r="E87" s="30">
        <v>1.79</v>
      </c>
      <c r="F87" s="30">
        <v>26.4</v>
      </c>
      <c r="G87" s="30">
        <v>126.1</v>
      </c>
      <c r="H87" s="30">
        <v>18.5</v>
      </c>
      <c r="I87" s="51">
        <v>167.92400000000001</v>
      </c>
      <c r="J87" s="52">
        <v>46363</v>
      </c>
      <c r="K87" s="53">
        <v>4.4740000000000002</v>
      </c>
      <c r="L87" s="53">
        <v>10.896400999999999</v>
      </c>
      <c r="M87" s="53">
        <v>11692.6724576</v>
      </c>
      <c r="N87" s="54">
        <v>7.1814203606834673E-2</v>
      </c>
      <c r="O87" s="53">
        <v>-5.8037000000000001</v>
      </c>
      <c r="P87" s="30">
        <v>150.691</v>
      </c>
      <c r="Q87" s="30">
        <v>145.00200000000001</v>
      </c>
      <c r="R87" s="54">
        <v>3.9233941600805455E-2</v>
      </c>
    </row>
    <row r="88" spans="1:18" x14ac:dyDescent="0.15">
      <c r="A88" s="31">
        <v>87</v>
      </c>
      <c r="B88" s="30">
        <v>111004</v>
      </c>
      <c r="C88" s="30" t="s">
        <v>816</v>
      </c>
      <c r="D88" s="30">
        <v>143.22999999999999</v>
      </c>
      <c r="E88" s="30">
        <v>2.33</v>
      </c>
      <c r="F88" s="30">
        <v>24.51</v>
      </c>
      <c r="G88" s="30">
        <v>120.48</v>
      </c>
      <c r="H88" s="30">
        <v>18.88</v>
      </c>
      <c r="I88" s="51">
        <v>162.10999999999999</v>
      </c>
      <c r="J88" s="52">
        <v>46842</v>
      </c>
      <c r="K88" s="53">
        <v>5.7859999999999996</v>
      </c>
      <c r="L88" s="53">
        <v>6.73</v>
      </c>
      <c r="M88" s="53">
        <v>91687.096600000004</v>
      </c>
      <c r="N88" s="54">
        <v>0.95117223422795205</v>
      </c>
      <c r="O88" s="53">
        <v>-2.9224000000000001</v>
      </c>
      <c r="P88" s="30">
        <v>146.36000000000001</v>
      </c>
      <c r="Q88" s="30">
        <v>139.03</v>
      </c>
      <c r="R88" s="54">
        <v>5.2722434007048929E-2</v>
      </c>
    </row>
    <row r="89" spans="1:18" x14ac:dyDescent="0.15">
      <c r="A89" s="31">
        <v>88</v>
      </c>
      <c r="B89" s="30">
        <v>113027</v>
      </c>
      <c r="C89" s="30" t="s">
        <v>1879</v>
      </c>
      <c r="D89" s="30">
        <v>177.07</v>
      </c>
      <c r="E89" s="30">
        <v>4.6900000000000004</v>
      </c>
      <c r="F89" s="30">
        <v>10.17</v>
      </c>
      <c r="G89" s="30">
        <v>148.47999999999999</v>
      </c>
      <c r="H89" s="30">
        <v>19.260000000000002</v>
      </c>
      <c r="I89" s="51">
        <v>196.32999999999998</v>
      </c>
      <c r="J89" s="52">
        <v>45822</v>
      </c>
      <c r="K89" s="53">
        <v>2.992</v>
      </c>
      <c r="L89" s="53">
        <v>2.3872300000000002</v>
      </c>
      <c r="M89" s="53">
        <v>629465.07109999994</v>
      </c>
      <c r="N89" s="54">
        <v>14.8912921941407</v>
      </c>
      <c r="O89" s="53">
        <v>-14.0161</v>
      </c>
      <c r="P89" s="30">
        <v>189.8</v>
      </c>
      <c r="Q89" s="30">
        <v>171.8</v>
      </c>
      <c r="R89" s="54">
        <v>0.10477299185098951</v>
      </c>
    </row>
    <row r="90" spans="1:18" x14ac:dyDescent="0.15">
      <c r="A90" s="31">
        <v>89</v>
      </c>
      <c r="B90" s="30">
        <v>110048</v>
      </c>
      <c r="C90" s="30" t="s">
        <v>1858</v>
      </c>
      <c r="D90" s="30">
        <v>193.97</v>
      </c>
      <c r="E90" s="30">
        <v>2.37</v>
      </c>
      <c r="F90" s="30">
        <v>7.85</v>
      </c>
      <c r="G90" s="30">
        <v>162.41999999999999</v>
      </c>
      <c r="H90" s="30">
        <v>19.420000000000002</v>
      </c>
      <c r="I90" s="51">
        <v>213.39</v>
      </c>
      <c r="J90" s="52">
        <v>45633</v>
      </c>
      <c r="K90" s="53">
        <v>2.4740000000000002</v>
      </c>
      <c r="L90" s="53">
        <v>12.761939999999999</v>
      </c>
      <c r="M90" s="53">
        <v>14251.9887</v>
      </c>
      <c r="N90" s="54">
        <v>5.7573708563113224E-2</v>
      </c>
      <c r="O90" s="53">
        <v>-20.062999999999999</v>
      </c>
      <c r="P90" s="30">
        <v>194.53</v>
      </c>
      <c r="Q90" s="30">
        <v>188.15</v>
      </c>
      <c r="R90" s="54">
        <v>3.3909115067765054E-2</v>
      </c>
    </row>
    <row r="91" spans="1:18" x14ac:dyDescent="0.15">
      <c r="A91" s="31">
        <v>90</v>
      </c>
      <c r="B91" s="30">
        <v>113011</v>
      </c>
      <c r="C91" s="30" t="s">
        <v>1868</v>
      </c>
      <c r="D91" s="30">
        <v>107</v>
      </c>
      <c r="E91" s="30">
        <v>0.12</v>
      </c>
      <c r="F91" s="30">
        <v>3.55</v>
      </c>
      <c r="G91" s="30">
        <v>89.58</v>
      </c>
      <c r="H91" s="30">
        <v>19.45</v>
      </c>
      <c r="I91" s="51">
        <v>126.45</v>
      </c>
      <c r="J91" s="52">
        <v>45002</v>
      </c>
      <c r="K91" s="53">
        <v>0.745</v>
      </c>
      <c r="L91" s="53">
        <v>241.98864</v>
      </c>
      <c r="M91" s="53">
        <v>22016.6626</v>
      </c>
      <c r="N91" s="54">
        <v>8.5030107970836509E-3</v>
      </c>
      <c r="O91" s="53">
        <v>-2.4912000000000001</v>
      </c>
      <c r="P91" s="30">
        <v>107.35</v>
      </c>
      <c r="Q91" s="30">
        <v>106.5</v>
      </c>
      <c r="R91" s="54">
        <v>7.9812206572769419E-3</v>
      </c>
    </row>
    <row r="92" spans="1:18" x14ac:dyDescent="0.15">
      <c r="A92" s="31">
        <v>91</v>
      </c>
      <c r="B92" s="30">
        <v>127020</v>
      </c>
      <c r="C92" s="30" t="s">
        <v>1887</v>
      </c>
      <c r="D92" s="30">
        <v>119.61</v>
      </c>
      <c r="E92" s="30">
        <v>0.01</v>
      </c>
      <c r="F92" s="30">
        <v>4.54</v>
      </c>
      <c r="G92" s="30">
        <v>100</v>
      </c>
      <c r="H92" s="30">
        <v>19.61</v>
      </c>
      <c r="I92" s="51">
        <v>139.22</v>
      </c>
      <c r="J92" s="52">
        <v>46223</v>
      </c>
      <c r="K92" s="53">
        <v>4.09</v>
      </c>
      <c r="L92" s="53">
        <v>30.227986000000001</v>
      </c>
      <c r="M92" s="53">
        <v>5678.6766424000007</v>
      </c>
      <c r="N92" s="54">
        <v>1.5706175170705969E-2</v>
      </c>
      <c r="O92" s="53">
        <v>-1.2916000000000001</v>
      </c>
      <c r="P92" s="30">
        <v>120.488</v>
      </c>
      <c r="Q92" s="30">
        <v>118.83199999999999</v>
      </c>
      <c r="R92" s="54">
        <v>1.3935640231587502E-2</v>
      </c>
    </row>
    <row r="93" spans="1:18" x14ac:dyDescent="0.15">
      <c r="A93" s="31">
        <v>92</v>
      </c>
      <c r="B93" s="30">
        <v>110083</v>
      </c>
      <c r="C93" s="30" t="s">
        <v>1871</v>
      </c>
      <c r="D93" s="30">
        <v>119.9</v>
      </c>
      <c r="E93" s="30">
        <v>0.83</v>
      </c>
      <c r="F93" s="30">
        <v>5.07</v>
      </c>
      <c r="G93" s="30">
        <v>100.2</v>
      </c>
      <c r="H93" s="30">
        <v>19.66</v>
      </c>
      <c r="I93" s="51">
        <v>139.56</v>
      </c>
      <c r="J93" s="52">
        <v>46702</v>
      </c>
      <c r="K93" s="53">
        <v>5.4029999999999996</v>
      </c>
      <c r="L93" s="53">
        <v>49.982379999999999</v>
      </c>
      <c r="M93" s="53">
        <v>4138.7287999999999</v>
      </c>
      <c r="N93" s="54">
        <v>6.9060680603527753E-3</v>
      </c>
      <c r="O93" s="53">
        <v>-1.5175000000000001</v>
      </c>
      <c r="P93" s="30">
        <v>120.6</v>
      </c>
      <c r="Q93" s="30">
        <v>118.33</v>
      </c>
      <c r="R93" s="54">
        <v>1.9183638975745761E-2</v>
      </c>
    </row>
    <row r="94" spans="1:18" x14ac:dyDescent="0.15">
      <c r="A94" s="31">
        <v>93</v>
      </c>
      <c r="B94" s="30">
        <v>123144</v>
      </c>
      <c r="C94" s="30" t="s">
        <v>1926</v>
      </c>
      <c r="D94" s="30">
        <v>128.779</v>
      </c>
      <c r="E94" s="30">
        <v>7.0000000000000007E-2</v>
      </c>
      <c r="F94" s="30">
        <v>13.97</v>
      </c>
      <c r="G94" s="30">
        <v>107.59</v>
      </c>
      <c r="H94" s="30">
        <v>19.690000000000001</v>
      </c>
      <c r="I94" s="51">
        <v>148.46899999999999</v>
      </c>
      <c r="J94" s="52">
        <v>46854</v>
      </c>
      <c r="K94" s="53">
        <v>5.819</v>
      </c>
      <c r="L94" s="53">
        <v>6</v>
      </c>
      <c r="M94" s="53">
        <v>3048.4496697999998</v>
      </c>
      <c r="N94" s="54">
        <v>3.9453245091720435E-2</v>
      </c>
      <c r="O94" s="53">
        <v>-1.1820999999999999</v>
      </c>
      <c r="P94" s="30">
        <v>129.6</v>
      </c>
      <c r="Q94" s="30">
        <v>127.949</v>
      </c>
      <c r="R94" s="54">
        <v>1.290357876966601E-2</v>
      </c>
    </row>
    <row r="95" spans="1:18" x14ac:dyDescent="0.15">
      <c r="A95" s="31">
        <v>94</v>
      </c>
      <c r="B95" s="30">
        <v>113051</v>
      </c>
      <c r="C95" s="30" t="s">
        <v>1869</v>
      </c>
      <c r="D95" s="30">
        <v>139.04</v>
      </c>
      <c r="E95" s="30">
        <v>1.53</v>
      </c>
      <c r="F95" s="30">
        <v>4</v>
      </c>
      <c r="G95" s="30">
        <v>116</v>
      </c>
      <c r="H95" s="30">
        <v>19.86</v>
      </c>
      <c r="I95" s="51">
        <v>158.89999999999998</v>
      </c>
      <c r="J95" s="52">
        <v>46559</v>
      </c>
      <c r="K95" s="53">
        <v>5.0110000000000001</v>
      </c>
      <c r="L95" s="53">
        <v>29.990659999999998</v>
      </c>
      <c r="M95" s="53">
        <v>10237.9494</v>
      </c>
      <c r="N95" s="54">
        <v>2.4552018142430854E-2</v>
      </c>
      <c r="O95" s="53">
        <v>-3.8567</v>
      </c>
      <c r="P95" s="30">
        <v>139.97</v>
      </c>
      <c r="Q95" s="30">
        <v>136.57</v>
      </c>
      <c r="R95" s="54">
        <v>2.4895657904371427E-2</v>
      </c>
    </row>
    <row r="96" spans="1:18" x14ac:dyDescent="0.15">
      <c r="A96" s="31">
        <v>95</v>
      </c>
      <c r="B96" s="30">
        <v>113582</v>
      </c>
      <c r="C96" s="30" t="s">
        <v>1862</v>
      </c>
      <c r="D96" s="30">
        <v>191.72</v>
      </c>
      <c r="E96" s="30">
        <v>1.59</v>
      </c>
      <c r="F96" s="30">
        <v>24.51</v>
      </c>
      <c r="G96" s="30">
        <v>159.93</v>
      </c>
      <c r="H96" s="30">
        <v>19.88</v>
      </c>
      <c r="I96" s="51">
        <v>211.6</v>
      </c>
      <c r="J96" s="52">
        <v>46169</v>
      </c>
      <c r="K96" s="53">
        <v>3.9420000000000002</v>
      </c>
      <c r="L96" s="53">
        <v>4.1769400000000001</v>
      </c>
      <c r="M96" s="53">
        <v>16949.050999999999</v>
      </c>
      <c r="N96" s="54">
        <v>0.21165070982042383</v>
      </c>
      <c r="O96" s="53">
        <v>-12.4633</v>
      </c>
      <c r="P96" s="30">
        <v>192.71</v>
      </c>
      <c r="Q96" s="30">
        <v>186.41</v>
      </c>
      <c r="R96" s="54">
        <v>3.3796470146451429E-2</v>
      </c>
    </row>
    <row r="97" spans="1:18" x14ac:dyDescent="0.15">
      <c r="A97" s="31">
        <v>96</v>
      </c>
      <c r="B97" s="30">
        <v>123071</v>
      </c>
      <c r="C97" s="30" t="s">
        <v>1885</v>
      </c>
      <c r="D97" s="30">
        <v>157.18</v>
      </c>
      <c r="E97" s="30">
        <v>7.72</v>
      </c>
      <c r="F97" s="30">
        <v>7.76</v>
      </c>
      <c r="G97" s="30">
        <v>131.06</v>
      </c>
      <c r="H97" s="30">
        <v>19.93</v>
      </c>
      <c r="I97" s="51">
        <v>177.11</v>
      </c>
      <c r="J97" s="52">
        <v>46316</v>
      </c>
      <c r="K97" s="53">
        <v>4.3449999999999998</v>
      </c>
      <c r="L97" s="53">
        <v>6.9424029999999997</v>
      </c>
      <c r="M97" s="53">
        <v>585338.71380129992</v>
      </c>
      <c r="N97" s="54">
        <v>5.3641404934517389</v>
      </c>
      <c r="O97" s="53">
        <v>-6.0076999999999998</v>
      </c>
      <c r="P97" s="30">
        <v>169.94900000000001</v>
      </c>
      <c r="Q97" s="30">
        <v>145.4</v>
      </c>
      <c r="R97" s="54">
        <v>0.16883768913342506</v>
      </c>
    </row>
    <row r="98" spans="1:18" x14ac:dyDescent="0.15">
      <c r="A98" s="31">
        <v>97</v>
      </c>
      <c r="B98" s="30">
        <v>123080</v>
      </c>
      <c r="C98" s="30" t="s">
        <v>54</v>
      </c>
      <c r="D98" s="30">
        <v>127.99</v>
      </c>
      <c r="E98" s="30">
        <v>-0.01</v>
      </c>
      <c r="F98" s="30">
        <v>11.53</v>
      </c>
      <c r="G98" s="30">
        <v>106.68</v>
      </c>
      <c r="H98" s="30">
        <v>19.98</v>
      </c>
      <c r="I98" s="51">
        <v>147.97</v>
      </c>
      <c r="J98" s="52">
        <v>46358</v>
      </c>
      <c r="K98" s="53">
        <v>4.46</v>
      </c>
      <c r="L98" s="53">
        <v>2.4344640000000002</v>
      </c>
      <c r="M98" s="53">
        <v>1176.1835980000001</v>
      </c>
      <c r="N98" s="54">
        <v>3.7748154423154393E-2</v>
      </c>
      <c r="O98" s="53">
        <v>-0.35849999999999999</v>
      </c>
      <c r="P98" s="30">
        <v>128.63999999999999</v>
      </c>
      <c r="Q98" s="30">
        <v>127.26</v>
      </c>
      <c r="R98" s="54">
        <v>1.0843941537010696E-2</v>
      </c>
    </row>
    <row r="99" spans="1:18" x14ac:dyDescent="0.15">
      <c r="A99" s="31">
        <v>98</v>
      </c>
      <c r="B99" s="30">
        <v>113618</v>
      </c>
      <c r="C99" s="30" t="s">
        <v>1875</v>
      </c>
      <c r="D99" s="30">
        <v>141.72</v>
      </c>
      <c r="E99" s="30">
        <v>-7.0000000000000007E-2</v>
      </c>
      <c r="F99" s="30">
        <v>26.51</v>
      </c>
      <c r="G99" s="30">
        <v>117.84</v>
      </c>
      <c r="H99" s="30">
        <v>20.260000000000002</v>
      </c>
      <c r="I99" s="51">
        <v>161.97999999999999</v>
      </c>
      <c r="J99" s="52">
        <v>46401</v>
      </c>
      <c r="K99" s="53">
        <v>4.5780000000000003</v>
      </c>
      <c r="L99" s="53">
        <v>4.7702799999999996</v>
      </c>
      <c r="M99" s="53">
        <v>45542.6878</v>
      </c>
      <c r="N99" s="54">
        <v>0.67366447010694464</v>
      </c>
      <c r="O99" s="53">
        <v>-4.5579999999999998</v>
      </c>
      <c r="P99" s="30">
        <v>142.41999999999999</v>
      </c>
      <c r="Q99" s="30">
        <v>139.65</v>
      </c>
      <c r="R99" s="54">
        <v>1.9835302542069329E-2</v>
      </c>
    </row>
    <row r="100" spans="1:18" x14ac:dyDescent="0.15">
      <c r="A100" s="31">
        <v>99</v>
      </c>
      <c r="B100" s="30">
        <v>123114</v>
      </c>
      <c r="C100" s="30" t="s">
        <v>1861</v>
      </c>
      <c r="D100" s="30">
        <v>151.41</v>
      </c>
      <c r="E100" s="30">
        <v>1.07</v>
      </c>
      <c r="F100" s="30">
        <v>31.82</v>
      </c>
      <c r="G100" s="30">
        <v>125.9</v>
      </c>
      <c r="H100" s="30">
        <v>20.260000000000002</v>
      </c>
      <c r="I100" s="51">
        <v>171.67</v>
      </c>
      <c r="J100" s="52">
        <v>46532</v>
      </c>
      <c r="K100" s="53">
        <v>4.9370000000000003</v>
      </c>
      <c r="L100" s="53">
        <v>9.0089469999999992</v>
      </c>
      <c r="M100" s="53">
        <v>7423.6118379999998</v>
      </c>
      <c r="N100" s="54">
        <v>5.4423524588401696E-2</v>
      </c>
      <c r="O100" s="53">
        <v>-4.5788000000000002</v>
      </c>
      <c r="P100" s="30">
        <v>152.96</v>
      </c>
      <c r="Q100" s="30">
        <v>148.80000000000001</v>
      </c>
      <c r="R100" s="54">
        <v>2.7956989247311805E-2</v>
      </c>
    </row>
    <row r="101" spans="1:18" x14ac:dyDescent="0.15">
      <c r="A101" s="31">
        <v>100</v>
      </c>
      <c r="B101" s="30">
        <v>110080</v>
      </c>
      <c r="C101" s="30" t="s">
        <v>232</v>
      </c>
      <c r="D101" s="30">
        <v>116.5</v>
      </c>
      <c r="E101" s="30">
        <v>-0.17</v>
      </c>
      <c r="F101" s="30">
        <v>6.05</v>
      </c>
      <c r="G101" s="30">
        <v>96.69</v>
      </c>
      <c r="H101" s="30">
        <v>20.49</v>
      </c>
      <c r="I101" s="51">
        <v>136.99</v>
      </c>
      <c r="J101" s="52">
        <v>46489</v>
      </c>
      <c r="K101" s="53">
        <v>4.819</v>
      </c>
      <c r="L101" s="53">
        <v>15.49118</v>
      </c>
      <c r="M101" s="53">
        <v>1494.8205</v>
      </c>
      <c r="N101" s="54">
        <v>8.2828275529810407E-3</v>
      </c>
      <c r="O101" s="53">
        <v>-0.30980000000000002</v>
      </c>
      <c r="P101" s="30">
        <v>116.85</v>
      </c>
      <c r="Q101" s="30">
        <v>116</v>
      </c>
      <c r="R101" s="54">
        <v>7.3275862068965031E-3</v>
      </c>
    </row>
    <row r="102" spans="1:18" x14ac:dyDescent="0.15">
      <c r="A102" s="31">
        <v>101</v>
      </c>
      <c r="B102" s="30">
        <v>128025</v>
      </c>
      <c r="C102" s="30" t="s">
        <v>50</v>
      </c>
      <c r="D102" s="30">
        <v>132.04599999999999</v>
      </c>
      <c r="E102" s="30">
        <v>0.04</v>
      </c>
      <c r="F102" s="30">
        <v>13.15</v>
      </c>
      <c r="G102" s="30">
        <v>109.58</v>
      </c>
      <c r="H102" s="30">
        <v>20.5</v>
      </c>
      <c r="I102" s="51">
        <v>152.54599999999999</v>
      </c>
      <c r="J102" s="52">
        <v>45266</v>
      </c>
      <c r="K102" s="53">
        <v>1.468</v>
      </c>
      <c r="L102" s="53">
        <v>2.9767039999999998</v>
      </c>
      <c r="M102" s="53">
        <v>17061.312675999998</v>
      </c>
      <c r="N102" s="54">
        <v>0.43406177421937447</v>
      </c>
      <c r="O102" s="53">
        <v>-13.154199999999999</v>
      </c>
      <c r="P102" s="30">
        <v>132.53</v>
      </c>
      <c r="Q102" s="30">
        <v>129.80000000000001</v>
      </c>
      <c r="R102" s="54">
        <v>2.1032357473035359E-2</v>
      </c>
    </row>
    <row r="103" spans="1:18" x14ac:dyDescent="0.15">
      <c r="A103" s="31">
        <v>102</v>
      </c>
      <c r="B103" s="30">
        <v>113641</v>
      </c>
      <c r="C103" s="30" t="s">
        <v>1922</v>
      </c>
      <c r="D103" s="30">
        <v>130.4</v>
      </c>
      <c r="E103" s="30">
        <v>3.16</v>
      </c>
      <c r="F103" s="30">
        <v>84.58</v>
      </c>
      <c r="G103" s="30">
        <v>108.17</v>
      </c>
      <c r="H103" s="30">
        <v>20.55</v>
      </c>
      <c r="I103" s="51">
        <v>150.95000000000002</v>
      </c>
      <c r="J103" s="52">
        <v>46807</v>
      </c>
      <c r="K103" s="53">
        <v>5.69</v>
      </c>
      <c r="L103" s="53">
        <v>76</v>
      </c>
      <c r="M103" s="53">
        <v>102764.1145</v>
      </c>
      <c r="N103" s="54">
        <v>0.10369320562237648</v>
      </c>
      <c r="O103" s="53">
        <v>-2.5958000000000001</v>
      </c>
      <c r="P103" s="30">
        <v>130.47999999999999</v>
      </c>
      <c r="Q103" s="30">
        <v>125.75</v>
      </c>
      <c r="R103" s="54">
        <v>3.7614314115308072E-2</v>
      </c>
    </row>
    <row r="104" spans="1:18" x14ac:dyDescent="0.15">
      <c r="A104" s="31">
        <v>103</v>
      </c>
      <c r="B104" s="30">
        <v>128040</v>
      </c>
      <c r="C104" s="30" t="s">
        <v>1850</v>
      </c>
      <c r="D104" s="30">
        <v>167.89</v>
      </c>
      <c r="E104" s="30">
        <v>-0.3</v>
      </c>
      <c r="F104" s="30">
        <v>9.73</v>
      </c>
      <c r="G104" s="30">
        <v>138.94999999999999</v>
      </c>
      <c r="H104" s="30">
        <v>20.83</v>
      </c>
      <c r="I104" s="51">
        <v>188.71999999999997</v>
      </c>
      <c r="J104" s="52">
        <v>45457</v>
      </c>
      <c r="K104" s="53">
        <v>1.992</v>
      </c>
      <c r="L104" s="53">
        <v>2.005312</v>
      </c>
      <c r="M104" s="53">
        <v>18345.886578999998</v>
      </c>
      <c r="N104" s="54">
        <v>0.54491896418698327</v>
      </c>
      <c r="O104" s="53">
        <v>-19.305599999999998</v>
      </c>
      <c r="P104" s="30">
        <v>168.7</v>
      </c>
      <c r="Q104" s="30">
        <v>165.36</v>
      </c>
      <c r="R104" s="54">
        <v>2.0198355104015329E-2</v>
      </c>
    </row>
    <row r="105" spans="1:18" x14ac:dyDescent="0.15">
      <c r="A105" s="31">
        <v>104</v>
      </c>
      <c r="B105" s="30">
        <v>127036</v>
      </c>
      <c r="C105" s="30" t="s">
        <v>1939</v>
      </c>
      <c r="D105" s="30">
        <v>129.80000000000001</v>
      </c>
      <c r="E105" s="30">
        <v>2.46</v>
      </c>
      <c r="F105" s="30">
        <v>21.4</v>
      </c>
      <c r="G105" s="30">
        <v>107.29</v>
      </c>
      <c r="H105" s="30">
        <v>20.98</v>
      </c>
      <c r="I105" s="51">
        <v>150.78</v>
      </c>
      <c r="J105" s="52">
        <v>46539</v>
      </c>
      <c r="K105" s="53">
        <v>4.9560000000000004</v>
      </c>
      <c r="L105" s="53">
        <v>29.992529999999999</v>
      </c>
      <c r="M105" s="53">
        <v>26141.986899700001</v>
      </c>
      <c r="N105" s="54">
        <v>6.7150739280100263E-2</v>
      </c>
      <c r="O105" s="53">
        <v>-2.5674000000000001</v>
      </c>
      <c r="P105" s="30">
        <v>132.43199999999999</v>
      </c>
      <c r="Q105" s="30">
        <v>125.932</v>
      </c>
      <c r="R105" s="54">
        <v>5.1615157386525945E-2</v>
      </c>
    </row>
    <row r="106" spans="1:18" x14ac:dyDescent="0.15">
      <c r="A106" s="31">
        <v>105</v>
      </c>
      <c r="B106" s="30">
        <v>123027</v>
      </c>
      <c r="C106" s="30" t="s">
        <v>1924</v>
      </c>
      <c r="D106" s="30">
        <v>382.2</v>
      </c>
      <c r="E106" s="30">
        <v>0.05</v>
      </c>
      <c r="F106" s="30">
        <v>19.07</v>
      </c>
      <c r="G106" s="30">
        <v>315.42</v>
      </c>
      <c r="H106" s="30">
        <v>21.17</v>
      </c>
      <c r="I106" s="51">
        <v>403.37</v>
      </c>
      <c r="J106" s="52">
        <v>45819</v>
      </c>
      <c r="K106" s="53">
        <v>2.984</v>
      </c>
      <c r="L106" s="53">
        <v>1.0667800000000001</v>
      </c>
      <c r="M106" s="53">
        <v>198366.77140940001</v>
      </c>
      <c r="N106" s="54">
        <v>4.8652300132229875</v>
      </c>
      <c r="O106" s="53">
        <v>-33.002400000000002</v>
      </c>
      <c r="P106" s="30">
        <v>397.5</v>
      </c>
      <c r="Q106" s="30">
        <v>378.18</v>
      </c>
      <c r="R106" s="54">
        <v>5.1086784071077244E-2</v>
      </c>
    </row>
    <row r="107" spans="1:18" x14ac:dyDescent="0.15">
      <c r="A107" s="31">
        <v>106</v>
      </c>
      <c r="B107" s="30">
        <v>123146</v>
      </c>
      <c r="C107" s="30" t="s">
        <v>1874</v>
      </c>
      <c r="D107" s="30">
        <v>116.724</v>
      </c>
      <c r="E107" s="30">
        <v>0.16</v>
      </c>
      <c r="F107" s="30">
        <v>7.47</v>
      </c>
      <c r="G107" s="30">
        <v>96.12</v>
      </c>
      <c r="H107" s="30">
        <v>21.44</v>
      </c>
      <c r="I107" s="51">
        <v>138.16400000000002</v>
      </c>
      <c r="J107" s="52">
        <v>46879</v>
      </c>
      <c r="K107" s="53">
        <v>5.8879999999999999</v>
      </c>
      <c r="L107" s="53">
        <v>8.64</v>
      </c>
      <c r="M107" s="53">
        <v>2404.5845491</v>
      </c>
      <c r="N107" s="54">
        <v>2.3843288174374942E-2</v>
      </c>
      <c r="O107" s="53">
        <v>0.62380000000000002</v>
      </c>
      <c r="P107" s="30">
        <v>116.88</v>
      </c>
      <c r="Q107" s="30">
        <v>116.298</v>
      </c>
      <c r="R107" s="54">
        <v>5.0043852860753718E-3</v>
      </c>
    </row>
    <row r="108" spans="1:18" x14ac:dyDescent="0.15">
      <c r="A108" s="31">
        <v>107</v>
      </c>
      <c r="B108" s="30">
        <v>123098</v>
      </c>
      <c r="C108" s="30" t="s">
        <v>1857</v>
      </c>
      <c r="D108" s="30">
        <v>130.751</v>
      </c>
      <c r="E108" s="30">
        <v>0.97</v>
      </c>
      <c r="F108" s="30">
        <v>25.28</v>
      </c>
      <c r="G108" s="30">
        <v>107.52</v>
      </c>
      <c r="H108" s="30">
        <v>21.61</v>
      </c>
      <c r="I108" s="51">
        <v>152.36099999999999</v>
      </c>
      <c r="J108" s="52">
        <v>46415</v>
      </c>
      <c r="K108" s="53">
        <v>4.6159999999999997</v>
      </c>
      <c r="L108" s="53">
        <v>4.2361170000000001</v>
      </c>
      <c r="M108" s="53">
        <v>4728.6731490000002</v>
      </c>
      <c r="N108" s="54">
        <v>8.5374137734014852E-2</v>
      </c>
      <c r="O108" s="53">
        <v>-1.2333000000000001</v>
      </c>
      <c r="P108" s="30">
        <v>131.77199999999999</v>
      </c>
      <c r="Q108" s="30">
        <v>129.30000000000001</v>
      </c>
      <c r="R108" s="54">
        <v>1.9118329466357151E-2</v>
      </c>
    </row>
    <row r="109" spans="1:18" x14ac:dyDescent="0.15">
      <c r="A109" s="31">
        <v>108</v>
      </c>
      <c r="B109" s="30">
        <v>127022</v>
      </c>
      <c r="C109" s="30" t="s">
        <v>1909</v>
      </c>
      <c r="D109" s="30">
        <v>127.20099999999999</v>
      </c>
      <c r="E109" s="30">
        <v>1.75</v>
      </c>
      <c r="F109" s="30">
        <v>11.2</v>
      </c>
      <c r="G109" s="30">
        <v>104.55</v>
      </c>
      <c r="H109" s="30">
        <v>21.67</v>
      </c>
      <c r="I109" s="51">
        <v>148.87099999999998</v>
      </c>
      <c r="J109" s="52">
        <v>46311</v>
      </c>
      <c r="K109" s="53">
        <v>4.3319999999999999</v>
      </c>
      <c r="L109" s="53">
        <v>19.9983</v>
      </c>
      <c r="M109" s="53">
        <v>14875.028525400001</v>
      </c>
      <c r="N109" s="54">
        <v>5.8475534824041782E-2</v>
      </c>
      <c r="O109" s="53">
        <v>-3.6141000000000001</v>
      </c>
      <c r="P109" s="30">
        <v>128.84299999999999</v>
      </c>
      <c r="Q109" s="30">
        <v>124.5</v>
      </c>
      <c r="R109" s="54">
        <v>3.4883534136546102E-2</v>
      </c>
    </row>
    <row r="110" spans="1:18" x14ac:dyDescent="0.15">
      <c r="A110" s="31">
        <v>109</v>
      </c>
      <c r="B110" s="30">
        <v>113033</v>
      </c>
      <c r="C110" s="30" t="s">
        <v>90</v>
      </c>
      <c r="D110" s="30">
        <v>108.9</v>
      </c>
      <c r="E110" s="30">
        <v>-0.06</v>
      </c>
      <c r="F110" s="30">
        <v>7.01</v>
      </c>
      <c r="G110" s="30">
        <v>89.44</v>
      </c>
      <c r="H110" s="30">
        <v>21.76</v>
      </c>
      <c r="I110" s="51">
        <v>130.66</v>
      </c>
      <c r="J110" s="52">
        <v>46113</v>
      </c>
      <c r="K110" s="53">
        <v>3.7890000000000001</v>
      </c>
      <c r="L110" s="53">
        <v>17.99794</v>
      </c>
      <c r="M110" s="53">
        <v>1637.7824000000001</v>
      </c>
      <c r="N110" s="54">
        <v>8.356136397052594E-3</v>
      </c>
      <c r="O110" s="53">
        <v>1.3086</v>
      </c>
      <c r="P110" s="30">
        <v>109.08</v>
      </c>
      <c r="Q110" s="30">
        <v>108.7</v>
      </c>
      <c r="R110" s="54">
        <v>3.4958601655933341E-3</v>
      </c>
    </row>
    <row r="111" spans="1:18" x14ac:dyDescent="0.15">
      <c r="A111" s="31">
        <v>110</v>
      </c>
      <c r="B111" s="30">
        <v>128109</v>
      </c>
      <c r="C111" s="30" t="s">
        <v>1899</v>
      </c>
      <c r="D111" s="30">
        <v>129.19999999999999</v>
      </c>
      <c r="E111" s="30">
        <v>1.84</v>
      </c>
      <c r="F111" s="30">
        <v>8.3800000000000008</v>
      </c>
      <c r="G111" s="30">
        <v>106.09</v>
      </c>
      <c r="H111" s="30">
        <v>21.78</v>
      </c>
      <c r="I111" s="51">
        <v>150.97999999999999</v>
      </c>
      <c r="J111" s="52">
        <v>46177</v>
      </c>
      <c r="K111" s="53">
        <v>3.964</v>
      </c>
      <c r="L111" s="53">
        <v>18.225552</v>
      </c>
      <c r="M111" s="53">
        <v>15881.866332600001</v>
      </c>
      <c r="N111" s="54">
        <v>6.7446331401665019E-2</v>
      </c>
      <c r="O111" s="53">
        <v>-3.0922999999999998</v>
      </c>
      <c r="P111" s="30">
        <v>130</v>
      </c>
      <c r="Q111" s="30">
        <v>126.23</v>
      </c>
      <c r="R111" s="54">
        <v>2.9866117404737352E-2</v>
      </c>
    </row>
    <row r="112" spans="1:18" x14ac:dyDescent="0.15">
      <c r="A112" s="31">
        <v>111</v>
      </c>
      <c r="B112" s="30">
        <v>127018</v>
      </c>
      <c r="C112" s="30" t="s">
        <v>1884</v>
      </c>
      <c r="D112" s="30">
        <v>117.82299999999999</v>
      </c>
      <c r="E112" s="30">
        <v>0.15</v>
      </c>
      <c r="F112" s="30">
        <v>3.95</v>
      </c>
      <c r="G112" s="30">
        <v>96.71</v>
      </c>
      <c r="H112" s="30">
        <v>21.83</v>
      </c>
      <c r="I112" s="51">
        <v>139.65299999999999</v>
      </c>
      <c r="J112" s="52">
        <v>46202</v>
      </c>
      <c r="K112" s="53">
        <v>4.0330000000000004</v>
      </c>
      <c r="L112" s="53">
        <v>56.310654</v>
      </c>
      <c r="M112" s="53">
        <v>5059.1471614000002</v>
      </c>
      <c r="N112" s="54">
        <v>7.6252952577814124E-3</v>
      </c>
      <c r="O112" s="53">
        <v>2.1486000000000001</v>
      </c>
      <c r="P112" s="30">
        <v>118.328</v>
      </c>
      <c r="Q112" s="30">
        <v>117.08</v>
      </c>
      <c r="R112" s="54">
        <v>1.0659378202938202E-2</v>
      </c>
    </row>
    <row r="113" spans="1:18" x14ac:dyDescent="0.15">
      <c r="A113" s="31">
        <v>112</v>
      </c>
      <c r="B113" s="30">
        <v>128133</v>
      </c>
      <c r="C113" s="30" t="s">
        <v>226</v>
      </c>
      <c r="D113" s="30">
        <v>126.6</v>
      </c>
      <c r="E113" s="30">
        <v>0.79</v>
      </c>
      <c r="F113" s="30">
        <v>24.78</v>
      </c>
      <c r="G113" s="30">
        <v>103.59</v>
      </c>
      <c r="H113" s="30">
        <v>22.21</v>
      </c>
      <c r="I113" s="51">
        <v>148.81</v>
      </c>
      <c r="J113" s="52">
        <v>46287</v>
      </c>
      <c r="K113" s="53">
        <v>4.266</v>
      </c>
      <c r="L113" s="53">
        <v>7.9943249999999999</v>
      </c>
      <c r="M113" s="53">
        <v>2556.2096329999999</v>
      </c>
      <c r="N113" s="54">
        <v>2.52569533119982E-2</v>
      </c>
      <c r="O113" s="53">
        <v>-1.8875</v>
      </c>
      <c r="P113" s="30">
        <v>126.657</v>
      </c>
      <c r="Q113" s="30">
        <v>124.727</v>
      </c>
      <c r="R113" s="54">
        <v>1.5473794767772756E-2</v>
      </c>
    </row>
    <row r="114" spans="1:18" x14ac:dyDescent="0.15">
      <c r="A114" s="31">
        <v>113</v>
      </c>
      <c r="B114" s="30">
        <v>113516</v>
      </c>
      <c r="C114" s="30" t="s">
        <v>1882</v>
      </c>
      <c r="D114" s="30">
        <v>119.16</v>
      </c>
      <c r="E114" s="30">
        <v>-0.15</v>
      </c>
      <c r="F114" s="30">
        <v>5.21</v>
      </c>
      <c r="G114" s="30">
        <v>97.31</v>
      </c>
      <c r="H114" s="30">
        <v>22.45</v>
      </c>
      <c r="I114" s="51">
        <v>141.60999999999999</v>
      </c>
      <c r="J114" s="52">
        <v>45506</v>
      </c>
      <c r="K114" s="53">
        <v>2.1259999999999999</v>
      </c>
      <c r="L114" s="53">
        <v>12.886039999999999</v>
      </c>
      <c r="M114" s="53">
        <v>834.73829999999998</v>
      </c>
      <c r="N114" s="54">
        <v>5.4362618940747244E-3</v>
      </c>
      <c r="O114" s="53">
        <v>-2.3872</v>
      </c>
      <c r="P114" s="30">
        <v>119.67</v>
      </c>
      <c r="Q114" s="30">
        <v>118.37</v>
      </c>
      <c r="R114" s="54">
        <v>1.0982512460927575E-2</v>
      </c>
    </row>
    <row r="115" spans="1:18" x14ac:dyDescent="0.15">
      <c r="A115" s="31">
        <v>114</v>
      </c>
      <c r="B115" s="30">
        <v>110075</v>
      </c>
      <c r="C115" s="30" t="s">
        <v>1886</v>
      </c>
      <c r="D115" s="30">
        <v>128.01</v>
      </c>
      <c r="E115" s="30">
        <v>0.78</v>
      </c>
      <c r="F115" s="30">
        <v>6.24</v>
      </c>
      <c r="G115" s="30">
        <v>104.49</v>
      </c>
      <c r="H115" s="30">
        <v>22.51</v>
      </c>
      <c r="I115" s="51">
        <v>150.51999999999998</v>
      </c>
      <c r="J115" s="52">
        <v>46310</v>
      </c>
      <c r="K115" s="53">
        <v>4.3289999999999997</v>
      </c>
      <c r="L115" s="53">
        <v>58.964379999999998</v>
      </c>
      <c r="M115" s="53">
        <v>12657.8976</v>
      </c>
      <c r="N115" s="54">
        <v>1.6769802351173767E-2</v>
      </c>
      <c r="O115" s="53">
        <v>-3.5259</v>
      </c>
      <c r="P115" s="30">
        <v>128.13999999999999</v>
      </c>
      <c r="Q115" s="30">
        <v>126.52</v>
      </c>
      <c r="R115" s="54">
        <v>1.2804299715459931E-2</v>
      </c>
    </row>
    <row r="116" spans="1:18" x14ac:dyDescent="0.15">
      <c r="A116" s="31">
        <v>115</v>
      </c>
      <c r="B116" s="30">
        <v>113640</v>
      </c>
      <c r="C116" s="30" t="s">
        <v>784</v>
      </c>
      <c r="D116" s="30">
        <v>124.15</v>
      </c>
      <c r="E116" s="30">
        <v>0.77</v>
      </c>
      <c r="F116" s="30">
        <v>19.71</v>
      </c>
      <c r="G116" s="30">
        <v>101.27</v>
      </c>
      <c r="H116" s="30">
        <v>22.59</v>
      </c>
      <c r="I116" s="51">
        <v>146.74</v>
      </c>
      <c r="J116" s="52">
        <v>46799</v>
      </c>
      <c r="K116" s="53">
        <v>5.6680000000000001</v>
      </c>
      <c r="L116" s="53">
        <v>9.5721100000000003</v>
      </c>
      <c r="M116" s="53">
        <v>1560.6323</v>
      </c>
      <c r="N116" s="54">
        <v>1.3132463018916244E-2</v>
      </c>
      <c r="O116" s="53">
        <v>-0.53439999999999999</v>
      </c>
      <c r="P116" s="30">
        <v>124.5</v>
      </c>
      <c r="Q116" s="30">
        <v>123.08</v>
      </c>
      <c r="R116" s="54">
        <v>1.1537211569710772E-2</v>
      </c>
    </row>
    <row r="117" spans="1:18" x14ac:dyDescent="0.15">
      <c r="A117" s="31">
        <v>116</v>
      </c>
      <c r="B117" s="30">
        <v>128121</v>
      </c>
      <c r="C117" s="30" t="s">
        <v>47</v>
      </c>
      <c r="D117" s="30">
        <v>124.25</v>
      </c>
      <c r="E117" s="30">
        <v>-0.53</v>
      </c>
      <c r="F117" s="30">
        <v>19.86</v>
      </c>
      <c r="G117" s="30">
        <v>100.81</v>
      </c>
      <c r="H117" s="30">
        <v>23.25</v>
      </c>
      <c r="I117" s="51">
        <v>147.5</v>
      </c>
      <c r="J117" s="52">
        <v>46220</v>
      </c>
      <c r="K117" s="53">
        <v>4.0819999999999999</v>
      </c>
      <c r="L117" s="53">
        <v>6.6985929999999989</v>
      </c>
      <c r="M117" s="53">
        <v>2164.5685684</v>
      </c>
      <c r="N117" s="54">
        <v>2.600706595725864E-2</v>
      </c>
      <c r="O117" s="53">
        <v>-2.3679999999999999</v>
      </c>
      <c r="P117" s="30">
        <v>125.664</v>
      </c>
      <c r="Q117" s="30">
        <v>124.13</v>
      </c>
      <c r="R117" s="54">
        <v>1.2358011761862613E-2</v>
      </c>
    </row>
    <row r="118" spans="1:18" x14ac:dyDescent="0.15">
      <c r="A118" s="31">
        <v>117</v>
      </c>
      <c r="B118" s="30">
        <v>128022</v>
      </c>
      <c r="C118" s="30" t="s">
        <v>159</v>
      </c>
      <c r="D118" s="30">
        <v>122.351</v>
      </c>
      <c r="E118" s="30">
        <v>-1.33</v>
      </c>
      <c r="F118" s="30">
        <v>5.95</v>
      </c>
      <c r="G118" s="30">
        <v>99.16</v>
      </c>
      <c r="H118" s="30">
        <v>23.39</v>
      </c>
      <c r="I118" s="51">
        <v>145.74099999999999</v>
      </c>
      <c r="J118" s="52">
        <v>45261</v>
      </c>
      <c r="K118" s="53">
        <v>1.4550000000000001</v>
      </c>
      <c r="L118" s="53">
        <v>4.5522299999999998</v>
      </c>
      <c r="M118" s="53">
        <v>8399.7664924000001</v>
      </c>
      <c r="N118" s="54">
        <v>0.15081185898987043</v>
      </c>
      <c r="O118" s="53">
        <v>-8.5706000000000007</v>
      </c>
      <c r="P118" s="30">
        <v>124.232</v>
      </c>
      <c r="Q118" s="30">
        <v>121.89</v>
      </c>
      <c r="R118" s="54">
        <v>1.92140454508163E-2</v>
      </c>
    </row>
    <row r="119" spans="1:18" x14ac:dyDescent="0.15">
      <c r="A119" s="31">
        <v>118</v>
      </c>
      <c r="B119" s="30">
        <v>113017</v>
      </c>
      <c r="C119" s="30" t="s">
        <v>110</v>
      </c>
      <c r="D119" s="30">
        <v>114.57</v>
      </c>
      <c r="E119" s="30">
        <v>-0.91</v>
      </c>
      <c r="F119" s="30">
        <v>2.23</v>
      </c>
      <c r="G119" s="30">
        <v>92.83</v>
      </c>
      <c r="H119" s="30">
        <v>23.42</v>
      </c>
      <c r="I119" s="51">
        <v>137.99</v>
      </c>
      <c r="J119" s="52">
        <v>45287</v>
      </c>
      <c r="K119" s="53">
        <v>1.526</v>
      </c>
      <c r="L119" s="53">
        <v>11.34999</v>
      </c>
      <c r="M119" s="53">
        <v>5798.6670000000004</v>
      </c>
      <c r="N119" s="54">
        <v>4.4592495509639465E-2</v>
      </c>
      <c r="O119" s="53">
        <v>-4.1169000000000002</v>
      </c>
      <c r="P119" s="30">
        <v>116.14</v>
      </c>
      <c r="Q119" s="30">
        <v>114.5</v>
      </c>
      <c r="R119" s="54">
        <v>1.4323144104803499E-2</v>
      </c>
    </row>
    <row r="120" spans="1:18" x14ac:dyDescent="0.15">
      <c r="A120" s="31">
        <v>119</v>
      </c>
      <c r="B120" s="30">
        <v>113545</v>
      </c>
      <c r="C120" s="30" t="s">
        <v>85</v>
      </c>
      <c r="D120" s="30">
        <v>127.82</v>
      </c>
      <c r="E120" s="30">
        <v>0.81</v>
      </c>
      <c r="F120" s="30">
        <v>10.43</v>
      </c>
      <c r="G120" s="30">
        <v>103.45</v>
      </c>
      <c r="H120" s="30">
        <v>23.56</v>
      </c>
      <c r="I120" s="51">
        <v>151.38</v>
      </c>
      <c r="J120" s="52">
        <v>45944</v>
      </c>
      <c r="K120" s="53">
        <v>3.3260000000000001</v>
      </c>
      <c r="L120" s="53">
        <v>9.8657599999999999</v>
      </c>
      <c r="M120" s="53">
        <v>5415.7394999999997</v>
      </c>
      <c r="N120" s="54">
        <v>4.2946562376705875E-2</v>
      </c>
      <c r="O120" s="53">
        <v>-3.3683000000000001</v>
      </c>
      <c r="P120" s="30">
        <v>128.4</v>
      </c>
      <c r="Q120" s="30">
        <v>126.39</v>
      </c>
      <c r="R120" s="54">
        <v>1.5903156895324039E-2</v>
      </c>
    </row>
    <row r="121" spans="1:18" x14ac:dyDescent="0.15">
      <c r="A121" s="31">
        <v>120</v>
      </c>
      <c r="B121" s="30">
        <v>123046</v>
      </c>
      <c r="C121" s="30" t="s">
        <v>1893</v>
      </c>
      <c r="D121" s="30">
        <v>334.02199999999999</v>
      </c>
      <c r="E121" s="30">
        <v>-3.07</v>
      </c>
      <c r="F121" s="30">
        <v>6.74</v>
      </c>
      <c r="G121" s="30">
        <v>269.88</v>
      </c>
      <c r="H121" s="30">
        <v>23.77</v>
      </c>
      <c r="I121" s="51">
        <v>357.79199999999997</v>
      </c>
      <c r="J121" s="52">
        <v>46100</v>
      </c>
      <c r="K121" s="53">
        <v>3.7530000000000001</v>
      </c>
      <c r="L121" s="53">
        <v>0.58544499999999999</v>
      </c>
      <c r="M121" s="53">
        <v>48754.696585000005</v>
      </c>
      <c r="N121" s="54">
        <v>2.4931894740857272</v>
      </c>
      <c r="O121" s="53">
        <v>-24.6858</v>
      </c>
      <c r="P121" s="30">
        <v>348.00299999999999</v>
      </c>
      <c r="Q121" s="30">
        <v>333.61</v>
      </c>
      <c r="R121" s="54">
        <v>4.3143191151344303E-2</v>
      </c>
    </row>
    <row r="122" spans="1:18" x14ac:dyDescent="0.15">
      <c r="A122" s="31">
        <v>121</v>
      </c>
      <c r="B122" s="30">
        <v>113567</v>
      </c>
      <c r="C122" s="30" t="s">
        <v>1838</v>
      </c>
      <c r="D122" s="30">
        <v>137.91999999999999</v>
      </c>
      <c r="E122" s="30">
        <v>1.58</v>
      </c>
      <c r="F122" s="30">
        <v>7.45</v>
      </c>
      <c r="G122" s="30">
        <v>111.41</v>
      </c>
      <c r="H122" s="30">
        <v>23.79</v>
      </c>
      <c r="I122" s="51">
        <v>161.70999999999998</v>
      </c>
      <c r="J122" s="52">
        <v>46085</v>
      </c>
      <c r="K122" s="53">
        <v>3.7120000000000002</v>
      </c>
      <c r="L122" s="53">
        <v>1.9354</v>
      </c>
      <c r="M122" s="53">
        <v>25370.036499999998</v>
      </c>
      <c r="N122" s="54">
        <v>0.95043650110278954</v>
      </c>
      <c r="O122" s="53">
        <v>-4.1925999999999997</v>
      </c>
      <c r="P122" s="30">
        <v>138.4</v>
      </c>
      <c r="Q122" s="30">
        <v>134.02000000000001</v>
      </c>
      <c r="R122" s="54">
        <v>3.2681689300104427E-2</v>
      </c>
    </row>
    <row r="123" spans="1:18" x14ac:dyDescent="0.15">
      <c r="A123" s="31">
        <v>122</v>
      </c>
      <c r="B123" s="30">
        <v>128085</v>
      </c>
      <c r="C123" s="30" t="s">
        <v>1883</v>
      </c>
      <c r="D123" s="30">
        <v>118.762</v>
      </c>
      <c r="E123" s="30">
        <v>0.73</v>
      </c>
      <c r="F123" s="30">
        <v>3.91</v>
      </c>
      <c r="G123" s="30">
        <v>95.91</v>
      </c>
      <c r="H123" s="30">
        <v>23.83</v>
      </c>
      <c r="I123" s="51">
        <v>142.59199999999998</v>
      </c>
      <c r="J123" s="52">
        <v>46007</v>
      </c>
      <c r="K123" s="53">
        <v>3.4990000000000001</v>
      </c>
      <c r="L123" s="53">
        <v>3.374628</v>
      </c>
      <c r="M123" s="53">
        <v>3232.0250046000001</v>
      </c>
      <c r="N123" s="54">
        <v>8.0643859392567546E-2</v>
      </c>
      <c r="O123" s="53">
        <v>1.2212000000000001</v>
      </c>
      <c r="P123" s="30">
        <v>118.762</v>
      </c>
      <c r="Q123" s="30">
        <v>117.45</v>
      </c>
      <c r="R123" s="54">
        <v>1.1170710940825862E-2</v>
      </c>
    </row>
    <row r="124" spans="1:18" x14ac:dyDescent="0.15">
      <c r="A124" s="31">
        <v>123</v>
      </c>
      <c r="B124" s="30">
        <v>123127</v>
      </c>
      <c r="C124" s="30" t="s">
        <v>115</v>
      </c>
      <c r="D124" s="30">
        <v>126.498</v>
      </c>
      <c r="E124" s="30">
        <v>0.87</v>
      </c>
      <c r="F124" s="30">
        <v>37</v>
      </c>
      <c r="G124" s="30">
        <v>102.14</v>
      </c>
      <c r="H124" s="30">
        <v>23.85</v>
      </c>
      <c r="I124" s="51">
        <v>150.34800000000001</v>
      </c>
      <c r="J124" s="52">
        <v>46689</v>
      </c>
      <c r="K124" s="53">
        <v>5.367</v>
      </c>
      <c r="L124" s="53">
        <v>3.9997519999999995</v>
      </c>
      <c r="M124" s="53">
        <v>4722.1860274999999</v>
      </c>
      <c r="N124" s="54">
        <v>9.3331096562532898E-2</v>
      </c>
      <c r="O124" s="53">
        <v>-1.6028</v>
      </c>
      <c r="P124" s="30">
        <v>127.29300000000001</v>
      </c>
      <c r="Q124" s="30">
        <v>124.917</v>
      </c>
      <c r="R124" s="54">
        <v>1.9020629698119591E-2</v>
      </c>
    </row>
    <row r="125" spans="1:18" x14ac:dyDescent="0.15">
      <c r="A125" s="31">
        <v>124</v>
      </c>
      <c r="B125" s="30">
        <v>128066</v>
      </c>
      <c r="C125" s="30" t="s">
        <v>99</v>
      </c>
      <c r="D125" s="30">
        <v>116.895</v>
      </c>
      <c r="E125" s="30">
        <v>-0.02</v>
      </c>
      <c r="F125" s="30">
        <v>9.27</v>
      </c>
      <c r="G125" s="30">
        <v>94.17</v>
      </c>
      <c r="H125" s="30">
        <v>24.13</v>
      </c>
      <c r="I125" s="51">
        <v>141.02500000000001</v>
      </c>
      <c r="J125" s="52">
        <v>45764</v>
      </c>
      <c r="K125" s="53">
        <v>2.8330000000000002</v>
      </c>
      <c r="L125" s="53">
        <v>4.6105919999999996</v>
      </c>
      <c r="M125" s="53">
        <v>4416.7513369999997</v>
      </c>
      <c r="N125" s="54">
        <v>8.1950257306589475E-2</v>
      </c>
      <c r="O125" s="53">
        <v>-0.42899999999999999</v>
      </c>
      <c r="P125" s="30">
        <v>117.20099999999999</v>
      </c>
      <c r="Q125" s="30">
        <v>116.42</v>
      </c>
      <c r="R125" s="54">
        <v>6.7084693351657076E-3</v>
      </c>
    </row>
    <row r="126" spans="1:18" x14ac:dyDescent="0.15">
      <c r="A126" s="31">
        <v>125</v>
      </c>
      <c r="B126" s="30">
        <v>118001</v>
      </c>
      <c r="C126" s="30" t="s">
        <v>243</v>
      </c>
      <c r="D126" s="30">
        <v>140.13999999999999</v>
      </c>
      <c r="E126" s="30">
        <v>3.12</v>
      </c>
      <c r="F126" s="30">
        <v>270.29000000000002</v>
      </c>
      <c r="G126" s="30">
        <v>112.84</v>
      </c>
      <c r="H126" s="30">
        <v>24.19</v>
      </c>
      <c r="I126" s="51">
        <v>164.32999999999998</v>
      </c>
      <c r="J126" s="52">
        <v>46591</v>
      </c>
      <c r="K126" s="53">
        <v>5.0990000000000002</v>
      </c>
      <c r="L126" s="53">
        <v>5.9984200000000003</v>
      </c>
      <c r="M126" s="53">
        <v>24887.517</v>
      </c>
      <c r="N126" s="54">
        <v>0.29606194328380697</v>
      </c>
      <c r="O126" s="53">
        <v>-2.8073000000000001</v>
      </c>
      <c r="P126" s="30">
        <v>141.75</v>
      </c>
      <c r="Q126" s="30">
        <v>135</v>
      </c>
      <c r="R126" s="54">
        <v>0.05</v>
      </c>
    </row>
    <row r="127" spans="1:18" x14ac:dyDescent="0.15">
      <c r="A127" s="31">
        <v>126</v>
      </c>
      <c r="B127" s="30">
        <v>127039</v>
      </c>
      <c r="C127" s="30" t="s">
        <v>1873</v>
      </c>
      <c r="D127" s="30">
        <v>124.15</v>
      </c>
      <c r="E127" s="30">
        <v>-0.52</v>
      </c>
      <c r="F127" s="30">
        <v>8.17</v>
      </c>
      <c r="G127" s="30">
        <v>99.88</v>
      </c>
      <c r="H127" s="30">
        <v>24.3</v>
      </c>
      <c r="I127" s="51">
        <v>148.45000000000002</v>
      </c>
      <c r="J127" s="52">
        <v>46567</v>
      </c>
      <c r="K127" s="53">
        <v>5.0330000000000004</v>
      </c>
      <c r="L127" s="53">
        <v>17.631454000000002</v>
      </c>
      <c r="M127" s="53">
        <v>3816.0106199000002</v>
      </c>
      <c r="N127" s="54">
        <v>1.7433104053867606E-2</v>
      </c>
      <c r="O127" s="53">
        <v>-1.8859999999999999</v>
      </c>
      <c r="P127" s="30">
        <v>125.2</v>
      </c>
      <c r="Q127" s="30">
        <v>124</v>
      </c>
      <c r="R127" s="54">
        <v>9.6774193548387327E-3</v>
      </c>
    </row>
    <row r="128" spans="1:18" x14ac:dyDescent="0.15">
      <c r="A128" s="31">
        <v>127</v>
      </c>
      <c r="B128" s="30">
        <v>113637</v>
      </c>
      <c r="C128" s="30" t="s">
        <v>273</v>
      </c>
      <c r="D128" s="30">
        <v>135.97</v>
      </c>
      <c r="E128" s="30">
        <v>1.28</v>
      </c>
      <c r="F128" s="30">
        <v>12.99</v>
      </c>
      <c r="G128" s="30">
        <v>109.16</v>
      </c>
      <c r="H128" s="30">
        <v>24.56</v>
      </c>
      <c r="I128" s="51">
        <v>160.53</v>
      </c>
      <c r="J128" s="52">
        <v>46743</v>
      </c>
      <c r="K128" s="53">
        <v>5.5149999999999997</v>
      </c>
      <c r="L128" s="53">
        <v>8</v>
      </c>
      <c r="M128" s="53">
        <v>763.10900000000004</v>
      </c>
      <c r="N128" s="54">
        <v>7.0154170037508273E-3</v>
      </c>
      <c r="O128" s="53">
        <v>-2.1313</v>
      </c>
      <c r="P128" s="30">
        <v>136.16</v>
      </c>
      <c r="Q128" s="30">
        <v>133.30000000000001</v>
      </c>
      <c r="R128" s="54">
        <v>2.1455363840960126E-2</v>
      </c>
    </row>
    <row r="129" spans="1:18" x14ac:dyDescent="0.15">
      <c r="A129" s="31">
        <v>128</v>
      </c>
      <c r="B129" s="30">
        <v>113053</v>
      </c>
      <c r="C129" s="30" t="s">
        <v>1904</v>
      </c>
      <c r="D129" s="30">
        <v>128.82</v>
      </c>
      <c r="E129" s="30">
        <v>0.59</v>
      </c>
      <c r="F129" s="30">
        <v>58.85</v>
      </c>
      <c r="G129" s="30">
        <v>103.4</v>
      </c>
      <c r="H129" s="30">
        <v>24.58</v>
      </c>
      <c r="I129" s="51">
        <v>153.39999999999998</v>
      </c>
      <c r="J129" s="52">
        <v>46757</v>
      </c>
      <c r="K129" s="53">
        <v>5.5529999999999999</v>
      </c>
      <c r="L129" s="53">
        <v>70</v>
      </c>
      <c r="M129" s="53">
        <v>18474.746899999998</v>
      </c>
      <c r="N129" s="54">
        <v>2.0487886641382218E-2</v>
      </c>
      <c r="O129" s="53">
        <v>-2.6493000000000002</v>
      </c>
      <c r="P129" s="30">
        <v>129.22999999999999</v>
      </c>
      <c r="Q129" s="30">
        <v>127.64</v>
      </c>
      <c r="R129" s="54">
        <v>1.2456910059542378E-2</v>
      </c>
    </row>
    <row r="130" spans="1:18" x14ac:dyDescent="0.15">
      <c r="A130" s="31">
        <v>129</v>
      </c>
      <c r="B130" s="30">
        <v>111000</v>
      </c>
      <c r="C130" s="30" t="s">
        <v>84</v>
      </c>
      <c r="D130" s="30">
        <v>129.08000000000001</v>
      </c>
      <c r="E130" s="30">
        <v>3.2</v>
      </c>
      <c r="F130" s="30">
        <v>19.86</v>
      </c>
      <c r="G130" s="30">
        <v>103.52</v>
      </c>
      <c r="H130" s="30">
        <v>24.69</v>
      </c>
      <c r="I130" s="51">
        <v>153.77000000000001</v>
      </c>
      <c r="J130" s="52">
        <v>46531</v>
      </c>
      <c r="K130" s="53">
        <v>4.9340000000000002</v>
      </c>
      <c r="L130" s="53">
        <v>9.9947700000000008</v>
      </c>
      <c r="M130" s="53">
        <v>29618.748800000001</v>
      </c>
      <c r="N130" s="54">
        <v>0.22958047343855348</v>
      </c>
      <c r="O130" s="53">
        <v>-1.4752000000000001</v>
      </c>
      <c r="P130" s="30">
        <v>132</v>
      </c>
      <c r="Q130" s="30">
        <v>124.47</v>
      </c>
      <c r="R130" s="54">
        <v>6.0496505181971569E-2</v>
      </c>
    </row>
    <row r="131" spans="1:18" x14ac:dyDescent="0.15">
      <c r="A131" s="31">
        <v>130</v>
      </c>
      <c r="B131" s="30">
        <v>113631</v>
      </c>
      <c r="C131" s="30" t="s">
        <v>224</v>
      </c>
      <c r="D131" s="30">
        <v>115.63</v>
      </c>
      <c r="E131" s="30">
        <v>0.25</v>
      </c>
      <c r="F131" s="30">
        <v>11.12</v>
      </c>
      <c r="G131" s="30">
        <v>92.54</v>
      </c>
      <c r="H131" s="30">
        <v>24.95</v>
      </c>
      <c r="I131" s="51">
        <v>140.57999999999998</v>
      </c>
      <c r="J131" s="52">
        <v>46699</v>
      </c>
      <c r="K131" s="53">
        <v>5.3949999999999996</v>
      </c>
      <c r="L131" s="53">
        <v>9.2997599999999991</v>
      </c>
      <c r="M131" s="53">
        <v>1354.9562000000001</v>
      </c>
      <c r="N131" s="54">
        <v>1.2600361065597636E-2</v>
      </c>
      <c r="O131" s="53">
        <v>-0.1845</v>
      </c>
      <c r="P131" s="30">
        <v>115.77</v>
      </c>
      <c r="Q131" s="30">
        <v>115.16</v>
      </c>
      <c r="R131" s="54">
        <v>5.2969781174018711E-3</v>
      </c>
    </row>
    <row r="132" spans="1:18" x14ac:dyDescent="0.15">
      <c r="A132" s="31">
        <v>131</v>
      </c>
      <c r="B132" s="30">
        <v>123112</v>
      </c>
      <c r="C132" s="30" t="s">
        <v>127</v>
      </c>
      <c r="D132" s="30">
        <v>131.40199999999999</v>
      </c>
      <c r="E132" s="30">
        <v>0.92</v>
      </c>
      <c r="F132" s="30">
        <v>8.73</v>
      </c>
      <c r="G132" s="30">
        <v>105.15</v>
      </c>
      <c r="H132" s="30">
        <v>24.97</v>
      </c>
      <c r="I132" s="51">
        <v>156.37199999999999</v>
      </c>
      <c r="J132" s="52">
        <v>46485</v>
      </c>
      <c r="K132" s="53">
        <v>4.8079999999999998</v>
      </c>
      <c r="L132" s="53">
        <v>2.4541909999999998</v>
      </c>
      <c r="M132" s="53">
        <v>1969.0615690000002</v>
      </c>
      <c r="N132" s="54">
        <v>6.1058897938256647E-2</v>
      </c>
      <c r="O132" s="53">
        <v>-1.2218</v>
      </c>
      <c r="P132" s="30">
        <v>132</v>
      </c>
      <c r="Q132" s="30">
        <v>129.96799999999999</v>
      </c>
      <c r="R132" s="54">
        <v>1.5634617752062131E-2</v>
      </c>
    </row>
    <row r="133" spans="1:18" x14ac:dyDescent="0.15">
      <c r="A133" s="31">
        <v>132</v>
      </c>
      <c r="B133" s="30">
        <v>110064</v>
      </c>
      <c r="C133" s="30" t="s">
        <v>1848</v>
      </c>
      <c r="D133" s="30">
        <v>122.81</v>
      </c>
      <c r="E133" s="30">
        <v>-0.24</v>
      </c>
      <c r="F133" s="30">
        <v>4.53</v>
      </c>
      <c r="G133" s="30">
        <v>98.23</v>
      </c>
      <c r="H133" s="30">
        <v>25.02</v>
      </c>
      <c r="I133" s="51">
        <v>147.83000000000001</v>
      </c>
      <c r="J133" s="52">
        <v>46011</v>
      </c>
      <c r="K133" s="53">
        <v>3.51</v>
      </c>
      <c r="L133" s="53">
        <v>12.645960000000001</v>
      </c>
      <c r="M133" s="53">
        <v>3255.2165</v>
      </c>
      <c r="N133" s="54">
        <v>2.0960147911691564E-2</v>
      </c>
      <c r="O133" s="53">
        <v>-0.86670000000000003</v>
      </c>
      <c r="P133" s="30">
        <v>123.37</v>
      </c>
      <c r="Q133" s="30">
        <v>122.11</v>
      </c>
      <c r="R133" s="54">
        <v>1.0318565228073092E-2</v>
      </c>
    </row>
    <row r="134" spans="1:18" x14ac:dyDescent="0.15">
      <c r="A134" s="31">
        <v>133</v>
      </c>
      <c r="B134" s="30">
        <v>127028</v>
      </c>
      <c r="C134" s="30" t="s">
        <v>62</v>
      </c>
      <c r="D134" s="30">
        <v>119.623</v>
      </c>
      <c r="E134" s="30">
        <v>-0.31</v>
      </c>
      <c r="F134" s="30">
        <v>10.85</v>
      </c>
      <c r="G134" s="30">
        <v>95.67</v>
      </c>
      <c r="H134" s="30">
        <v>25.04</v>
      </c>
      <c r="I134" s="51">
        <v>144.66300000000001</v>
      </c>
      <c r="J134" s="52">
        <v>46392</v>
      </c>
      <c r="K134" s="53">
        <v>4.5529999999999999</v>
      </c>
      <c r="L134" s="53">
        <v>5.9824770000000003</v>
      </c>
      <c r="M134" s="53">
        <v>3222.5010225999999</v>
      </c>
      <c r="N134" s="54">
        <v>4.5029521957691603E-2</v>
      </c>
      <c r="O134" s="53">
        <v>-1.3050999999999999</v>
      </c>
      <c r="P134" s="30">
        <v>121.17400000000001</v>
      </c>
      <c r="Q134" s="30">
        <v>119.43</v>
      </c>
      <c r="R134" s="54">
        <v>1.4602696139998322E-2</v>
      </c>
    </row>
    <row r="135" spans="1:18" x14ac:dyDescent="0.15">
      <c r="A135" s="31">
        <v>134</v>
      </c>
      <c r="B135" s="30">
        <v>123097</v>
      </c>
      <c r="C135" s="30" t="s">
        <v>126</v>
      </c>
      <c r="D135" s="30">
        <v>129.21799999999999</v>
      </c>
      <c r="E135" s="30">
        <v>-0.14000000000000001</v>
      </c>
      <c r="F135" s="30">
        <v>9.2799999999999994</v>
      </c>
      <c r="G135" s="30">
        <v>103.23</v>
      </c>
      <c r="H135" s="30">
        <v>25.17</v>
      </c>
      <c r="I135" s="51">
        <v>154.38799999999998</v>
      </c>
      <c r="J135" s="52">
        <v>46414</v>
      </c>
      <c r="K135" s="53">
        <v>4.6139999999999999</v>
      </c>
      <c r="L135" s="53">
        <v>2.9987979999999999</v>
      </c>
      <c r="M135" s="53">
        <v>8496.3114753999998</v>
      </c>
      <c r="N135" s="54">
        <v>0.21926039789837062</v>
      </c>
      <c r="O135" s="53">
        <v>-1.4266000000000001</v>
      </c>
      <c r="P135" s="30">
        <v>130.83199999999999</v>
      </c>
      <c r="Q135" s="30">
        <v>128.65700000000001</v>
      </c>
      <c r="R135" s="54">
        <v>1.6905415173678717E-2</v>
      </c>
    </row>
    <row r="136" spans="1:18" x14ac:dyDescent="0.15">
      <c r="A136" s="31">
        <v>135</v>
      </c>
      <c r="B136" s="30">
        <v>127012</v>
      </c>
      <c r="C136" s="30" t="s">
        <v>1891</v>
      </c>
      <c r="D136" s="30">
        <v>115.2</v>
      </c>
      <c r="E136" s="30">
        <v>-0.1</v>
      </c>
      <c r="F136" s="30">
        <v>8.6300000000000008</v>
      </c>
      <c r="G136" s="30">
        <v>92</v>
      </c>
      <c r="H136" s="30">
        <v>25.22</v>
      </c>
      <c r="I136" s="51">
        <v>140.42000000000002</v>
      </c>
      <c r="J136" s="52">
        <v>45738</v>
      </c>
      <c r="K136" s="53">
        <v>2.762</v>
      </c>
      <c r="L136" s="53">
        <v>49.998221000000001</v>
      </c>
      <c r="M136" s="53">
        <v>6924.5401265999999</v>
      </c>
      <c r="N136" s="54">
        <v>1.2022198802958408E-2</v>
      </c>
      <c r="O136" s="53">
        <v>-2.5630999999999999</v>
      </c>
      <c r="P136" s="30">
        <v>115.747</v>
      </c>
      <c r="Q136" s="30">
        <v>114.806</v>
      </c>
      <c r="R136" s="54">
        <v>8.1964357263557882E-3</v>
      </c>
    </row>
    <row r="137" spans="1:18" x14ac:dyDescent="0.15">
      <c r="A137" s="31">
        <v>136</v>
      </c>
      <c r="B137" s="30">
        <v>113629</v>
      </c>
      <c r="C137" s="30" t="s">
        <v>80</v>
      </c>
      <c r="D137" s="30">
        <v>143.38999999999999</v>
      </c>
      <c r="E137" s="30">
        <v>0.57999999999999996</v>
      </c>
      <c r="F137" s="30">
        <v>23.03</v>
      </c>
      <c r="G137" s="30">
        <v>114.42</v>
      </c>
      <c r="H137" s="30">
        <v>25.32</v>
      </c>
      <c r="I137" s="51">
        <v>168.70999999999998</v>
      </c>
      <c r="J137" s="52">
        <v>46644</v>
      </c>
      <c r="K137" s="53">
        <v>5.2439999999999998</v>
      </c>
      <c r="L137" s="53">
        <v>6.1969399999999997</v>
      </c>
      <c r="M137" s="53">
        <v>46945.141600000003</v>
      </c>
      <c r="N137" s="54">
        <v>0.52831689279556715</v>
      </c>
      <c r="O137" s="53">
        <v>-3.2462</v>
      </c>
      <c r="P137" s="30">
        <v>144.5</v>
      </c>
      <c r="Q137" s="30">
        <v>141</v>
      </c>
      <c r="R137" s="54">
        <v>2.4822695035460994E-2</v>
      </c>
    </row>
    <row r="138" spans="1:18" x14ac:dyDescent="0.15">
      <c r="A138" s="31">
        <v>137</v>
      </c>
      <c r="B138" s="30">
        <v>110057</v>
      </c>
      <c r="C138" s="30" t="s">
        <v>1880</v>
      </c>
      <c r="D138" s="30">
        <v>115.75</v>
      </c>
      <c r="E138" s="30">
        <v>0.24</v>
      </c>
      <c r="F138" s="30">
        <v>9.7899999999999991</v>
      </c>
      <c r="G138" s="30">
        <v>92.24</v>
      </c>
      <c r="H138" s="30">
        <v>25.49</v>
      </c>
      <c r="I138" s="51">
        <v>141.24</v>
      </c>
      <c r="J138" s="52">
        <v>45748</v>
      </c>
      <c r="K138" s="53">
        <v>2.7890000000000001</v>
      </c>
      <c r="L138" s="53">
        <v>16.155080000000002</v>
      </c>
      <c r="M138" s="53">
        <v>6737.9382999999998</v>
      </c>
      <c r="N138" s="54">
        <v>3.6032709229293976E-2</v>
      </c>
      <c r="O138" s="53">
        <v>-2.0644999999999998</v>
      </c>
      <c r="P138" s="30">
        <v>115.88</v>
      </c>
      <c r="Q138" s="30">
        <v>114.77</v>
      </c>
      <c r="R138" s="54">
        <v>9.6715169469373478E-3</v>
      </c>
    </row>
    <row r="139" spans="1:18" x14ac:dyDescent="0.15">
      <c r="A139" s="31">
        <v>138</v>
      </c>
      <c r="B139" s="30">
        <v>113057</v>
      </c>
      <c r="C139" s="30" t="s">
        <v>1894</v>
      </c>
      <c r="D139" s="30">
        <v>118.65</v>
      </c>
      <c r="E139" s="30">
        <v>0.72</v>
      </c>
      <c r="F139" s="30">
        <v>10.24</v>
      </c>
      <c r="G139" s="30">
        <v>94.53</v>
      </c>
      <c r="H139" s="30">
        <v>25.52</v>
      </c>
      <c r="I139" s="51">
        <v>144.17000000000002</v>
      </c>
      <c r="J139" s="52">
        <v>46836</v>
      </c>
      <c r="K139" s="53">
        <v>5.77</v>
      </c>
      <c r="L139" s="53">
        <v>78</v>
      </c>
      <c r="M139" s="53">
        <v>34416.949099999998</v>
      </c>
      <c r="N139" s="54">
        <v>3.718861670286449E-2</v>
      </c>
      <c r="O139" s="53">
        <v>-1.3193999999999999</v>
      </c>
      <c r="P139" s="30">
        <v>119.79</v>
      </c>
      <c r="Q139" s="30">
        <v>117.31</v>
      </c>
      <c r="R139" s="54">
        <v>2.1140567726536559E-2</v>
      </c>
    </row>
    <row r="140" spans="1:18" x14ac:dyDescent="0.15">
      <c r="A140" s="31">
        <v>139</v>
      </c>
      <c r="B140" s="30">
        <v>128145</v>
      </c>
      <c r="C140" s="30" t="s">
        <v>105</v>
      </c>
      <c r="D140" s="30">
        <v>127.229</v>
      </c>
      <c r="E140" s="30">
        <v>0.08</v>
      </c>
      <c r="F140" s="30">
        <v>10.43</v>
      </c>
      <c r="G140" s="30">
        <v>101.34</v>
      </c>
      <c r="H140" s="30">
        <v>25.55</v>
      </c>
      <c r="I140" s="51">
        <v>152.779</v>
      </c>
      <c r="J140" s="52">
        <v>46468</v>
      </c>
      <c r="K140" s="53">
        <v>4.7619999999999996</v>
      </c>
      <c r="L140" s="53">
        <v>3.7962730000000007</v>
      </c>
      <c r="M140" s="53">
        <v>2594.9479348</v>
      </c>
      <c r="N140" s="54">
        <v>5.3726073108018225E-2</v>
      </c>
      <c r="O140" s="53">
        <v>-2.1196000000000002</v>
      </c>
      <c r="P140" s="30">
        <v>128.495</v>
      </c>
      <c r="Q140" s="30">
        <v>126.502</v>
      </c>
      <c r="R140" s="54">
        <v>1.5754691625428922E-2</v>
      </c>
    </row>
    <row r="141" spans="1:18" x14ac:dyDescent="0.15">
      <c r="A141" s="31">
        <v>140</v>
      </c>
      <c r="B141" s="30">
        <v>123129</v>
      </c>
      <c r="C141" s="30" t="s">
        <v>247</v>
      </c>
      <c r="D141" s="30">
        <v>114.9</v>
      </c>
      <c r="E141" s="30">
        <v>0.35</v>
      </c>
      <c r="F141" s="30">
        <v>8</v>
      </c>
      <c r="G141" s="30">
        <v>91.5</v>
      </c>
      <c r="H141" s="30">
        <v>25.57</v>
      </c>
      <c r="I141" s="51">
        <v>140.47</v>
      </c>
      <c r="J141" s="52">
        <v>46695</v>
      </c>
      <c r="K141" s="53">
        <v>5.3840000000000003</v>
      </c>
      <c r="L141" s="53">
        <v>5.9999149999999997</v>
      </c>
      <c r="M141" s="53">
        <v>2900.7071449</v>
      </c>
      <c r="N141" s="54">
        <v>4.207641773764699E-2</v>
      </c>
      <c r="O141" s="53">
        <v>0.47339999999999999</v>
      </c>
      <c r="P141" s="30">
        <v>115.39700000000001</v>
      </c>
      <c r="Q141" s="30">
        <v>114.09</v>
      </c>
      <c r="R141" s="54">
        <v>1.1455868174248419E-2</v>
      </c>
    </row>
    <row r="142" spans="1:18" x14ac:dyDescent="0.15">
      <c r="A142" s="31">
        <v>141</v>
      </c>
      <c r="B142" s="30">
        <v>127031</v>
      </c>
      <c r="C142" s="30" t="s">
        <v>187</v>
      </c>
      <c r="D142" s="30">
        <v>127.6</v>
      </c>
      <c r="E142" s="30">
        <v>0.56000000000000005</v>
      </c>
      <c r="F142" s="30">
        <v>17.57</v>
      </c>
      <c r="G142" s="30">
        <v>101.48</v>
      </c>
      <c r="H142" s="30">
        <v>25.74</v>
      </c>
      <c r="I142" s="51">
        <v>153.34</v>
      </c>
      <c r="J142" s="52">
        <v>46471</v>
      </c>
      <c r="K142" s="53">
        <v>4.7699999999999996</v>
      </c>
      <c r="L142" s="53">
        <v>9.9994130000000006</v>
      </c>
      <c r="M142" s="53">
        <v>3404.5964734999998</v>
      </c>
      <c r="N142" s="54">
        <v>2.6683356857718391E-2</v>
      </c>
      <c r="O142" s="53">
        <v>-1.8677999999999999</v>
      </c>
      <c r="P142" s="30">
        <v>128.27199999999999</v>
      </c>
      <c r="Q142" s="30">
        <v>126.68</v>
      </c>
      <c r="R142" s="54">
        <v>1.2567098200189331E-2</v>
      </c>
    </row>
    <row r="143" spans="1:18" x14ac:dyDescent="0.15">
      <c r="A143" s="31">
        <v>142</v>
      </c>
      <c r="B143" s="30">
        <v>113598</v>
      </c>
      <c r="C143" s="30" t="s">
        <v>101</v>
      </c>
      <c r="D143" s="30">
        <v>126.09</v>
      </c>
      <c r="E143" s="30">
        <v>-0.25</v>
      </c>
      <c r="F143" s="30">
        <v>9.6999999999999993</v>
      </c>
      <c r="G143" s="30">
        <v>100.1</v>
      </c>
      <c r="H143" s="30">
        <v>25.96</v>
      </c>
      <c r="I143" s="51">
        <v>152.05000000000001</v>
      </c>
      <c r="J143" s="52">
        <v>46234</v>
      </c>
      <c r="K143" s="53">
        <v>4.1210000000000004</v>
      </c>
      <c r="L143" s="53">
        <v>2.7526000000000002</v>
      </c>
      <c r="M143" s="53">
        <v>1350.9369999999999</v>
      </c>
      <c r="N143" s="54">
        <v>3.8923451702275097E-2</v>
      </c>
      <c r="O143" s="53">
        <v>-1.0585</v>
      </c>
      <c r="P143" s="30">
        <v>126.71</v>
      </c>
      <c r="Q143" s="30">
        <v>125.21</v>
      </c>
      <c r="R143" s="54">
        <v>1.1979873811995848E-2</v>
      </c>
    </row>
    <row r="144" spans="1:18" x14ac:dyDescent="0.15">
      <c r="A144" s="31">
        <v>143</v>
      </c>
      <c r="B144" s="30">
        <v>128075</v>
      </c>
      <c r="C144" s="30" t="s">
        <v>125</v>
      </c>
      <c r="D144" s="30">
        <v>121.7</v>
      </c>
      <c r="E144" s="30">
        <v>0.57999999999999996</v>
      </c>
      <c r="F144" s="30">
        <v>5.29</v>
      </c>
      <c r="G144" s="30">
        <v>96.6</v>
      </c>
      <c r="H144" s="30">
        <v>25.98</v>
      </c>
      <c r="I144" s="51">
        <v>147.68</v>
      </c>
      <c r="J144" s="52">
        <v>45923</v>
      </c>
      <c r="K144" s="53">
        <v>3.2679999999999998</v>
      </c>
      <c r="L144" s="53">
        <v>5.4375109999999998</v>
      </c>
      <c r="M144" s="53">
        <v>4696.3603700000003</v>
      </c>
      <c r="N144" s="54">
        <v>7.0969327165329069E-2</v>
      </c>
      <c r="O144" s="53">
        <v>-1.9387000000000001</v>
      </c>
      <c r="P144" s="30">
        <v>121.849</v>
      </c>
      <c r="Q144" s="30">
        <v>120.5</v>
      </c>
      <c r="R144" s="54">
        <v>1.1195020746887998E-2</v>
      </c>
    </row>
    <row r="145" spans="1:18" x14ac:dyDescent="0.15">
      <c r="A145" s="31">
        <v>144</v>
      </c>
      <c r="B145" s="30">
        <v>113636</v>
      </c>
      <c r="C145" s="30" t="s">
        <v>251</v>
      </c>
      <c r="D145" s="30">
        <v>127.25</v>
      </c>
      <c r="E145" s="30">
        <v>-1.47</v>
      </c>
      <c r="F145" s="30">
        <v>36.049999999999997</v>
      </c>
      <c r="G145" s="30">
        <v>100.92</v>
      </c>
      <c r="H145" s="30">
        <v>26.09</v>
      </c>
      <c r="I145" s="51">
        <v>153.34</v>
      </c>
      <c r="J145" s="52">
        <v>46734</v>
      </c>
      <c r="K145" s="53">
        <v>5.49</v>
      </c>
      <c r="L145" s="53">
        <v>9.99986</v>
      </c>
      <c r="M145" s="53">
        <v>1206.4323999999999</v>
      </c>
      <c r="N145" s="54">
        <v>9.4809374482519772E-3</v>
      </c>
      <c r="O145" s="53">
        <v>-0.98909999999999998</v>
      </c>
      <c r="P145" s="30">
        <v>129.80000000000001</v>
      </c>
      <c r="Q145" s="30">
        <v>127.2</v>
      </c>
      <c r="R145" s="54">
        <v>2.0440251572327109E-2</v>
      </c>
    </row>
    <row r="146" spans="1:18" x14ac:dyDescent="0.15">
      <c r="A146" s="31">
        <v>145</v>
      </c>
      <c r="B146" s="30">
        <v>127014</v>
      </c>
      <c r="C146" s="30" t="s">
        <v>231</v>
      </c>
      <c r="D146" s="30">
        <v>134.5</v>
      </c>
      <c r="E146" s="30">
        <v>0.67</v>
      </c>
      <c r="F146" s="30">
        <v>7.86</v>
      </c>
      <c r="G146" s="30">
        <v>106.62</v>
      </c>
      <c r="H146" s="30">
        <v>26.15</v>
      </c>
      <c r="I146" s="51">
        <v>160.65</v>
      </c>
      <c r="J146" s="52">
        <v>45954</v>
      </c>
      <c r="K146" s="53">
        <v>3.3530000000000002</v>
      </c>
      <c r="L146" s="53">
        <v>5.3444160000000007</v>
      </c>
      <c r="M146" s="53">
        <v>14830.142751499998</v>
      </c>
      <c r="N146" s="54">
        <v>0.206311193585547</v>
      </c>
      <c r="O146" s="53">
        <v>-4.8243</v>
      </c>
      <c r="P146" s="30">
        <v>136.88</v>
      </c>
      <c r="Q146" s="30">
        <v>132.28200000000001</v>
      </c>
      <c r="R146" s="54">
        <v>3.4759075308809846E-2</v>
      </c>
    </row>
    <row r="147" spans="1:18" x14ac:dyDescent="0.15">
      <c r="A147" s="31">
        <v>146</v>
      </c>
      <c r="B147" s="30">
        <v>113049</v>
      </c>
      <c r="C147" s="30" t="s">
        <v>1902</v>
      </c>
      <c r="D147" s="30">
        <v>130.94999999999999</v>
      </c>
      <c r="E147" s="30">
        <v>1.03</v>
      </c>
      <c r="F147" s="30">
        <v>37.89</v>
      </c>
      <c r="G147" s="30">
        <v>103.19</v>
      </c>
      <c r="H147" s="30">
        <v>26.9</v>
      </c>
      <c r="I147" s="51">
        <v>157.85</v>
      </c>
      <c r="J147" s="52">
        <v>46548</v>
      </c>
      <c r="K147" s="53">
        <v>4.9809999999999999</v>
      </c>
      <c r="L147" s="53">
        <v>34.987200000000001</v>
      </c>
      <c r="M147" s="53">
        <v>21497.688699999999</v>
      </c>
      <c r="N147" s="54">
        <v>4.6922060957114251E-2</v>
      </c>
      <c r="O147" s="53">
        <v>-3.4230999999999998</v>
      </c>
      <c r="P147" s="30">
        <v>131.41</v>
      </c>
      <c r="Q147" s="30">
        <v>128.80000000000001</v>
      </c>
      <c r="R147" s="54">
        <v>2.0263975155279387E-2</v>
      </c>
    </row>
    <row r="148" spans="1:18" x14ac:dyDescent="0.15">
      <c r="A148" s="31">
        <v>147</v>
      </c>
      <c r="B148" s="30">
        <v>113048</v>
      </c>
      <c r="C148" s="30" t="s">
        <v>1897</v>
      </c>
      <c r="D148" s="30">
        <v>128.57</v>
      </c>
      <c r="E148" s="30">
        <v>1.55</v>
      </c>
      <c r="F148" s="30">
        <v>5.46</v>
      </c>
      <c r="G148" s="30">
        <v>101.1</v>
      </c>
      <c r="H148" s="30">
        <v>27.17</v>
      </c>
      <c r="I148" s="51">
        <v>155.74</v>
      </c>
      <c r="J148" s="52">
        <v>46500</v>
      </c>
      <c r="K148" s="53">
        <v>4.8490000000000002</v>
      </c>
      <c r="L148" s="53">
        <v>22.965109999999999</v>
      </c>
      <c r="M148" s="53">
        <v>13154.591</v>
      </c>
      <c r="N148" s="54">
        <v>4.4552202181784968E-2</v>
      </c>
      <c r="O148" s="53">
        <v>-1.9925999999999999</v>
      </c>
      <c r="P148" s="30">
        <v>129.99</v>
      </c>
      <c r="Q148" s="30">
        <v>125.96</v>
      </c>
      <c r="R148" s="54">
        <v>3.1994283899650804E-2</v>
      </c>
    </row>
    <row r="149" spans="1:18" x14ac:dyDescent="0.15">
      <c r="A149" s="31">
        <v>148</v>
      </c>
      <c r="B149" s="30">
        <v>128100</v>
      </c>
      <c r="C149" s="30" t="s">
        <v>48</v>
      </c>
      <c r="D149" s="30">
        <v>97.472999999999999</v>
      </c>
      <c r="E149" s="30">
        <v>-0.03</v>
      </c>
      <c r="F149" s="30">
        <v>1.62</v>
      </c>
      <c r="G149" s="30">
        <v>76.540000000000006</v>
      </c>
      <c r="H149" s="30">
        <v>27.35</v>
      </c>
      <c r="I149" s="51">
        <v>124.82300000000001</v>
      </c>
      <c r="J149" s="52">
        <v>46093</v>
      </c>
      <c r="K149" s="53">
        <v>3.734</v>
      </c>
      <c r="L149" s="53">
        <v>7.9819829999999996</v>
      </c>
      <c r="M149" s="53">
        <v>2380.134826</v>
      </c>
      <c r="N149" s="54">
        <v>3.0591898353875296E-2</v>
      </c>
      <c r="O149" s="53">
        <v>4.9344999999999999</v>
      </c>
      <c r="P149" s="30">
        <v>97.697999999999993</v>
      </c>
      <c r="Q149" s="30">
        <v>97.3</v>
      </c>
      <c r="R149" s="54">
        <v>4.090441932168511E-3</v>
      </c>
    </row>
    <row r="150" spans="1:18" x14ac:dyDescent="0.15">
      <c r="A150" s="31">
        <v>149</v>
      </c>
      <c r="B150" s="30">
        <v>123120</v>
      </c>
      <c r="C150" s="30" t="s">
        <v>239</v>
      </c>
      <c r="D150" s="30">
        <v>131.81200000000001</v>
      </c>
      <c r="E150" s="30">
        <v>4.2</v>
      </c>
      <c r="F150" s="30">
        <v>7.73</v>
      </c>
      <c r="G150" s="30">
        <v>103.49</v>
      </c>
      <c r="H150" s="30">
        <v>27.37</v>
      </c>
      <c r="I150" s="51">
        <v>159.18200000000002</v>
      </c>
      <c r="J150" s="52">
        <v>46598</v>
      </c>
      <c r="K150" s="53">
        <v>5.1180000000000003</v>
      </c>
      <c r="L150" s="53">
        <v>7.9851729999999996</v>
      </c>
      <c r="M150" s="53">
        <v>18411.715923899999</v>
      </c>
      <c r="N150" s="54">
        <v>0.1749262500716659</v>
      </c>
      <c r="O150" s="53">
        <v>-1.6768000000000001</v>
      </c>
      <c r="P150" s="30">
        <v>132.9</v>
      </c>
      <c r="Q150" s="30">
        <v>126.01</v>
      </c>
      <c r="R150" s="54">
        <v>5.4678200142845808E-2</v>
      </c>
    </row>
    <row r="151" spans="1:18" x14ac:dyDescent="0.15">
      <c r="A151" s="31">
        <v>150</v>
      </c>
      <c r="B151" s="30">
        <v>113016</v>
      </c>
      <c r="C151" s="30" t="s">
        <v>1890</v>
      </c>
      <c r="D151" s="30">
        <v>559.84</v>
      </c>
      <c r="E151" s="30">
        <v>-0.01</v>
      </c>
      <c r="F151" s="30">
        <v>16.96</v>
      </c>
      <c r="G151" s="30">
        <v>438.68</v>
      </c>
      <c r="H151" s="30">
        <v>27.62</v>
      </c>
      <c r="I151" s="51">
        <v>587.46</v>
      </c>
      <c r="J151" s="52">
        <v>45236</v>
      </c>
      <c r="K151" s="53">
        <v>1.3859999999999999</v>
      </c>
      <c r="L151" s="53">
        <v>2.06542</v>
      </c>
      <c r="M151" s="53">
        <v>1319737.8044</v>
      </c>
      <c r="N151" s="54">
        <v>11.413408308069844</v>
      </c>
      <c r="O151" s="53">
        <v>-69.711699999999993</v>
      </c>
      <c r="P151" s="30">
        <v>596.02</v>
      </c>
      <c r="Q151" s="30">
        <v>544</v>
      </c>
      <c r="R151" s="54">
        <v>9.562499999999996E-2</v>
      </c>
    </row>
    <row r="152" spans="1:18" x14ac:dyDescent="0.15">
      <c r="A152" s="31">
        <v>151</v>
      </c>
      <c r="B152" s="30">
        <v>128042</v>
      </c>
      <c r="C152" s="30" t="s">
        <v>207</v>
      </c>
      <c r="D152" s="30">
        <v>121.104</v>
      </c>
      <c r="E152" s="30">
        <v>1.77</v>
      </c>
      <c r="F152" s="30">
        <v>10.08</v>
      </c>
      <c r="G152" s="30">
        <v>94.84</v>
      </c>
      <c r="H152" s="30">
        <v>27.69</v>
      </c>
      <c r="I152" s="51">
        <v>148.79400000000001</v>
      </c>
      <c r="J152" s="52">
        <v>45503</v>
      </c>
      <c r="K152" s="53">
        <v>2.1179999999999999</v>
      </c>
      <c r="L152" s="53">
        <v>4.1551119999999999</v>
      </c>
      <c r="M152" s="53">
        <v>15010.254563600001</v>
      </c>
      <c r="N152" s="54">
        <v>0.29829559162721658</v>
      </c>
      <c r="O152" s="53">
        <v>-2.3338999999999999</v>
      </c>
      <c r="P152" s="30">
        <v>123.373</v>
      </c>
      <c r="Q152" s="30">
        <v>118.369</v>
      </c>
      <c r="R152" s="54">
        <v>4.2274582027388971E-2</v>
      </c>
    </row>
    <row r="153" spans="1:18" x14ac:dyDescent="0.15">
      <c r="A153" s="31">
        <v>152</v>
      </c>
      <c r="B153" s="30">
        <v>118000</v>
      </c>
      <c r="C153" s="30" t="s">
        <v>1908</v>
      </c>
      <c r="D153" s="30">
        <v>139.02000000000001</v>
      </c>
      <c r="E153" s="30">
        <v>2.6</v>
      </c>
      <c r="F153" s="30">
        <v>78.03</v>
      </c>
      <c r="G153" s="30">
        <v>108.42</v>
      </c>
      <c r="H153" s="30">
        <v>28.22</v>
      </c>
      <c r="I153" s="51">
        <v>167.24</v>
      </c>
      <c r="J153" s="52">
        <v>46441</v>
      </c>
      <c r="K153" s="53">
        <v>4.6879999999999997</v>
      </c>
      <c r="L153" s="53">
        <v>9.7853200000000005</v>
      </c>
      <c r="M153" s="53">
        <v>11890.0877</v>
      </c>
      <c r="N153" s="54">
        <v>8.7404288371668165E-2</v>
      </c>
      <c r="O153" s="53">
        <v>-3.0406</v>
      </c>
      <c r="P153" s="30">
        <v>139.53</v>
      </c>
      <c r="Q153" s="30">
        <v>134.53</v>
      </c>
      <c r="R153" s="54">
        <v>3.7166431279268566E-2</v>
      </c>
    </row>
    <row r="154" spans="1:18" x14ac:dyDescent="0.15">
      <c r="A154" s="31">
        <v>153</v>
      </c>
      <c r="B154" s="30">
        <v>110063</v>
      </c>
      <c r="C154" s="30" t="s">
        <v>1892</v>
      </c>
      <c r="D154" s="30">
        <v>114.06</v>
      </c>
      <c r="E154" s="30">
        <v>0.33</v>
      </c>
      <c r="F154" s="30">
        <v>3.15</v>
      </c>
      <c r="G154" s="30">
        <v>88.89</v>
      </c>
      <c r="H154" s="30">
        <v>28.32</v>
      </c>
      <c r="I154" s="51">
        <v>142.38</v>
      </c>
      <c r="J154" s="52">
        <v>46004</v>
      </c>
      <c r="K154" s="53">
        <v>3.49</v>
      </c>
      <c r="L154" s="53">
        <v>18.444659999999999</v>
      </c>
      <c r="M154" s="53">
        <v>1108.5730000000001</v>
      </c>
      <c r="N154" s="54">
        <v>5.269389182639631E-3</v>
      </c>
      <c r="O154" s="53">
        <v>0.34150000000000003</v>
      </c>
      <c r="P154" s="30">
        <v>114.16</v>
      </c>
      <c r="Q154" s="30">
        <v>113.58</v>
      </c>
      <c r="R154" s="54">
        <v>5.1065328402887687E-3</v>
      </c>
    </row>
    <row r="155" spans="1:18" x14ac:dyDescent="0.15">
      <c r="A155" s="31">
        <v>154</v>
      </c>
      <c r="B155" s="30">
        <v>128073</v>
      </c>
      <c r="C155" s="30" t="s">
        <v>98</v>
      </c>
      <c r="D155" s="30">
        <v>127.178</v>
      </c>
      <c r="E155" s="30">
        <v>1.72</v>
      </c>
      <c r="F155" s="30">
        <v>5.55</v>
      </c>
      <c r="G155" s="30">
        <v>99.1</v>
      </c>
      <c r="H155" s="30">
        <v>28.33</v>
      </c>
      <c r="I155" s="51">
        <v>155.50799999999998</v>
      </c>
      <c r="J155" s="52">
        <v>45526</v>
      </c>
      <c r="K155" s="53">
        <v>2.181</v>
      </c>
      <c r="L155" s="53">
        <v>2.9874689999999999</v>
      </c>
      <c r="M155" s="53">
        <v>5564.1481628000001</v>
      </c>
      <c r="N155" s="54">
        <v>0.14644794687764839</v>
      </c>
      <c r="O155" s="53">
        <v>-4.7582000000000004</v>
      </c>
      <c r="P155" s="30">
        <v>127.28</v>
      </c>
      <c r="Q155" s="30">
        <v>123.8</v>
      </c>
      <c r="R155" s="54">
        <v>2.8109854604200357E-2</v>
      </c>
    </row>
    <row r="156" spans="1:18" x14ac:dyDescent="0.15">
      <c r="A156" s="31">
        <v>155</v>
      </c>
      <c r="B156" s="30">
        <v>110070</v>
      </c>
      <c r="C156" s="30" t="s">
        <v>89</v>
      </c>
      <c r="D156" s="30">
        <v>126.29</v>
      </c>
      <c r="E156" s="30">
        <v>-0.72</v>
      </c>
      <c r="F156" s="30">
        <v>2.59</v>
      </c>
      <c r="G156" s="30">
        <v>98.07</v>
      </c>
      <c r="H156" s="30">
        <v>28.78</v>
      </c>
      <c r="I156" s="51">
        <v>155.07</v>
      </c>
      <c r="J156" s="52">
        <v>46125</v>
      </c>
      <c r="K156" s="53">
        <v>3.8220000000000001</v>
      </c>
      <c r="L156" s="53">
        <v>2.17075</v>
      </c>
      <c r="M156" s="53">
        <v>1783.4751000000001</v>
      </c>
      <c r="N156" s="54">
        <v>6.5056137874684797E-2</v>
      </c>
      <c r="O156" s="53">
        <v>-2.0821000000000001</v>
      </c>
      <c r="P156" s="30">
        <v>127.44</v>
      </c>
      <c r="Q156" s="30">
        <v>125.56</v>
      </c>
      <c r="R156" s="54">
        <v>1.4972921312519875E-2</v>
      </c>
    </row>
    <row r="157" spans="1:18" x14ac:dyDescent="0.15">
      <c r="A157" s="31">
        <v>156</v>
      </c>
      <c r="B157" s="30">
        <v>128037</v>
      </c>
      <c r="C157" s="30" t="s">
        <v>73</v>
      </c>
      <c r="D157" s="30">
        <v>114.655</v>
      </c>
      <c r="E157" s="30">
        <v>-0.34</v>
      </c>
      <c r="F157" s="30">
        <v>3.1</v>
      </c>
      <c r="G157" s="30">
        <v>89.03</v>
      </c>
      <c r="H157" s="30">
        <v>28.78</v>
      </c>
      <c r="I157" s="51">
        <v>143.435</v>
      </c>
      <c r="J157" s="52">
        <v>45366</v>
      </c>
      <c r="K157" s="53">
        <v>1.742</v>
      </c>
      <c r="L157" s="53">
        <v>6.0227560000000002</v>
      </c>
      <c r="M157" s="53">
        <v>2137.6076324999999</v>
      </c>
      <c r="N157" s="54">
        <v>3.0955635473704491E-2</v>
      </c>
      <c r="O157" s="53">
        <v>-2.4714</v>
      </c>
      <c r="P157" s="30">
        <v>115.04600000000001</v>
      </c>
      <c r="Q157" s="30">
        <v>114.155</v>
      </c>
      <c r="R157" s="54">
        <v>7.8051771713898242E-3</v>
      </c>
    </row>
    <row r="158" spans="1:18" x14ac:dyDescent="0.15">
      <c r="A158" s="31">
        <v>157</v>
      </c>
      <c r="B158" s="30">
        <v>113648</v>
      </c>
      <c r="C158" s="30" t="s">
        <v>1937</v>
      </c>
      <c r="D158" s="30">
        <v>129.72</v>
      </c>
      <c r="E158" s="30">
        <v>0.2</v>
      </c>
      <c r="F158" s="30">
        <v>25.24</v>
      </c>
      <c r="G158" s="30">
        <v>100.71</v>
      </c>
      <c r="H158" s="30">
        <v>28.81</v>
      </c>
      <c r="I158" s="51">
        <v>158.53</v>
      </c>
      <c r="J158" s="52">
        <v>46868</v>
      </c>
      <c r="K158" s="53">
        <v>5.8579999999999997</v>
      </c>
      <c r="L158" s="53">
        <v>10</v>
      </c>
      <c r="M158" s="53">
        <v>23082.998500000002</v>
      </c>
      <c r="N158" s="54">
        <v>0.1779447926302806</v>
      </c>
      <c r="O158" s="53">
        <v>-1.5657000000000001</v>
      </c>
      <c r="P158" s="30">
        <v>130.57</v>
      </c>
      <c r="Q158" s="30">
        <v>127.8</v>
      </c>
      <c r="R158" s="54">
        <v>2.1674491392801223E-2</v>
      </c>
    </row>
    <row r="159" spans="1:18" x14ac:dyDescent="0.15">
      <c r="A159" s="31">
        <v>158</v>
      </c>
      <c r="B159" s="30">
        <v>113502</v>
      </c>
      <c r="C159" s="30" t="s">
        <v>133</v>
      </c>
      <c r="D159" s="30">
        <v>140.38999999999999</v>
      </c>
      <c r="E159" s="30">
        <v>-0.17</v>
      </c>
      <c r="F159" s="30">
        <v>44.36</v>
      </c>
      <c r="G159" s="30">
        <v>108.41</v>
      </c>
      <c r="H159" s="30">
        <v>29.5</v>
      </c>
      <c r="I159" s="51">
        <v>169.89</v>
      </c>
      <c r="J159" s="52">
        <v>45240</v>
      </c>
      <c r="K159" s="53">
        <v>1.397</v>
      </c>
      <c r="L159" s="53">
        <v>1.8425100000000001</v>
      </c>
      <c r="M159" s="53">
        <v>2555.3921999999998</v>
      </c>
      <c r="N159" s="54">
        <v>9.878967056273262E-2</v>
      </c>
      <c r="O159" s="53">
        <v>-16.259899999999998</v>
      </c>
      <c r="P159" s="30">
        <v>142.47999999999999</v>
      </c>
      <c r="Q159" s="30">
        <v>139.94</v>
      </c>
      <c r="R159" s="54">
        <v>1.815063598685145E-2</v>
      </c>
    </row>
    <row r="160" spans="1:18" x14ac:dyDescent="0.15">
      <c r="A160" s="31">
        <v>159</v>
      </c>
      <c r="B160" s="30">
        <v>110047</v>
      </c>
      <c r="C160" s="30" t="s">
        <v>1898</v>
      </c>
      <c r="D160" s="30">
        <v>113.98</v>
      </c>
      <c r="E160" s="30">
        <v>0.16</v>
      </c>
      <c r="F160" s="30">
        <v>3.19</v>
      </c>
      <c r="G160" s="30">
        <v>87.77</v>
      </c>
      <c r="H160" s="30">
        <v>29.86</v>
      </c>
      <c r="I160" s="51">
        <v>143.84</v>
      </c>
      <c r="J160" s="52">
        <v>45617</v>
      </c>
      <c r="K160" s="53">
        <v>2.4300000000000002</v>
      </c>
      <c r="L160" s="53">
        <v>22.461320000000001</v>
      </c>
      <c r="M160" s="53">
        <v>1840.3616999999999</v>
      </c>
      <c r="N160" s="54">
        <v>7.1885162485161077E-3</v>
      </c>
      <c r="O160" s="53">
        <v>0.9194</v>
      </c>
      <c r="P160" s="30">
        <v>114.2</v>
      </c>
      <c r="Q160" s="30">
        <v>113.45</v>
      </c>
      <c r="R160" s="54">
        <v>6.6108417805200523E-3</v>
      </c>
    </row>
    <row r="161" spans="1:18" x14ac:dyDescent="0.15">
      <c r="A161" s="31">
        <v>160</v>
      </c>
      <c r="B161" s="30">
        <v>123087</v>
      </c>
      <c r="C161" s="30" t="s">
        <v>72</v>
      </c>
      <c r="D161" s="30">
        <v>122.5</v>
      </c>
      <c r="E161" s="30">
        <v>0.56000000000000005</v>
      </c>
      <c r="F161" s="30">
        <v>16.05</v>
      </c>
      <c r="G161" s="30">
        <v>94.21</v>
      </c>
      <c r="H161" s="30">
        <v>30.03</v>
      </c>
      <c r="I161" s="51">
        <v>152.53</v>
      </c>
      <c r="J161" s="52">
        <v>46371</v>
      </c>
      <c r="K161" s="53">
        <v>4.4960000000000004</v>
      </c>
      <c r="L161" s="53">
        <v>4.1892620000000003</v>
      </c>
      <c r="M161" s="53">
        <v>3033.356687</v>
      </c>
      <c r="N161" s="54">
        <v>5.9108490717652964E-2</v>
      </c>
      <c r="O161" s="53">
        <v>-0.317</v>
      </c>
      <c r="P161" s="30">
        <v>122.9</v>
      </c>
      <c r="Q161" s="30">
        <v>121.14100000000001</v>
      </c>
      <c r="R161" s="54">
        <v>1.4520269768286544E-2</v>
      </c>
    </row>
    <row r="162" spans="1:18" x14ac:dyDescent="0.15">
      <c r="A162" s="31">
        <v>161</v>
      </c>
      <c r="B162" s="30">
        <v>127035</v>
      </c>
      <c r="C162" s="30" t="s">
        <v>228</v>
      </c>
      <c r="D162" s="30">
        <v>116.98099999999999</v>
      </c>
      <c r="E162" s="30">
        <v>0.59</v>
      </c>
      <c r="F162" s="30">
        <v>4.43</v>
      </c>
      <c r="G162" s="30">
        <v>89.62</v>
      </c>
      <c r="H162" s="30">
        <v>30.53</v>
      </c>
      <c r="I162" s="51">
        <v>147.511</v>
      </c>
      <c r="J162" s="52">
        <v>46168</v>
      </c>
      <c r="K162" s="53">
        <v>3.94</v>
      </c>
      <c r="L162" s="53">
        <v>6.2622609999999996</v>
      </c>
      <c r="M162" s="53">
        <v>943.02610749999997</v>
      </c>
      <c r="N162" s="54">
        <v>1.2872924508913247E-2</v>
      </c>
      <c r="O162" s="53">
        <v>-0.64239999999999997</v>
      </c>
      <c r="P162" s="30">
        <v>117.3</v>
      </c>
      <c r="Q162" s="30">
        <v>116.06</v>
      </c>
      <c r="R162" s="54">
        <v>1.0684128898845381E-2</v>
      </c>
    </row>
    <row r="163" spans="1:18" x14ac:dyDescent="0.15">
      <c r="A163" s="31">
        <v>162</v>
      </c>
      <c r="B163" s="30">
        <v>123137</v>
      </c>
      <c r="C163" s="30" t="s">
        <v>786</v>
      </c>
      <c r="D163" s="30">
        <v>130.29900000000001</v>
      </c>
      <c r="E163" s="30">
        <v>0.97</v>
      </c>
      <c r="F163" s="30">
        <v>151.35</v>
      </c>
      <c r="G163" s="30">
        <v>99.79</v>
      </c>
      <c r="H163" s="30">
        <v>30.57</v>
      </c>
      <c r="I163" s="51">
        <v>160.869</v>
      </c>
      <c r="J163" s="52">
        <v>46793</v>
      </c>
      <c r="K163" s="53">
        <v>5.6520000000000001</v>
      </c>
      <c r="L163" s="53">
        <v>8.9700000000000006</v>
      </c>
      <c r="M163" s="53">
        <v>4936.2751340000004</v>
      </c>
      <c r="N163" s="54">
        <v>4.2234351720825139E-2</v>
      </c>
      <c r="O163" s="53">
        <v>-1.7365999999999999</v>
      </c>
      <c r="P163" s="30">
        <v>131.28</v>
      </c>
      <c r="Q163" s="30">
        <v>128.19999999999999</v>
      </c>
      <c r="R163" s="54">
        <v>2.4024960998440037E-2</v>
      </c>
    </row>
    <row r="164" spans="1:18" x14ac:dyDescent="0.15">
      <c r="A164" s="31">
        <v>163</v>
      </c>
      <c r="B164" s="30">
        <v>123145</v>
      </c>
      <c r="C164" s="30" t="s">
        <v>1918</v>
      </c>
      <c r="D164" s="30">
        <v>131.12</v>
      </c>
      <c r="E164" s="30">
        <v>-0.36</v>
      </c>
      <c r="F164" s="30">
        <v>92.88</v>
      </c>
      <c r="G164" s="30">
        <v>100.34</v>
      </c>
      <c r="H164" s="30">
        <v>30.68</v>
      </c>
      <c r="I164" s="51">
        <v>161.80000000000001</v>
      </c>
      <c r="J164" s="52">
        <v>46863</v>
      </c>
      <c r="K164" s="53">
        <v>5.8440000000000003</v>
      </c>
      <c r="L164" s="53">
        <v>11.5</v>
      </c>
      <c r="M164" s="53">
        <v>13837.691466299999</v>
      </c>
      <c r="N164" s="54">
        <v>9.1769182337453903E-2</v>
      </c>
      <c r="O164" s="53">
        <v>-2.2403</v>
      </c>
      <c r="P164" s="30">
        <v>132.15</v>
      </c>
      <c r="Q164" s="30">
        <v>129.69999999999999</v>
      </c>
      <c r="R164" s="54">
        <v>1.8889745566692501E-2</v>
      </c>
    </row>
    <row r="165" spans="1:18" x14ac:dyDescent="0.15">
      <c r="A165" s="31">
        <v>164</v>
      </c>
      <c r="B165" s="30">
        <v>128134</v>
      </c>
      <c r="C165" s="30" t="s">
        <v>1901</v>
      </c>
      <c r="D165" s="30">
        <v>125.51</v>
      </c>
      <c r="E165" s="30">
        <v>-0.7</v>
      </c>
      <c r="F165" s="30">
        <v>33.22</v>
      </c>
      <c r="G165" s="30">
        <v>95.91</v>
      </c>
      <c r="H165" s="30">
        <v>30.86</v>
      </c>
      <c r="I165" s="51">
        <v>156.37</v>
      </c>
      <c r="J165" s="52">
        <v>46304</v>
      </c>
      <c r="K165" s="53">
        <v>4.3120000000000003</v>
      </c>
      <c r="L165" s="53">
        <v>15.728194999999999</v>
      </c>
      <c r="M165" s="53">
        <v>2588.3160435</v>
      </c>
      <c r="N165" s="54">
        <v>1.3111732783626109E-2</v>
      </c>
      <c r="O165" s="53">
        <v>-2.0855999999999999</v>
      </c>
      <c r="P165" s="30">
        <v>126.73</v>
      </c>
      <c r="Q165" s="30">
        <v>124.8</v>
      </c>
      <c r="R165" s="54">
        <v>1.5464743589743644E-2</v>
      </c>
    </row>
    <row r="166" spans="1:18" x14ac:dyDescent="0.15">
      <c r="A166" s="31">
        <v>165</v>
      </c>
      <c r="B166" s="30">
        <v>113532</v>
      </c>
      <c r="C166" s="30" t="s">
        <v>202</v>
      </c>
      <c r="D166" s="30">
        <v>115.98</v>
      </c>
      <c r="E166" s="30">
        <v>0.06</v>
      </c>
      <c r="F166" s="30">
        <v>7.56</v>
      </c>
      <c r="G166" s="30">
        <v>88.62</v>
      </c>
      <c r="H166" s="30">
        <v>30.87</v>
      </c>
      <c r="I166" s="51">
        <v>146.85</v>
      </c>
      <c r="J166" s="52">
        <v>45749</v>
      </c>
      <c r="K166" s="53">
        <v>2.7919999999999998</v>
      </c>
      <c r="L166" s="53">
        <v>4.5855300000000003</v>
      </c>
      <c r="M166" s="53">
        <v>2010.2097000000001</v>
      </c>
      <c r="N166" s="54">
        <v>3.7797991305899996E-2</v>
      </c>
      <c r="O166" s="53">
        <v>-1.4856</v>
      </c>
      <c r="P166" s="30">
        <v>116.6</v>
      </c>
      <c r="Q166" s="30">
        <v>115.41</v>
      </c>
      <c r="R166" s="54">
        <v>1.0311064899055521E-2</v>
      </c>
    </row>
    <row r="167" spans="1:18" x14ac:dyDescent="0.15">
      <c r="A167" s="31">
        <v>166</v>
      </c>
      <c r="B167" s="30">
        <v>127042</v>
      </c>
      <c r="C167" s="30" t="s">
        <v>93</v>
      </c>
      <c r="D167" s="30">
        <v>113.502</v>
      </c>
      <c r="E167" s="30">
        <v>0</v>
      </c>
      <c r="F167" s="30">
        <v>4.8600000000000003</v>
      </c>
      <c r="G167" s="30">
        <v>86.42</v>
      </c>
      <c r="H167" s="30">
        <v>31.34</v>
      </c>
      <c r="I167" s="51">
        <v>144.84199999999998</v>
      </c>
      <c r="J167" s="52">
        <v>46608</v>
      </c>
      <c r="K167" s="53">
        <v>5.1449999999999996</v>
      </c>
      <c r="L167" s="53">
        <v>7.4982559999999996</v>
      </c>
      <c r="M167" s="53">
        <v>1335.9055510000001</v>
      </c>
      <c r="N167" s="54">
        <v>1.5696830785035757E-2</v>
      </c>
      <c r="O167" s="53">
        <v>0.61980000000000002</v>
      </c>
      <c r="P167" s="30">
        <v>114</v>
      </c>
      <c r="Q167" s="30">
        <v>113.1</v>
      </c>
      <c r="R167" s="54">
        <v>7.9575596816976631E-3</v>
      </c>
    </row>
    <row r="168" spans="1:18" x14ac:dyDescent="0.15">
      <c r="A168" s="31">
        <v>167</v>
      </c>
      <c r="B168" s="30">
        <v>128129</v>
      </c>
      <c r="C168" s="30" t="s">
        <v>1912</v>
      </c>
      <c r="D168" s="30">
        <v>104.48</v>
      </c>
      <c r="E168" s="30">
        <v>7.0000000000000007E-2</v>
      </c>
      <c r="F168" s="30">
        <v>4.32</v>
      </c>
      <c r="G168" s="30">
        <v>79.400000000000006</v>
      </c>
      <c r="H168" s="30">
        <v>31.59</v>
      </c>
      <c r="I168" s="51">
        <v>136.07</v>
      </c>
      <c r="J168" s="52">
        <v>46259</v>
      </c>
      <c r="K168" s="53">
        <v>4.1890000000000001</v>
      </c>
      <c r="L168" s="53">
        <v>49.997466000000003</v>
      </c>
      <c r="M168" s="53">
        <v>3265.8354328</v>
      </c>
      <c r="N168" s="54">
        <v>6.251916067626981E-3</v>
      </c>
      <c r="O168" s="53">
        <v>1.7018</v>
      </c>
      <c r="P168" s="30">
        <v>104.87</v>
      </c>
      <c r="Q168" s="30">
        <v>104.07</v>
      </c>
      <c r="R168" s="54">
        <v>7.687133660036624E-3</v>
      </c>
    </row>
    <row r="169" spans="1:18" x14ac:dyDescent="0.15">
      <c r="A169" s="31">
        <v>168</v>
      </c>
      <c r="B169" s="30">
        <v>123110</v>
      </c>
      <c r="C169" s="30" t="s">
        <v>107</v>
      </c>
      <c r="D169" s="30">
        <v>131.9</v>
      </c>
      <c r="E169" s="30">
        <v>1.69</v>
      </c>
      <c r="F169" s="30">
        <v>18.7</v>
      </c>
      <c r="G169" s="30">
        <v>99.84</v>
      </c>
      <c r="H169" s="30">
        <v>32.11</v>
      </c>
      <c r="I169" s="51">
        <v>164.01</v>
      </c>
      <c r="J169" s="52">
        <v>46478</v>
      </c>
      <c r="K169" s="53">
        <v>4.7889999999999997</v>
      </c>
      <c r="L169" s="53">
        <v>2.6979679999999999</v>
      </c>
      <c r="M169" s="53">
        <v>5564.7003398000006</v>
      </c>
      <c r="N169" s="54">
        <v>0.15637243271421675</v>
      </c>
      <c r="O169" s="53">
        <v>-1.8205</v>
      </c>
      <c r="P169" s="30">
        <v>131.97999999999999</v>
      </c>
      <c r="Q169" s="30">
        <v>129.09100000000001</v>
      </c>
      <c r="R169" s="54">
        <v>2.2379561704533868E-2</v>
      </c>
    </row>
    <row r="170" spans="1:18" x14ac:dyDescent="0.15">
      <c r="A170" s="31">
        <v>169</v>
      </c>
      <c r="B170" s="30">
        <v>127021</v>
      </c>
      <c r="C170" s="30" t="s">
        <v>220</v>
      </c>
      <c r="D170" s="30">
        <v>120.95099999999999</v>
      </c>
      <c r="E170" s="30">
        <v>-0.94</v>
      </c>
      <c r="F170" s="30">
        <v>7.33</v>
      </c>
      <c r="G170" s="30">
        <v>91.54</v>
      </c>
      <c r="H170" s="30">
        <v>32.130000000000003</v>
      </c>
      <c r="I170" s="51">
        <v>153.08099999999999</v>
      </c>
      <c r="J170" s="52">
        <v>45876</v>
      </c>
      <c r="K170" s="53">
        <v>3.14</v>
      </c>
      <c r="L170" s="53">
        <v>4.1596060000000001</v>
      </c>
      <c r="M170" s="53">
        <v>386769.14455490001</v>
      </c>
      <c r="N170" s="54">
        <v>7.6875890682798085</v>
      </c>
      <c r="O170" s="53">
        <v>-2.1701999999999999</v>
      </c>
      <c r="P170" s="30">
        <v>145</v>
      </c>
      <c r="Q170" s="30">
        <v>120.95099999999999</v>
      </c>
      <c r="R170" s="54">
        <v>0.19883258509644408</v>
      </c>
    </row>
    <row r="171" spans="1:18" x14ac:dyDescent="0.15">
      <c r="A171" s="31">
        <v>170</v>
      </c>
      <c r="B171" s="30">
        <v>111001</v>
      </c>
      <c r="C171" s="30" t="s">
        <v>223</v>
      </c>
      <c r="D171" s="30">
        <v>124.04</v>
      </c>
      <c r="E171" s="30">
        <v>1</v>
      </c>
      <c r="F171" s="30">
        <v>11.5</v>
      </c>
      <c r="G171" s="30">
        <v>93.83</v>
      </c>
      <c r="H171" s="30">
        <v>32.200000000000003</v>
      </c>
      <c r="I171" s="51">
        <v>156.24</v>
      </c>
      <c r="J171" s="52">
        <v>46699</v>
      </c>
      <c r="K171" s="53">
        <v>5.3949999999999996</v>
      </c>
      <c r="L171" s="53">
        <v>5.9994699999999996</v>
      </c>
      <c r="M171" s="53">
        <v>2998.7228</v>
      </c>
      <c r="N171" s="54">
        <v>4.0295975902680609E-2</v>
      </c>
      <c r="O171" s="53">
        <v>-1.7271000000000001</v>
      </c>
      <c r="P171" s="30">
        <v>125.33</v>
      </c>
      <c r="Q171" s="30">
        <v>122.61</v>
      </c>
      <c r="R171" s="54">
        <v>2.2184161161406077E-2</v>
      </c>
    </row>
    <row r="172" spans="1:18" x14ac:dyDescent="0.15">
      <c r="A172" s="31">
        <v>171</v>
      </c>
      <c r="B172" s="30">
        <v>127050</v>
      </c>
      <c r="C172" s="30" t="s">
        <v>1940</v>
      </c>
      <c r="D172" s="30">
        <v>128.76599999999999</v>
      </c>
      <c r="E172" s="30">
        <v>1.04</v>
      </c>
      <c r="F172" s="30">
        <v>34.68</v>
      </c>
      <c r="G172" s="30">
        <v>97.32</v>
      </c>
      <c r="H172" s="30">
        <v>32.31</v>
      </c>
      <c r="I172" s="51">
        <v>161.07599999999999</v>
      </c>
      <c r="J172" s="52">
        <v>46702</v>
      </c>
      <c r="K172" s="53">
        <v>5.4029999999999996</v>
      </c>
      <c r="L172" s="53">
        <v>21.989139000000002</v>
      </c>
      <c r="M172" s="53">
        <v>9674.5332536000005</v>
      </c>
      <c r="N172" s="54">
        <v>3.4168081332259424E-2</v>
      </c>
      <c r="O172" s="53">
        <v>-2.0907</v>
      </c>
      <c r="P172" s="30">
        <v>130.88</v>
      </c>
      <c r="Q172" s="30">
        <v>126.604</v>
      </c>
      <c r="R172" s="54">
        <v>3.3774604277905879E-2</v>
      </c>
    </row>
    <row r="173" spans="1:18" x14ac:dyDescent="0.15">
      <c r="A173" s="31">
        <v>172</v>
      </c>
      <c r="B173" s="30">
        <v>128144</v>
      </c>
      <c r="C173" s="30" t="s">
        <v>227</v>
      </c>
      <c r="D173" s="30">
        <v>121.36</v>
      </c>
      <c r="E173" s="30">
        <v>0.75</v>
      </c>
      <c r="F173" s="30">
        <v>11.2</v>
      </c>
      <c r="G173" s="30">
        <v>91.52</v>
      </c>
      <c r="H173" s="30">
        <v>32.6</v>
      </c>
      <c r="I173" s="51">
        <v>153.96</v>
      </c>
      <c r="J173" s="52">
        <v>46447</v>
      </c>
      <c r="K173" s="53">
        <v>4.7039999999999997</v>
      </c>
      <c r="L173" s="53">
        <v>9.7941780000000005</v>
      </c>
      <c r="M173" s="53">
        <v>2226.0484096999999</v>
      </c>
      <c r="N173" s="54">
        <v>1.8727984629021827E-2</v>
      </c>
      <c r="O173" s="53">
        <v>-1.377</v>
      </c>
      <c r="P173" s="30">
        <v>121.4</v>
      </c>
      <c r="Q173" s="30">
        <v>120.169</v>
      </c>
      <c r="R173" s="54">
        <v>1.0243906498348233E-2</v>
      </c>
    </row>
    <row r="174" spans="1:18" x14ac:dyDescent="0.15">
      <c r="A174" s="31">
        <v>173</v>
      </c>
      <c r="B174" s="30">
        <v>128135</v>
      </c>
      <c r="C174" s="30" t="s">
        <v>1907</v>
      </c>
      <c r="D174" s="30">
        <v>125</v>
      </c>
      <c r="E174" s="30">
        <v>-0.4</v>
      </c>
      <c r="F174" s="30">
        <v>60.03</v>
      </c>
      <c r="G174" s="30">
        <v>94.22</v>
      </c>
      <c r="H174" s="30">
        <v>32.67</v>
      </c>
      <c r="I174" s="51">
        <v>157.67000000000002</v>
      </c>
      <c r="J174" s="52">
        <v>46315</v>
      </c>
      <c r="K174" s="53">
        <v>4.3419999999999996</v>
      </c>
      <c r="L174" s="53">
        <v>13.398632999999998</v>
      </c>
      <c r="M174" s="53">
        <v>2463.0553032000003</v>
      </c>
      <c r="N174" s="54">
        <v>1.4706308043216054E-2</v>
      </c>
      <c r="O174" s="53">
        <v>-0.9728</v>
      </c>
      <c r="P174" s="30">
        <v>125.55</v>
      </c>
      <c r="Q174" s="30">
        <v>124.203</v>
      </c>
      <c r="R174" s="54">
        <v>1.0845148667906526E-2</v>
      </c>
    </row>
    <row r="175" spans="1:18" x14ac:dyDescent="0.15">
      <c r="A175" s="31">
        <v>174</v>
      </c>
      <c r="B175" s="30">
        <v>123130</v>
      </c>
      <c r="C175" s="30" t="s">
        <v>71</v>
      </c>
      <c r="D175" s="30">
        <v>149</v>
      </c>
      <c r="E175" s="30">
        <v>-0.84</v>
      </c>
      <c r="F175" s="30">
        <v>9.24</v>
      </c>
      <c r="G175" s="30">
        <v>112.12</v>
      </c>
      <c r="H175" s="30">
        <v>32.89</v>
      </c>
      <c r="I175" s="51">
        <v>181.89</v>
      </c>
      <c r="J175" s="52">
        <v>46702</v>
      </c>
      <c r="K175" s="53">
        <v>5.4029999999999996</v>
      </c>
      <c r="L175" s="53">
        <v>3.7562310000000001</v>
      </c>
      <c r="M175" s="53">
        <v>9997.2210845999998</v>
      </c>
      <c r="N175" s="54">
        <v>0.17862438045158929</v>
      </c>
      <c r="O175" s="53">
        <v>-4.4318</v>
      </c>
      <c r="P175" s="30">
        <v>150.96</v>
      </c>
      <c r="Q175" s="30">
        <v>148.405</v>
      </c>
      <c r="R175" s="54">
        <v>1.7216401064654201E-2</v>
      </c>
    </row>
    <row r="176" spans="1:18" x14ac:dyDescent="0.15">
      <c r="A176" s="31">
        <v>175</v>
      </c>
      <c r="B176" s="30">
        <v>127032</v>
      </c>
      <c r="C176" s="30" t="s">
        <v>1900</v>
      </c>
      <c r="D176" s="30">
        <v>114.288</v>
      </c>
      <c r="E176" s="30">
        <v>0.24</v>
      </c>
      <c r="F176" s="30">
        <v>7.11</v>
      </c>
      <c r="G176" s="30">
        <v>85.94</v>
      </c>
      <c r="H176" s="30">
        <v>32.99</v>
      </c>
      <c r="I176" s="51">
        <v>147.27799999999999</v>
      </c>
      <c r="J176" s="52">
        <v>46489</v>
      </c>
      <c r="K176" s="53">
        <v>4.819</v>
      </c>
      <c r="L176" s="53">
        <v>49.995682000000002</v>
      </c>
      <c r="M176" s="53">
        <v>2695.1577548</v>
      </c>
      <c r="N176" s="54">
        <v>4.7168390884888365E-3</v>
      </c>
      <c r="O176" s="53">
        <v>0.1128</v>
      </c>
      <c r="P176" s="30">
        <v>114.735</v>
      </c>
      <c r="Q176" s="30">
        <v>113</v>
      </c>
      <c r="R176" s="54">
        <v>1.5353982300884951E-2</v>
      </c>
    </row>
    <row r="177" spans="1:18" x14ac:dyDescent="0.15">
      <c r="A177" s="31">
        <v>176</v>
      </c>
      <c r="B177" s="30">
        <v>128044</v>
      </c>
      <c r="C177" s="30" t="s">
        <v>131</v>
      </c>
      <c r="D177" s="30">
        <v>115.26</v>
      </c>
      <c r="E177" s="30">
        <v>-0.38</v>
      </c>
      <c r="F177" s="30">
        <v>3.43</v>
      </c>
      <c r="G177" s="30">
        <v>86.59</v>
      </c>
      <c r="H177" s="30">
        <v>33.11</v>
      </c>
      <c r="I177" s="51">
        <v>148.37</v>
      </c>
      <c r="J177" s="52">
        <v>45518</v>
      </c>
      <c r="K177" s="53">
        <v>2.1589999999999998</v>
      </c>
      <c r="L177" s="53">
        <v>6.5742089999999997</v>
      </c>
      <c r="M177" s="53">
        <v>6223.7862780000005</v>
      </c>
      <c r="N177" s="54">
        <v>8.2135810861191788E-2</v>
      </c>
      <c r="O177" s="53">
        <v>-2.0547</v>
      </c>
      <c r="P177" s="30">
        <v>115.9</v>
      </c>
      <c r="Q177" s="30">
        <v>114.5</v>
      </c>
      <c r="R177" s="54">
        <v>1.2227074235807911E-2</v>
      </c>
    </row>
    <row r="178" spans="1:18" x14ac:dyDescent="0.15">
      <c r="A178" s="31">
        <v>177</v>
      </c>
      <c r="B178" s="30">
        <v>118005</v>
      </c>
      <c r="C178" s="30" t="s">
        <v>787</v>
      </c>
      <c r="D178" s="30">
        <v>132.54</v>
      </c>
      <c r="E178" s="30">
        <v>1.53</v>
      </c>
      <c r="F178" s="30">
        <v>153.66999999999999</v>
      </c>
      <c r="G178" s="30">
        <v>99.5</v>
      </c>
      <c r="H178" s="30">
        <v>33.21</v>
      </c>
      <c r="I178" s="51">
        <v>165.75</v>
      </c>
      <c r="J178" s="52">
        <v>46779</v>
      </c>
      <c r="K178" s="53">
        <v>5.6139999999999999</v>
      </c>
      <c r="L178" s="53">
        <v>8.3000000000000007</v>
      </c>
      <c r="M178" s="53">
        <v>4126.2222000000002</v>
      </c>
      <c r="N178" s="54">
        <v>3.7508314834712328E-2</v>
      </c>
      <c r="O178" s="53">
        <v>-2.5226999999999999</v>
      </c>
      <c r="P178" s="30">
        <v>133.97</v>
      </c>
      <c r="Q178" s="30">
        <v>129.74</v>
      </c>
      <c r="R178" s="54">
        <v>3.2603668876213888E-2</v>
      </c>
    </row>
    <row r="179" spans="1:18" x14ac:dyDescent="0.15">
      <c r="A179" s="31">
        <v>178</v>
      </c>
      <c r="B179" s="30">
        <v>113549</v>
      </c>
      <c r="C179" s="30" t="s">
        <v>100</v>
      </c>
      <c r="D179" s="30">
        <v>117.78</v>
      </c>
      <c r="E179" s="30">
        <v>1.31</v>
      </c>
      <c r="F179" s="30">
        <v>9.06</v>
      </c>
      <c r="G179" s="30">
        <v>88.19</v>
      </c>
      <c r="H179" s="30">
        <v>33.549999999999997</v>
      </c>
      <c r="I179" s="51">
        <v>151.32999999999998</v>
      </c>
      <c r="J179" s="52">
        <v>45976</v>
      </c>
      <c r="K179" s="53">
        <v>3.4140000000000001</v>
      </c>
      <c r="L179" s="53">
        <v>8.0473300000000005</v>
      </c>
      <c r="M179" s="53">
        <v>5697.0419000000002</v>
      </c>
      <c r="N179" s="54">
        <v>6.0107138425361091E-2</v>
      </c>
      <c r="O179" s="53">
        <v>-0.89159999999999995</v>
      </c>
      <c r="P179" s="30">
        <v>118.65</v>
      </c>
      <c r="Q179" s="30">
        <v>116</v>
      </c>
      <c r="R179" s="54">
        <v>2.2844827586206946E-2</v>
      </c>
    </row>
    <row r="180" spans="1:18" x14ac:dyDescent="0.15">
      <c r="A180" s="31">
        <v>179</v>
      </c>
      <c r="B180" s="30">
        <v>123052</v>
      </c>
      <c r="C180" s="30" t="s">
        <v>1888</v>
      </c>
      <c r="D180" s="30">
        <v>149.298</v>
      </c>
      <c r="E180" s="30">
        <v>-0.06</v>
      </c>
      <c r="F180" s="30">
        <v>7.05</v>
      </c>
      <c r="G180" s="30">
        <v>111.77</v>
      </c>
      <c r="H180" s="30">
        <v>33.58</v>
      </c>
      <c r="I180" s="51">
        <v>182.87799999999999</v>
      </c>
      <c r="J180" s="52">
        <v>46178</v>
      </c>
      <c r="K180" s="53">
        <v>3.9670000000000001</v>
      </c>
      <c r="L180" s="53">
        <v>1.503663</v>
      </c>
      <c r="M180" s="53">
        <v>14205.590971000001</v>
      </c>
      <c r="N180" s="54">
        <v>0.63278299886103162</v>
      </c>
      <c r="O180" s="53">
        <v>-4.2716000000000003</v>
      </c>
      <c r="P180" s="30">
        <v>150.03</v>
      </c>
      <c r="Q180" s="30">
        <v>146.6</v>
      </c>
      <c r="R180" s="54">
        <v>2.3396998635743568E-2</v>
      </c>
    </row>
    <row r="181" spans="1:18" x14ac:dyDescent="0.15">
      <c r="A181" s="31">
        <v>180</v>
      </c>
      <c r="B181" s="30">
        <v>113047</v>
      </c>
      <c r="C181" s="30" t="s">
        <v>1910</v>
      </c>
      <c r="D181" s="30">
        <v>131.36000000000001</v>
      </c>
      <c r="E181" s="30">
        <v>-0.11</v>
      </c>
      <c r="F181" s="30">
        <v>12</v>
      </c>
      <c r="G181" s="30">
        <v>98.33</v>
      </c>
      <c r="H181" s="30">
        <v>33.590000000000003</v>
      </c>
      <c r="I181" s="51">
        <v>164.95000000000002</v>
      </c>
      <c r="J181" s="52">
        <v>46486</v>
      </c>
      <c r="K181" s="53">
        <v>4.8109999999999999</v>
      </c>
      <c r="L181" s="53">
        <v>14.98789</v>
      </c>
      <c r="M181" s="53">
        <v>14011.4359</v>
      </c>
      <c r="N181" s="54">
        <v>7.1167057141200599E-2</v>
      </c>
      <c r="O181" s="53">
        <v>-2.9742000000000002</v>
      </c>
      <c r="P181" s="30">
        <v>133.80000000000001</v>
      </c>
      <c r="Q181" s="30">
        <v>130.13</v>
      </c>
      <c r="R181" s="54">
        <v>2.8202566664105248E-2</v>
      </c>
    </row>
    <row r="182" spans="1:18" x14ac:dyDescent="0.15">
      <c r="A182" s="31">
        <v>181</v>
      </c>
      <c r="B182" s="30">
        <v>123084</v>
      </c>
      <c r="C182" s="30" t="s">
        <v>113</v>
      </c>
      <c r="D182" s="30">
        <v>173.49600000000001</v>
      </c>
      <c r="E182" s="30">
        <v>18.59</v>
      </c>
      <c r="F182" s="30">
        <v>9.01</v>
      </c>
      <c r="G182" s="30">
        <v>129.74</v>
      </c>
      <c r="H182" s="30">
        <v>33.729999999999997</v>
      </c>
      <c r="I182" s="51">
        <v>207.226</v>
      </c>
      <c r="J182" s="52">
        <v>46366</v>
      </c>
      <c r="K182" s="53">
        <v>4.4820000000000002</v>
      </c>
      <c r="L182" s="53">
        <v>2.5422899999999999</v>
      </c>
      <c r="M182" s="53">
        <v>948352.03436499997</v>
      </c>
      <c r="N182" s="54">
        <v>21.500820056294938</v>
      </c>
      <c r="O182" s="53">
        <v>-7.8144</v>
      </c>
      <c r="P182" s="30">
        <v>183.88</v>
      </c>
      <c r="Q182" s="30">
        <v>147.626</v>
      </c>
      <c r="R182" s="54">
        <v>0.24558004687521162</v>
      </c>
    </row>
    <row r="183" spans="1:18" x14ac:dyDescent="0.15">
      <c r="A183" s="31">
        <v>182</v>
      </c>
      <c r="B183" s="30">
        <v>113579</v>
      </c>
      <c r="C183" s="30" t="s">
        <v>108</v>
      </c>
      <c r="D183" s="30">
        <v>127.04</v>
      </c>
      <c r="E183" s="30">
        <v>1.5</v>
      </c>
      <c r="F183" s="30">
        <v>32.19</v>
      </c>
      <c r="G183" s="30">
        <v>94.94</v>
      </c>
      <c r="H183" s="30">
        <v>33.81</v>
      </c>
      <c r="I183" s="51">
        <v>160.85000000000002</v>
      </c>
      <c r="J183" s="52">
        <v>46135</v>
      </c>
      <c r="K183" s="53">
        <v>3.8490000000000002</v>
      </c>
      <c r="L183" s="53">
        <v>5.0250199999999996</v>
      </c>
      <c r="M183" s="53">
        <v>2418.2323999999999</v>
      </c>
      <c r="N183" s="54">
        <v>3.7880853528840928E-2</v>
      </c>
      <c r="O183" s="53">
        <v>-2.9786000000000001</v>
      </c>
      <c r="P183" s="30">
        <v>127.5</v>
      </c>
      <c r="Q183" s="30">
        <v>123.55</v>
      </c>
      <c r="R183" s="54">
        <v>3.1970861999190636E-2</v>
      </c>
    </row>
    <row r="184" spans="1:18" x14ac:dyDescent="0.15">
      <c r="A184" s="31">
        <v>183</v>
      </c>
      <c r="B184" s="30">
        <v>123022</v>
      </c>
      <c r="C184" s="30" t="s">
        <v>1915</v>
      </c>
      <c r="D184" s="30">
        <v>159.06299999999999</v>
      </c>
      <c r="E184" s="30">
        <v>-0.59</v>
      </c>
      <c r="F184" s="30">
        <v>6</v>
      </c>
      <c r="G184" s="30">
        <v>118.67</v>
      </c>
      <c r="H184" s="30">
        <v>34.04</v>
      </c>
      <c r="I184" s="51">
        <v>193.10299999999998</v>
      </c>
      <c r="J184" s="52">
        <v>45734</v>
      </c>
      <c r="K184" s="53">
        <v>2.7509999999999999</v>
      </c>
      <c r="L184" s="53">
        <v>2.5627759999999995</v>
      </c>
      <c r="M184" s="53">
        <v>15842.8511469</v>
      </c>
      <c r="N184" s="54">
        <v>0.38864539335751302</v>
      </c>
      <c r="O184" s="53">
        <v>-11.7469</v>
      </c>
      <c r="P184" s="30">
        <v>161.709</v>
      </c>
      <c r="Q184" s="30">
        <v>158.19999999999999</v>
      </c>
      <c r="R184" s="54">
        <v>2.2180783817952052E-2</v>
      </c>
    </row>
    <row r="185" spans="1:18" x14ac:dyDescent="0.15">
      <c r="A185" s="31">
        <v>184</v>
      </c>
      <c r="B185" s="30">
        <v>110056</v>
      </c>
      <c r="C185" s="30" t="s">
        <v>1932</v>
      </c>
      <c r="D185" s="30">
        <v>127</v>
      </c>
      <c r="E185" s="30">
        <v>2.56</v>
      </c>
      <c r="F185" s="30">
        <v>14.95</v>
      </c>
      <c r="G185" s="30">
        <v>94.52</v>
      </c>
      <c r="H185" s="30">
        <v>34.36</v>
      </c>
      <c r="I185" s="51">
        <v>161.36000000000001</v>
      </c>
      <c r="J185" s="52">
        <v>45735</v>
      </c>
      <c r="K185" s="53">
        <v>2.7530000000000001</v>
      </c>
      <c r="L185" s="53">
        <v>17.100950000000001</v>
      </c>
      <c r="M185" s="53">
        <v>15765.6875</v>
      </c>
      <c r="N185" s="54">
        <v>7.2592032403780662E-2</v>
      </c>
      <c r="O185" s="53">
        <v>-4.117</v>
      </c>
      <c r="P185" s="30">
        <v>128.5</v>
      </c>
      <c r="Q185" s="30">
        <v>123</v>
      </c>
      <c r="R185" s="54">
        <v>4.4715447154471545E-2</v>
      </c>
    </row>
    <row r="186" spans="1:18" x14ac:dyDescent="0.15">
      <c r="A186" s="31">
        <v>185</v>
      </c>
      <c r="B186" s="30">
        <v>118003</v>
      </c>
      <c r="C186" s="30" t="s">
        <v>253</v>
      </c>
      <c r="D186" s="30">
        <v>126.06</v>
      </c>
      <c r="E186" s="30">
        <v>1.49</v>
      </c>
      <c r="F186" s="30">
        <v>31</v>
      </c>
      <c r="G186" s="30">
        <v>93.58</v>
      </c>
      <c r="H186" s="30">
        <v>34.71</v>
      </c>
      <c r="I186" s="51">
        <v>160.77000000000001</v>
      </c>
      <c r="J186" s="52">
        <v>46720</v>
      </c>
      <c r="K186" s="53">
        <v>5.452</v>
      </c>
      <c r="L186" s="53">
        <v>7.9993499999999997</v>
      </c>
      <c r="M186" s="53">
        <v>5584.2181</v>
      </c>
      <c r="N186" s="54">
        <v>5.537712056350335E-2</v>
      </c>
      <c r="O186" s="53">
        <v>-1.6830000000000001</v>
      </c>
      <c r="P186" s="30">
        <v>126.49</v>
      </c>
      <c r="Q186" s="30">
        <v>123.71</v>
      </c>
      <c r="R186" s="54">
        <v>2.247191011235956E-2</v>
      </c>
    </row>
    <row r="187" spans="1:18" x14ac:dyDescent="0.15">
      <c r="A187" s="31">
        <v>186</v>
      </c>
      <c r="B187" s="30">
        <v>113030</v>
      </c>
      <c r="C187" s="30" t="s">
        <v>96</v>
      </c>
      <c r="D187" s="30">
        <v>125.79</v>
      </c>
      <c r="E187" s="30">
        <v>-0.57999999999999996</v>
      </c>
      <c r="F187" s="30">
        <v>4.96</v>
      </c>
      <c r="G187" s="30">
        <v>93.35</v>
      </c>
      <c r="H187" s="30">
        <v>34.75</v>
      </c>
      <c r="I187" s="51">
        <v>160.54000000000002</v>
      </c>
      <c r="J187" s="52">
        <v>46015</v>
      </c>
      <c r="K187" s="53">
        <v>3.5209999999999999</v>
      </c>
      <c r="L187" s="53">
        <v>2.9510800000000001</v>
      </c>
      <c r="M187" s="53">
        <v>6941.4072999999999</v>
      </c>
      <c r="N187" s="54">
        <v>0.18699088119806462</v>
      </c>
      <c r="O187" s="53">
        <v>-2.2429999999999999</v>
      </c>
      <c r="P187" s="30">
        <v>128</v>
      </c>
      <c r="Q187" s="30">
        <v>124.81</v>
      </c>
      <c r="R187" s="54">
        <v>2.5558849451165752E-2</v>
      </c>
    </row>
    <row r="188" spans="1:18" x14ac:dyDescent="0.15">
      <c r="A188" s="31">
        <v>187</v>
      </c>
      <c r="B188" s="30">
        <v>113024</v>
      </c>
      <c r="C188" s="30" t="s">
        <v>1906</v>
      </c>
      <c r="D188" s="30">
        <v>118.83</v>
      </c>
      <c r="E188" s="30">
        <v>0.31</v>
      </c>
      <c r="F188" s="30">
        <v>9.6999999999999993</v>
      </c>
      <c r="G188" s="30">
        <v>88.14</v>
      </c>
      <c r="H188" s="30">
        <v>34.82</v>
      </c>
      <c r="I188" s="51">
        <v>153.65</v>
      </c>
      <c r="J188" s="52">
        <v>45755</v>
      </c>
      <c r="K188" s="53">
        <v>2.8079999999999998</v>
      </c>
      <c r="L188" s="53">
        <v>29.953800000000001</v>
      </c>
      <c r="M188" s="53">
        <v>737.44179999999994</v>
      </c>
      <c r="N188" s="54">
        <v>2.0718090605247241E-3</v>
      </c>
      <c r="O188" s="53">
        <v>-3.2968999999999999</v>
      </c>
      <c r="P188" s="30">
        <v>119.17</v>
      </c>
      <c r="Q188" s="30">
        <v>118.14</v>
      </c>
      <c r="R188" s="54">
        <v>8.7184696123243713E-3</v>
      </c>
    </row>
    <row r="189" spans="1:18" x14ac:dyDescent="0.15">
      <c r="A189" s="31">
        <v>188</v>
      </c>
      <c r="B189" s="30">
        <v>113647</v>
      </c>
      <c r="C189" s="30" t="s">
        <v>1911</v>
      </c>
      <c r="D189" s="30">
        <v>122.11</v>
      </c>
      <c r="E189" s="30">
        <v>2.78</v>
      </c>
      <c r="F189" s="30">
        <v>10.220000000000001</v>
      </c>
      <c r="G189" s="30">
        <v>90.31</v>
      </c>
      <c r="H189" s="30">
        <v>35.21</v>
      </c>
      <c r="I189" s="51">
        <v>157.32</v>
      </c>
      <c r="J189" s="52">
        <v>46865</v>
      </c>
      <c r="K189" s="53">
        <v>5.8490000000000002</v>
      </c>
      <c r="L189" s="53">
        <v>15</v>
      </c>
      <c r="M189" s="53">
        <v>10751.2721</v>
      </c>
      <c r="N189" s="54">
        <v>5.8697197062757625E-2</v>
      </c>
      <c r="O189" s="53">
        <v>-0.72509999999999997</v>
      </c>
      <c r="P189" s="30">
        <v>123.5</v>
      </c>
      <c r="Q189" s="30">
        <v>117.63</v>
      </c>
      <c r="R189" s="54">
        <v>4.9902235824194549E-2</v>
      </c>
    </row>
    <row r="190" spans="1:18" x14ac:dyDescent="0.15">
      <c r="A190" s="31">
        <v>189</v>
      </c>
      <c r="B190" s="30">
        <v>110052</v>
      </c>
      <c r="C190" s="30" t="s">
        <v>1889</v>
      </c>
      <c r="D190" s="30">
        <v>115.3</v>
      </c>
      <c r="E190" s="30">
        <v>-0.18</v>
      </c>
      <c r="F190" s="30">
        <v>7.94</v>
      </c>
      <c r="G190" s="30">
        <v>85.26</v>
      </c>
      <c r="H190" s="30">
        <v>35.229999999999997</v>
      </c>
      <c r="I190" s="51">
        <v>150.53</v>
      </c>
      <c r="J190" s="52">
        <v>45721</v>
      </c>
      <c r="K190" s="53">
        <v>2.7149999999999999</v>
      </c>
      <c r="L190" s="53">
        <v>14.217930000000001</v>
      </c>
      <c r="M190" s="53">
        <v>5101.0451999999996</v>
      </c>
      <c r="N190" s="54">
        <v>3.1116697134010871E-2</v>
      </c>
      <c r="O190" s="53">
        <v>0.45279999999999998</v>
      </c>
      <c r="P190" s="30">
        <v>116.08</v>
      </c>
      <c r="Q190" s="30">
        <v>114.8</v>
      </c>
      <c r="R190" s="54">
        <v>1.1149825783972136E-2</v>
      </c>
    </row>
    <row r="191" spans="1:18" x14ac:dyDescent="0.15">
      <c r="A191" s="31">
        <v>190</v>
      </c>
      <c r="B191" s="30">
        <v>113058</v>
      </c>
      <c r="C191" s="30" t="s">
        <v>1903</v>
      </c>
      <c r="D191" s="30">
        <v>117.43</v>
      </c>
      <c r="E191" s="30">
        <v>0.35</v>
      </c>
      <c r="F191" s="30">
        <v>9.39</v>
      </c>
      <c r="G191" s="30">
        <v>86.79</v>
      </c>
      <c r="H191" s="30">
        <v>35.299999999999997</v>
      </c>
      <c r="I191" s="51">
        <v>152.73000000000002</v>
      </c>
      <c r="J191" s="52">
        <v>46842</v>
      </c>
      <c r="K191" s="53">
        <v>5.7859999999999996</v>
      </c>
      <c r="L191" s="53">
        <v>20</v>
      </c>
      <c r="M191" s="53">
        <v>1761.0346999999999</v>
      </c>
      <c r="N191" s="54">
        <v>7.4982317125095784E-3</v>
      </c>
      <c r="O191" s="53">
        <v>-4.9399999999999999E-2</v>
      </c>
      <c r="P191" s="30">
        <v>118.18</v>
      </c>
      <c r="Q191" s="30">
        <v>115.99</v>
      </c>
      <c r="R191" s="54">
        <v>1.8880938011897681E-2</v>
      </c>
    </row>
    <row r="192" spans="1:18" x14ac:dyDescent="0.15">
      <c r="A192" s="31">
        <v>191</v>
      </c>
      <c r="B192" s="30">
        <v>127019</v>
      </c>
      <c r="C192" s="30" t="s">
        <v>176</v>
      </c>
      <c r="D192" s="30">
        <v>113.98099999999999</v>
      </c>
      <c r="E192" s="30">
        <v>1.58</v>
      </c>
      <c r="F192" s="30">
        <v>21.06</v>
      </c>
      <c r="G192" s="30">
        <v>84.24</v>
      </c>
      <c r="H192" s="30">
        <v>35.31</v>
      </c>
      <c r="I192" s="51">
        <v>149.291</v>
      </c>
      <c r="J192" s="52">
        <v>46218</v>
      </c>
      <c r="K192" s="53">
        <v>4.077</v>
      </c>
      <c r="L192" s="53">
        <v>8.4978960000000008</v>
      </c>
      <c r="M192" s="53">
        <v>8781.3816308000005</v>
      </c>
      <c r="N192" s="54">
        <v>9.066068100313035E-2</v>
      </c>
      <c r="O192" s="53">
        <v>0.1794</v>
      </c>
      <c r="P192" s="30">
        <v>115.818</v>
      </c>
      <c r="Q192" s="30">
        <v>112.3</v>
      </c>
      <c r="R192" s="54">
        <v>3.1326803205699028E-2</v>
      </c>
    </row>
    <row r="193" spans="1:18" x14ac:dyDescent="0.15">
      <c r="A193" s="31">
        <v>192</v>
      </c>
      <c r="B193" s="30">
        <v>128076</v>
      </c>
      <c r="C193" s="30" t="s">
        <v>130</v>
      </c>
      <c r="D193" s="30">
        <v>125.8</v>
      </c>
      <c r="E193" s="30">
        <v>0.61</v>
      </c>
      <c r="F193" s="30">
        <v>14.66</v>
      </c>
      <c r="G193" s="30">
        <v>92.5</v>
      </c>
      <c r="H193" s="30">
        <v>36</v>
      </c>
      <c r="I193" s="51">
        <v>161.80000000000001</v>
      </c>
      <c r="J193" s="52">
        <v>45944</v>
      </c>
      <c r="K193" s="53">
        <v>3.3260000000000001</v>
      </c>
      <c r="L193" s="53">
        <v>2.1374019999999998</v>
      </c>
      <c r="M193" s="53">
        <v>1254.213591</v>
      </c>
      <c r="N193" s="54">
        <v>4.6644951952419238E-2</v>
      </c>
      <c r="O193" s="53">
        <v>-2.8957000000000002</v>
      </c>
      <c r="P193" s="30">
        <v>125.99</v>
      </c>
      <c r="Q193" s="30">
        <v>124.36499999999999</v>
      </c>
      <c r="R193" s="54">
        <v>1.3066377196156475E-2</v>
      </c>
    </row>
    <row r="194" spans="1:18" x14ac:dyDescent="0.15">
      <c r="A194" s="31">
        <v>193</v>
      </c>
      <c r="B194" s="30">
        <v>128127</v>
      </c>
      <c r="C194" s="30" t="s">
        <v>218</v>
      </c>
      <c r="D194" s="30">
        <v>110.752</v>
      </c>
      <c r="E194" s="30">
        <v>0.32</v>
      </c>
      <c r="F194" s="30">
        <v>4.88</v>
      </c>
      <c r="G194" s="30">
        <v>81.349999999999994</v>
      </c>
      <c r="H194" s="30">
        <v>36.14</v>
      </c>
      <c r="I194" s="51">
        <v>146.892</v>
      </c>
      <c r="J194" s="52">
        <v>46254</v>
      </c>
      <c r="K194" s="53">
        <v>4.1749999999999998</v>
      </c>
      <c r="L194" s="53">
        <v>9.4930299999999992</v>
      </c>
      <c r="M194" s="53">
        <v>1001.7464960000001</v>
      </c>
      <c r="N194" s="54">
        <v>9.5279923776177885E-3</v>
      </c>
      <c r="O194" s="53">
        <v>2.1520999999999999</v>
      </c>
      <c r="P194" s="30">
        <v>110.752</v>
      </c>
      <c r="Q194" s="30">
        <v>109.79</v>
      </c>
      <c r="R194" s="54">
        <v>8.7621823481190374E-3</v>
      </c>
    </row>
    <row r="195" spans="1:18" x14ac:dyDescent="0.15">
      <c r="A195" s="31">
        <v>194</v>
      </c>
      <c r="B195" s="30">
        <v>113505</v>
      </c>
      <c r="C195" s="30" t="s">
        <v>242</v>
      </c>
      <c r="D195" s="30">
        <v>118.13</v>
      </c>
      <c r="E195" s="30">
        <v>2.14</v>
      </c>
      <c r="F195" s="30">
        <v>7.03</v>
      </c>
      <c r="G195" s="30">
        <v>86.77</v>
      </c>
      <c r="H195" s="30">
        <v>36.14</v>
      </c>
      <c r="I195" s="51">
        <v>154.26999999999998</v>
      </c>
      <c r="J195" s="52">
        <v>45357</v>
      </c>
      <c r="K195" s="53">
        <v>1.718</v>
      </c>
      <c r="L195" s="53">
        <v>7.4973799999999997</v>
      </c>
      <c r="M195" s="53">
        <v>8449.7281000000003</v>
      </c>
      <c r="N195" s="54">
        <v>9.5405411023962508E-2</v>
      </c>
      <c r="O195" s="53">
        <v>-4.1994999999999996</v>
      </c>
      <c r="P195" s="30">
        <v>119.37</v>
      </c>
      <c r="Q195" s="30">
        <v>115.46</v>
      </c>
      <c r="R195" s="54">
        <v>3.3864541832669418E-2</v>
      </c>
    </row>
    <row r="196" spans="1:18" x14ac:dyDescent="0.15">
      <c r="A196" s="31">
        <v>195</v>
      </c>
      <c r="B196" s="30">
        <v>123031</v>
      </c>
      <c r="C196" s="30" t="s">
        <v>1934</v>
      </c>
      <c r="D196" s="30">
        <v>378.5</v>
      </c>
      <c r="E196" s="30">
        <v>-1.17</v>
      </c>
      <c r="F196" s="30">
        <v>6.25</v>
      </c>
      <c r="G196" s="30">
        <v>277.76</v>
      </c>
      <c r="H196" s="30">
        <v>36.270000000000003</v>
      </c>
      <c r="I196" s="51">
        <v>414.77</v>
      </c>
      <c r="J196" s="52">
        <v>45898</v>
      </c>
      <c r="K196" s="53">
        <v>3.2</v>
      </c>
      <c r="L196" s="53">
        <v>0.52995999999999999</v>
      </c>
      <c r="M196" s="53">
        <v>19247.671428499998</v>
      </c>
      <c r="N196" s="54">
        <v>0.95955356011016701</v>
      </c>
      <c r="O196" s="53">
        <v>-31.388500000000001</v>
      </c>
      <c r="P196" s="30">
        <v>385.45800000000003</v>
      </c>
      <c r="Q196" s="30">
        <v>377</v>
      </c>
      <c r="R196" s="54">
        <v>2.243501326259954E-2</v>
      </c>
    </row>
    <row r="197" spans="1:18" x14ac:dyDescent="0.15">
      <c r="A197" s="31">
        <v>196</v>
      </c>
      <c r="B197" s="30">
        <v>128082</v>
      </c>
      <c r="C197" s="30" t="s">
        <v>1865</v>
      </c>
      <c r="D197" s="30">
        <v>204.5</v>
      </c>
      <c r="E197" s="30">
        <v>-0.73</v>
      </c>
      <c r="F197" s="30">
        <v>9.1300000000000008</v>
      </c>
      <c r="G197" s="30">
        <v>149.72999999999999</v>
      </c>
      <c r="H197" s="30">
        <v>36.58</v>
      </c>
      <c r="I197" s="51">
        <v>241.07999999999998</v>
      </c>
      <c r="J197" s="52">
        <v>45995</v>
      </c>
      <c r="K197" s="53">
        <v>3.4660000000000002</v>
      </c>
      <c r="L197" s="53">
        <v>2.0328339999999998</v>
      </c>
      <c r="M197" s="53">
        <v>312196.40439749998</v>
      </c>
      <c r="N197" s="54">
        <v>7.5098743150687834</v>
      </c>
      <c r="O197" s="53">
        <v>-14.403700000000001</v>
      </c>
      <c r="P197" s="30">
        <v>211.5</v>
      </c>
      <c r="Q197" s="30">
        <v>197.821</v>
      </c>
      <c r="R197" s="54">
        <v>6.9148371507575038E-2</v>
      </c>
    </row>
    <row r="198" spans="1:18" x14ac:dyDescent="0.15">
      <c r="A198" s="31">
        <v>197</v>
      </c>
      <c r="B198" s="30">
        <v>127005</v>
      </c>
      <c r="C198" s="30" t="s">
        <v>1916</v>
      </c>
      <c r="D198" s="30">
        <v>116.51</v>
      </c>
      <c r="E198" s="30">
        <v>0.7</v>
      </c>
      <c r="F198" s="30">
        <v>7.13</v>
      </c>
      <c r="G198" s="30">
        <v>85.27</v>
      </c>
      <c r="H198" s="30">
        <v>36.64</v>
      </c>
      <c r="I198" s="51">
        <v>153.15</v>
      </c>
      <c r="J198" s="52">
        <v>45363</v>
      </c>
      <c r="K198" s="53">
        <v>1.734</v>
      </c>
      <c r="L198" s="53">
        <v>49.964184000000003</v>
      </c>
      <c r="M198" s="53">
        <v>8684.3512532000004</v>
      </c>
      <c r="N198" s="54">
        <v>1.4918164083682312E-2</v>
      </c>
      <c r="O198" s="53">
        <v>-4.9320000000000004</v>
      </c>
      <c r="P198" s="30">
        <v>116.798</v>
      </c>
      <c r="Q198" s="30">
        <v>114.5</v>
      </c>
      <c r="R198" s="54">
        <v>2.0069868995633202E-2</v>
      </c>
    </row>
    <row r="199" spans="1:18" x14ac:dyDescent="0.15">
      <c r="A199" s="31">
        <v>198</v>
      </c>
      <c r="B199" s="30">
        <v>123077</v>
      </c>
      <c r="C199" s="30" t="s">
        <v>216</v>
      </c>
      <c r="D199" s="30">
        <v>127</v>
      </c>
      <c r="E199" s="30">
        <v>0.56000000000000005</v>
      </c>
      <c r="F199" s="30">
        <v>9.69</v>
      </c>
      <c r="G199" s="30">
        <v>92.88</v>
      </c>
      <c r="H199" s="30">
        <v>36.74</v>
      </c>
      <c r="I199" s="51">
        <v>163.74</v>
      </c>
      <c r="J199" s="52">
        <v>46349</v>
      </c>
      <c r="K199" s="53">
        <v>4.4359999999999999</v>
      </c>
      <c r="L199" s="53">
        <v>9.3675669999999993</v>
      </c>
      <c r="M199" s="53">
        <v>2148.1868638999999</v>
      </c>
      <c r="N199" s="54">
        <v>1.805683076092543E-2</v>
      </c>
      <c r="O199" s="53">
        <v>-0.34549999999999997</v>
      </c>
      <c r="P199" s="30">
        <v>127.05</v>
      </c>
      <c r="Q199" s="30">
        <v>124.708</v>
      </c>
      <c r="R199" s="54">
        <v>1.8779869775796251E-2</v>
      </c>
    </row>
    <row r="200" spans="1:18" x14ac:dyDescent="0.15">
      <c r="A200" s="31">
        <v>199</v>
      </c>
      <c r="B200" s="30">
        <v>123035</v>
      </c>
      <c r="C200" s="30" t="s">
        <v>124</v>
      </c>
      <c r="D200" s="30">
        <v>126.294</v>
      </c>
      <c r="E200" s="30">
        <v>1.35</v>
      </c>
      <c r="F200" s="30">
        <v>6.91</v>
      </c>
      <c r="G200" s="30">
        <v>92.33</v>
      </c>
      <c r="H200" s="30">
        <v>36.79</v>
      </c>
      <c r="I200" s="51">
        <v>163.084</v>
      </c>
      <c r="J200" s="52">
        <v>45975</v>
      </c>
      <c r="K200" s="53">
        <v>3.411</v>
      </c>
      <c r="L200" s="53">
        <v>7.9877429999999991</v>
      </c>
      <c r="M200" s="53">
        <v>3015.3140596000003</v>
      </c>
      <c r="N200" s="54">
        <v>2.988998870378071E-2</v>
      </c>
      <c r="O200" s="53">
        <v>-2.9369000000000001</v>
      </c>
      <c r="P200" s="30">
        <v>126.6</v>
      </c>
      <c r="Q200" s="30">
        <v>124.4</v>
      </c>
      <c r="R200" s="54">
        <v>1.7684887459806981E-2</v>
      </c>
    </row>
    <row r="201" spans="1:18" x14ac:dyDescent="0.15">
      <c r="A201" s="31">
        <v>200</v>
      </c>
      <c r="B201" s="30">
        <v>113609</v>
      </c>
      <c r="C201" s="30" t="s">
        <v>83</v>
      </c>
      <c r="D201" s="30">
        <v>110.15</v>
      </c>
      <c r="E201" s="30">
        <v>0.22</v>
      </c>
      <c r="F201" s="30">
        <v>16.38</v>
      </c>
      <c r="G201" s="30">
        <v>80.400000000000006</v>
      </c>
      <c r="H201" s="30">
        <v>37</v>
      </c>
      <c r="I201" s="51">
        <v>147.15</v>
      </c>
      <c r="J201" s="52">
        <v>46350</v>
      </c>
      <c r="K201" s="53">
        <v>4.4379999999999997</v>
      </c>
      <c r="L201" s="53">
        <v>7.3419100000000004</v>
      </c>
      <c r="M201" s="53">
        <v>1378.3295000000001</v>
      </c>
      <c r="N201" s="54">
        <v>1.7043527802486306E-2</v>
      </c>
      <c r="O201" s="53">
        <v>2.0068999999999999</v>
      </c>
      <c r="P201" s="30">
        <v>110.33</v>
      </c>
      <c r="Q201" s="30">
        <v>109.42</v>
      </c>
      <c r="R201" s="54">
        <v>8.3165783220617486E-3</v>
      </c>
    </row>
    <row r="202" spans="1:18" x14ac:dyDescent="0.15">
      <c r="A202" s="31">
        <v>201</v>
      </c>
      <c r="B202" s="30">
        <v>113013</v>
      </c>
      <c r="C202" s="30" t="s">
        <v>1913</v>
      </c>
      <c r="D202" s="30">
        <v>113.25</v>
      </c>
      <c r="E202" s="30">
        <v>0.53</v>
      </c>
      <c r="F202" s="30">
        <v>18.45</v>
      </c>
      <c r="G202" s="30">
        <v>82.17</v>
      </c>
      <c r="H202" s="30">
        <v>37.82</v>
      </c>
      <c r="I202" s="51">
        <v>151.07</v>
      </c>
      <c r="J202" s="52">
        <v>45114</v>
      </c>
      <c r="K202" s="53">
        <v>1.052</v>
      </c>
      <c r="L202" s="53">
        <v>69.901759999999996</v>
      </c>
      <c r="M202" s="53">
        <v>6866.6262999999999</v>
      </c>
      <c r="N202" s="54">
        <v>8.6739535328086911E-3</v>
      </c>
      <c r="O202" s="53">
        <v>-5.4905999999999997</v>
      </c>
      <c r="P202" s="30">
        <v>113.7</v>
      </c>
      <c r="Q202" s="30">
        <v>112.1</v>
      </c>
      <c r="R202" s="54">
        <v>1.4272970561998293E-2</v>
      </c>
    </row>
    <row r="203" spans="1:18" x14ac:dyDescent="0.15">
      <c r="A203" s="31">
        <v>202</v>
      </c>
      <c r="B203" s="30">
        <v>128137</v>
      </c>
      <c r="C203" s="30" t="s">
        <v>1923</v>
      </c>
      <c r="D203" s="30">
        <v>122</v>
      </c>
      <c r="E203" s="30">
        <v>-0.67</v>
      </c>
      <c r="F203" s="30">
        <v>27.43</v>
      </c>
      <c r="G203" s="30">
        <v>88.15</v>
      </c>
      <c r="H203" s="30">
        <v>38.4</v>
      </c>
      <c r="I203" s="51">
        <v>160.4</v>
      </c>
      <c r="J203" s="52">
        <v>46330</v>
      </c>
      <c r="K203" s="53">
        <v>4.3840000000000003</v>
      </c>
      <c r="L203" s="53">
        <v>5.9940730000000002</v>
      </c>
      <c r="M203" s="53">
        <v>5889.7037726000008</v>
      </c>
      <c r="N203" s="54">
        <v>8.0539994142793309E-2</v>
      </c>
      <c r="O203" s="53">
        <v>-0.98809999999999998</v>
      </c>
      <c r="P203" s="30">
        <v>122.8</v>
      </c>
      <c r="Q203" s="30">
        <v>121.211</v>
      </c>
      <c r="R203" s="54">
        <v>1.310937126168416E-2</v>
      </c>
    </row>
    <row r="204" spans="1:18" x14ac:dyDescent="0.15">
      <c r="A204" s="31">
        <v>203</v>
      </c>
      <c r="B204" s="30">
        <v>113644</v>
      </c>
      <c r="C204" s="30" t="s">
        <v>1938</v>
      </c>
      <c r="D204" s="30">
        <v>114.63</v>
      </c>
      <c r="E204" s="30">
        <v>-0.1</v>
      </c>
      <c r="F204" s="30">
        <v>23.84</v>
      </c>
      <c r="G204" s="30">
        <v>82.76</v>
      </c>
      <c r="H204" s="30">
        <v>38.51</v>
      </c>
      <c r="I204" s="51">
        <v>153.13999999999999</v>
      </c>
      <c r="J204" s="52">
        <v>46858</v>
      </c>
      <c r="K204" s="53">
        <v>5.83</v>
      </c>
      <c r="L204" s="53">
        <v>10</v>
      </c>
      <c r="M204" s="53">
        <v>2945.7130000000002</v>
      </c>
      <c r="N204" s="54">
        <v>2.5697574805897239E-2</v>
      </c>
      <c r="O204" s="53">
        <v>0.84519999999999995</v>
      </c>
      <c r="P204" s="30">
        <v>115.3</v>
      </c>
      <c r="Q204" s="30">
        <v>113.7</v>
      </c>
      <c r="R204" s="54">
        <v>1.4072119613016661E-2</v>
      </c>
    </row>
    <row r="205" spans="1:18" x14ac:dyDescent="0.15">
      <c r="A205" s="31">
        <v>204</v>
      </c>
      <c r="B205" s="30">
        <v>110086</v>
      </c>
      <c r="C205" s="30" t="s">
        <v>1896</v>
      </c>
      <c r="D205" s="30">
        <v>117.45</v>
      </c>
      <c r="E205" s="30">
        <v>-0.04</v>
      </c>
      <c r="F205" s="30">
        <v>5</v>
      </c>
      <c r="G205" s="30">
        <v>84.6</v>
      </c>
      <c r="H205" s="30">
        <v>38.83</v>
      </c>
      <c r="I205" s="51">
        <v>156.28</v>
      </c>
      <c r="J205" s="52">
        <v>46865</v>
      </c>
      <c r="K205" s="53">
        <v>5.8490000000000002</v>
      </c>
      <c r="L205" s="53">
        <v>20</v>
      </c>
      <c r="M205" s="53">
        <v>1280.0153</v>
      </c>
      <c r="N205" s="54">
        <v>5.4491924223073647E-3</v>
      </c>
      <c r="O205" s="53">
        <v>-5.1799999999999999E-2</v>
      </c>
      <c r="P205" s="30">
        <v>118.12</v>
      </c>
      <c r="Q205" s="30">
        <v>117.09</v>
      </c>
      <c r="R205" s="54">
        <v>8.7966521479204123E-3</v>
      </c>
    </row>
    <row r="206" spans="1:18" x14ac:dyDescent="0.15">
      <c r="A206" s="31">
        <v>205</v>
      </c>
      <c r="B206" s="30">
        <v>123125</v>
      </c>
      <c r="C206" s="30" t="s">
        <v>225</v>
      </c>
      <c r="D206" s="30">
        <v>116.3</v>
      </c>
      <c r="E206" s="30">
        <v>0.85</v>
      </c>
      <c r="F206" s="30">
        <v>17.61</v>
      </c>
      <c r="G206" s="30">
        <v>83.7</v>
      </c>
      <c r="H206" s="30">
        <v>38.950000000000003</v>
      </c>
      <c r="I206" s="51">
        <v>155.25</v>
      </c>
      <c r="J206" s="52">
        <v>46636</v>
      </c>
      <c r="K206" s="53">
        <v>5.2220000000000004</v>
      </c>
      <c r="L206" s="53">
        <v>8.9997000000000007</v>
      </c>
      <c r="M206" s="53">
        <v>453.36913509999999</v>
      </c>
      <c r="N206" s="54">
        <v>4.3315586883372849E-3</v>
      </c>
      <c r="O206" s="53">
        <v>-1.1986000000000001</v>
      </c>
      <c r="P206" s="30">
        <v>116.3</v>
      </c>
      <c r="Q206" s="30">
        <v>115.1</v>
      </c>
      <c r="R206" s="54">
        <v>1.0425716768027827E-2</v>
      </c>
    </row>
    <row r="207" spans="1:18" x14ac:dyDescent="0.15">
      <c r="A207" s="31">
        <v>206</v>
      </c>
      <c r="B207" s="30">
        <v>113052</v>
      </c>
      <c r="C207" s="30" t="s">
        <v>1914</v>
      </c>
      <c r="D207" s="30">
        <v>110.11</v>
      </c>
      <c r="E207" s="30">
        <v>-0.15</v>
      </c>
      <c r="F207" s="30">
        <v>24.48</v>
      </c>
      <c r="G207" s="30">
        <v>79.209999999999994</v>
      </c>
      <c r="H207" s="30">
        <v>39.01</v>
      </c>
      <c r="I207" s="51">
        <v>149.12</v>
      </c>
      <c r="J207" s="52">
        <v>46748</v>
      </c>
      <c r="K207" s="53">
        <v>5.5289999999999999</v>
      </c>
      <c r="L207" s="53">
        <v>500</v>
      </c>
      <c r="M207" s="53">
        <v>27662.179899999999</v>
      </c>
      <c r="N207" s="54">
        <v>5.0244627917537003E-3</v>
      </c>
      <c r="O207" s="53">
        <v>0.70569999999999999</v>
      </c>
      <c r="P207" s="30">
        <v>110.45</v>
      </c>
      <c r="Q207" s="30">
        <v>109.78</v>
      </c>
      <c r="R207" s="54">
        <v>6.1031153215522112E-3</v>
      </c>
    </row>
    <row r="208" spans="1:18" x14ac:dyDescent="0.15">
      <c r="A208" s="31">
        <v>207</v>
      </c>
      <c r="B208" s="30">
        <v>127037</v>
      </c>
      <c r="C208" s="30" t="s">
        <v>233</v>
      </c>
      <c r="D208" s="30">
        <v>133</v>
      </c>
      <c r="E208" s="30">
        <v>6.23</v>
      </c>
      <c r="F208" s="30">
        <v>10.77</v>
      </c>
      <c r="G208" s="30">
        <v>95.64</v>
      </c>
      <c r="H208" s="30">
        <v>39.06</v>
      </c>
      <c r="I208" s="51">
        <v>172.06</v>
      </c>
      <c r="J208" s="52">
        <v>46545</v>
      </c>
      <c r="K208" s="53">
        <v>4.9729999999999999</v>
      </c>
      <c r="L208" s="53">
        <v>6.9975529999999999</v>
      </c>
      <c r="M208" s="53">
        <v>216622.23137249998</v>
      </c>
      <c r="N208" s="54">
        <v>2.3275830590323792</v>
      </c>
      <c r="O208" s="53">
        <v>-2.9626999999999999</v>
      </c>
      <c r="P208" s="30">
        <v>139.9</v>
      </c>
      <c r="Q208" s="30">
        <v>126.1</v>
      </c>
      <c r="R208" s="54">
        <v>0.10943695479777964</v>
      </c>
    </row>
    <row r="209" spans="1:18" x14ac:dyDescent="0.15">
      <c r="A209" s="31">
        <v>208</v>
      </c>
      <c r="B209" s="30">
        <v>123082</v>
      </c>
      <c r="C209" s="30" t="s">
        <v>75</v>
      </c>
      <c r="D209" s="30">
        <v>115.929</v>
      </c>
      <c r="E209" s="30">
        <v>0.5</v>
      </c>
      <c r="F209" s="30">
        <v>8.74</v>
      </c>
      <c r="G209" s="30">
        <v>83.3</v>
      </c>
      <c r="H209" s="30">
        <v>39.17</v>
      </c>
      <c r="I209" s="51">
        <v>155.09899999999999</v>
      </c>
      <c r="J209" s="52">
        <v>46363</v>
      </c>
      <c r="K209" s="53">
        <v>4.4740000000000002</v>
      </c>
      <c r="L209" s="53">
        <v>4.9930149999999998</v>
      </c>
      <c r="M209" s="53">
        <v>747.81998699999997</v>
      </c>
      <c r="N209" s="54">
        <v>1.2919392956305375E-2</v>
      </c>
      <c r="O209" s="53">
        <v>1.0222</v>
      </c>
      <c r="P209" s="30">
        <v>115.99</v>
      </c>
      <c r="Q209" s="30">
        <v>115.264</v>
      </c>
      <c r="R209" s="54">
        <v>6.298584119933363E-3</v>
      </c>
    </row>
    <row r="210" spans="1:18" x14ac:dyDescent="0.15">
      <c r="A210" s="31">
        <v>209</v>
      </c>
      <c r="B210" s="30">
        <v>113602</v>
      </c>
      <c r="C210" s="30" t="s">
        <v>1921</v>
      </c>
      <c r="D210" s="30">
        <v>121.09</v>
      </c>
      <c r="E210" s="30">
        <v>-0.08</v>
      </c>
      <c r="F210" s="30">
        <v>27.4</v>
      </c>
      <c r="G210" s="30">
        <v>87.01</v>
      </c>
      <c r="H210" s="30">
        <v>39.17</v>
      </c>
      <c r="I210" s="51">
        <v>160.26</v>
      </c>
      <c r="J210" s="52">
        <v>46258</v>
      </c>
      <c r="K210" s="53">
        <v>4.1859999999999999</v>
      </c>
      <c r="L210" s="53">
        <v>17.798739999999999</v>
      </c>
      <c r="M210" s="53">
        <v>1484.885</v>
      </c>
      <c r="N210" s="54">
        <v>6.8896202067083752E-3</v>
      </c>
      <c r="O210" s="53">
        <v>-1.6934</v>
      </c>
      <c r="P210" s="30">
        <v>121.64</v>
      </c>
      <c r="Q210" s="30">
        <v>120.3</v>
      </c>
      <c r="R210" s="54">
        <v>1.1138819617622638E-2</v>
      </c>
    </row>
    <row r="211" spans="1:18" x14ac:dyDescent="0.15">
      <c r="A211" s="31">
        <v>210</v>
      </c>
      <c r="B211" s="30">
        <v>127033</v>
      </c>
      <c r="C211" s="30" t="s">
        <v>1895</v>
      </c>
      <c r="D211" s="30">
        <v>115.5</v>
      </c>
      <c r="E211" s="30">
        <v>0.09</v>
      </c>
      <c r="F211" s="30">
        <v>6.31</v>
      </c>
      <c r="G211" s="30">
        <v>82.73</v>
      </c>
      <c r="H211" s="30">
        <v>39.61</v>
      </c>
      <c r="I211" s="51">
        <v>155.11000000000001</v>
      </c>
      <c r="J211" s="52">
        <v>46493</v>
      </c>
      <c r="K211" s="53">
        <v>4.83</v>
      </c>
      <c r="L211" s="53">
        <v>11.594339</v>
      </c>
      <c r="M211" s="53">
        <v>1067.8290201</v>
      </c>
      <c r="N211" s="54">
        <v>7.9739542731144079E-3</v>
      </c>
      <c r="O211" s="53">
        <v>0.23599999999999999</v>
      </c>
      <c r="P211" s="30">
        <v>115.5</v>
      </c>
      <c r="Q211" s="30">
        <v>114.58</v>
      </c>
      <c r="R211" s="54">
        <v>8.0293244894397084E-3</v>
      </c>
    </row>
    <row r="212" spans="1:18" x14ac:dyDescent="0.15">
      <c r="A212" s="31">
        <v>211</v>
      </c>
      <c r="B212" s="30">
        <v>128097</v>
      </c>
      <c r="C212" s="30" t="s">
        <v>111</v>
      </c>
      <c r="D212" s="30">
        <v>120.48</v>
      </c>
      <c r="E212" s="30">
        <v>3.32</v>
      </c>
      <c r="F212" s="30">
        <v>10.09</v>
      </c>
      <c r="G212" s="30">
        <v>86.22</v>
      </c>
      <c r="H212" s="30">
        <v>39.74</v>
      </c>
      <c r="I212" s="51">
        <v>160.22</v>
      </c>
      <c r="J212" s="52">
        <v>46078</v>
      </c>
      <c r="K212" s="53">
        <v>3.6930000000000001</v>
      </c>
      <c r="L212" s="53">
        <v>4.5856839999999996</v>
      </c>
      <c r="M212" s="53">
        <v>17922.634875700001</v>
      </c>
      <c r="N212" s="54">
        <v>0.32440144072793531</v>
      </c>
      <c r="O212" s="53">
        <v>-1.4407000000000001</v>
      </c>
      <c r="P212" s="30">
        <v>122.8</v>
      </c>
      <c r="Q212" s="30">
        <v>116.605</v>
      </c>
      <c r="R212" s="54">
        <v>5.3128081986192642E-2</v>
      </c>
    </row>
    <row r="213" spans="1:18" x14ac:dyDescent="0.15">
      <c r="A213" s="31">
        <v>212</v>
      </c>
      <c r="B213" s="30">
        <v>123045</v>
      </c>
      <c r="C213" s="30" t="s">
        <v>109</v>
      </c>
      <c r="D213" s="30">
        <v>145.48500000000001</v>
      </c>
      <c r="E213" s="30">
        <v>-1.17</v>
      </c>
      <c r="F213" s="30">
        <v>19.329999999999998</v>
      </c>
      <c r="G213" s="30">
        <v>103.67</v>
      </c>
      <c r="H213" s="30">
        <v>40.33</v>
      </c>
      <c r="I213" s="51">
        <v>185.815</v>
      </c>
      <c r="J213" s="52">
        <v>46093</v>
      </c>
      <c r="K213" s="53">
        <v>3.734</v>
      </c>
      <c r="L213" s="53">
        <v>1.6599440000000001</v>
      </c>
      <c r="M213" s="53">
        <v>46270.925583899996</v>
      </c>
      <c r="N213" s="54">
        <v>1.9160045308959266</v>
      </c>
      <c r="O213" s="53">
        <v>-5.5138999999999996</v>
      </c>
      <c r="P213" s="30">
        <v>153.5</v>
      </c>
      <c r="Q213" s="30">
        <v>144.5</v>
      </c>
      <c r="R213" s="54">
        <v>6.228373702422145E-2</v>
      </c>
    </row>
    <row r="214" spans="1:18" x14ac:dyDescent="0.15">
      <c r="A214" s="31">
        <v>213</v>
      </c>
      <c r="B214" s="30">
        <v>111002</v>
      </c>
      <c r="C214" s="30" t="s">
        <v>249</v>
      </c>
      <c r="D214" s="30">
        <v>133.96</v>
      </c>
      <c r="E214" s="30">
        <v>-4.54</v>
      </c>
      <c r="F214" s="30">
        <v>18.5</v>
      </c>
      <c r="G214" s="30">
        <v>95.46</v>
      </c>
      <c r="H214" s="30">
        <v>40.33</v>
      </c>
      <c r="I214" s="51">
        <v>174.29000000000002</v>
      </c>
      <c r="J214" s="52">
        <v>46729</v>
      </c>
      <c r="K214" s="53">
        <v>5.4770000000000003</v>
      </c>
      <c r="L214" s="53">
        <v>6.6999399999999998</v>
      </c>
      <c r="M214" s="53">
        <v>74564.399999999994</v>
      </c>
      <c r="N214" s="54">
        <v>0.83077893319542184</v>
      </c>
      <c r="O214" s="53">
        <v>-2.4664000000000001</v>
      </c>
      <c r="P214" s="30">
        <v>145.80000000000001</v>
      </c>
      <c r="Q214" s="30">
        <v>133.36000000000001</v>
      </c>
      <c r="R214" s="54">
        <v>9.3281343731253727E-2</v>
      </c>
    </row>
    <row r="215" spans="1:18" x14ac:dyDescent="0.15">
      <c r="A215" s="31">
        <v>214</v>
      </c>
      <c r="B215" s="30">
        <v>127016</v>
      </c>
      <c r="C215" s="30" t="s">
        <v>1905</v>
      </c>
      <c r="D215" s="30">
        <v>114.5</v>
      </c>
      <c r="E215" s="30">
        <v>-0.02</v>
      </c>
      <c r="F215" s="30">
        <v>8.68</v>
      </c>
      <c r="G215" s="30">
        <v>81.569999999999993</v>
      </c>
      <c r="H215" s="30">
        <v>40.369999999999997</v>
      </c>
      <c r="I215" s="51">
        <v>154.87</v>
      </c>
      <c r="J215" s="52">
        <v>46121</v>
      </c>
      <c r="K215" s="53">
        <v>3.8109999999999999</v>
      </c>
      <c r="L215" s="53">
        <v>13.998544000000001</v>
      </c>
      <c r="M215" s="53">
        <v>1024.009544</v>
      </c>
      <c r="N215" s="54">
        <v>6.3887464258853095E-3</v>
      </c>
      <c r="O215" s="53">
        <v>0.186</v>
      </c>
      <c r="P215" s="30">
        <v>114.78</v>
      </c>
      <c r="Q215" s="30">
        <v>114.178</v>
      </c>
      <c r="R215" s="54">
        <v>5.272469302317468E-3</v>
      </c>
    </row>
    <row r="216" spans="1:18" x14ac:dyDescent="0.15">
      <c r="A216" s="31">
        <v>215</v>
      </c>
      <c r="B216" s="30">
        <v>127025</v>
      </c>
      <c r="C216" s="30" t="s">
        <v>1919</v>
      </c>
      <c r="D216" s="30">
        <v>112.252</v>
      </c>
      <c r="E216" s="30">
        <v>0.05</v>
      </c>
      <c r="F216" s="30">
        <v>13.26</v>
      </c>
      <c r="G216" s="30">
        <v>79.94</v>
      </c>
      <c r="H216" s="30">
        <v>40.42</v>
      </c>
      <c r="I216" s="51">
        <v>152.672</v>
      </c>
      <c r="J216" s="52">
        <v>46331</v>
      </c>
      <c r="K216" s="53">
        <v>4.3860000000000001</v>
      </c>
      <c r="L216" s="53">
        <v>17.76455</v>
      </c>
      <c r="M216" s="53">
        <v>2778.8605364999999</v>
      </c>
      <c r="N216" s="54">
        <v>1.3935368355458933E-2</v>
      </c>
      <c r="O216" s="53">
        <v>-0.48920000000000002</v>
      </c>
      <c r="P216" s="30">
        <v>112.69</v>
      </c>
      <c r="Q216" s="30">
        <v>111.821</v>
      </c>
      <c r="R216" s="54">
        <v>7.7713488521833985E-3</v>
      </c>
    </row>
    <row r="217" spans="1:18" x14ac:dyDescent="0.15">
      <c r="A217" s="31">
        <v>216</v>
      </c>
      <c r="B217" s="30">
        <v>128071</v>
      </c>
      <c r="C217" s="30" t="s">
        <v>88</v>
      </c>
      <c r="D217" s="30">
        <v>115.083</v>
      </c>
      <c r="E217" s="30">
        <v>0.68</v>
      </c>
      <c r="F217" s="30">
        <v>4.18</v>
      </c>
      <c r="G217" s="30">
        <v>81.819999999999993</v>
      </c>
      <c r="H217" s="30">
        <v>40.65</v>
      </c>
      <c r="I217" s="51">
        <v>155.733</v>
      </c>
      <c r="J217" s="52">
        <v>45885</v>
      </c>
      <c r="K217" s="53">
        <v>3.1640000000000001</v>
      </c>
      <c r="L217" s="53">
        <v>2.999336</v>
      </c>
      <c r="M217" s="53">
        <v>371.53032899999999</v>
      </c>
      <c r="N217" s="54">
        <v>1.0763610589773589E-2</v>
      </c>
      <c r="O217" s="53">
        <v>-0.22009999999999999</v>
      </c>
      <c r="P217" s="30">
        <v>115.09399999999999</v>
      </c>
      <c r="Q217" s="30">
        <v>114.252</v>
      </c>
      <c r="R217" s="54">
        <v>7.3696740538458736E-3</v>
      </c>
    </row>
    <row r="218" spans="1:18" x14ac:dyDescent="0.15">
      <c r="A218" s="31">
        <v>217</v>
      </c>
      <c r="B218" s="30">
        <v>110060</v>
      </c>
      <c r="C218" s="30" t="s">
        <v>215</v>
      </c>
      <c r="D218" s="30">
        <v>115.81</v>
      </c>
      <c r="E218" s="30">
        <v>0.55000000000000004</v>
      </c>
      <c r="F218" s="30">
        <v>7.08</v>
      </c>
      <c r="G218" s="30">
        <v>82.34</v>
      </c>
      <c r="H218" s="30">
        <v>40.65</v>
      </c>
      <c r="I218" s="51">
        <v>156.46</v>
      </c>
      <c r="J218" s="52">
        <v>45958</v>
      </c>
      <c r="K218" s="53">
        <v>3.3639999999999999</v>
      </c>
      <c r="L218" s="53">
        <v>7.0625299999999998</v>
      </c>
      <c r="M218" s="53">
        <v>1180.328</v>
      </c>
      <c r="N218" s="54">
        <v>1.4430997200799812E-2</v>
      </c>
      <c r="O218" s="53">
        <v>-0.39700000000000002</v>
      </c>
      <c r="P218" s="30">
        <v>116.42</v>
      </c>
      <c r="Q218" s="30">
        <v>115.04</v>
      </c>
      <c r="R218" s="54">
        <v>1.1995827538247525E-2</v>
      </c>
    </row>
    <row r="219" spans="1:18" x14ac:dyDescent="0.15">
      <c r="A219" s="31">
        <v>218</v>
      </c>
      <c r="B219" s="30">
        <v>113054</v>
      </c>
      <c r="C219" s="30" t="s">
        <v>1920</v>
      </c>
      <c r="D219" s="30">
        <v>108.93</v>
      </c>
      <c r="E219" s="30">
        <v>0.28000000000000003</v>
      </c>
      <c r="F219" s="30">
        <v>9.82</v>
      </c>
      <c r="G219" s="30">
        <v>77.290000000000006</v>
      </c>
      <c r="H219" s="30">
        <v>40.94</v>
      </c>
      <c r="I219" s="51">
        <v>149.87</v>
      </c>
      <c r="J219" s="52">
        <v>46808</v>
      </c>
      <c r="K219" s="53">
        <v>5.6929999999999996</v>
      </c>
      <c r="L219" s="53">
        <v>23.6</v>
      </c>
      <c r="M219" s="53">
        <v>1653.1789000000001</v>
      </c>
      <c r="N219" s="54">
        <v>6.4307310557082994E-3</v>
      </c>
      <c r="O219" s="53">
        <v>0.73470000000000002</v>
      </c>
      <c r="P219" s="30">
        <v>109.04</v>
      </c>
      <c r="Q219" s="30">
        <v>108.23</v>
      </c>
      <c r="R219" s="54">
        <v>7.4840617204102585E-3</v>
      </c>
    </row>
    <row r="220" spans="1:18" x14ac:dyDescent="0.15">
      <c r="A220" s="31">
        <v>219</v>
      </c>
      <c r="B220" s="30">
        <v>128090</v>
      </c>
      <c r="C220" s="30" t="s">
        <v>122</v>
      </c>
      <c r="D220" s="30">
        <v>137.36000000000001</v>
      </c>
      <c r="E220" s="30">
        <v>0.63</v>
      </c>
      <c r="F220" s="30">
        <v>4.2300000000000004</v>
      </c>
      <c r="G220" s="30">
        <v>97.4</v>
      </c>
      <c r="H220" s="30">
        <v>41.03</v>
      </c>
      <c r="I220" s="51">
        <v>178.39000000000001</v>
      </c>
      <c r="J220" s="52">
        <v>46018</v>
      </c>
      <c r="K220" s="53">
        <v>3.5289999999999999</v>
      </c>
      <c r="L220" s="53">
        <v>3.0994130000000002</v>
      </c>
      <c r="M220" s="53">
        <v>155873.91868499998</v>
      </c>
      <c r="N220" s="54">
        <v>3.6612865593516726</v>
      </c>
      <c r="O220" s="53">
        <v>-5.1630000000000003</v>
      </c>
      <c r="P220" s="30">
        <v>141.44</v>
      </c>
      <c r="Q220" s="30">
        <v>136.012</v>
      </c>
      <c r="R220" s="54">
        <v>3.9908243390289075E-2</v>
      </c>
    </row>
    <row r="221" spans="1:18" x14ac:dyDescent="0.15">
      <c r="A221" s="31">
        <v>220</v>
      </c>
      <c r="B221" s="30">
        <v>128033</v>
      </c>
      <c r="C221" s="30" t="s">
        <v>69</v>
      </c>
      <c r="D221" s="30">
        <v>119.88800000000001</v>
      </c>
      <c r="E221" s="30">
        <v>1.1599999999999999</v>
      </c>
      <c r="F221" s="30">
        <v>8.26</v>
      </c>
      <c r="G221" s="30">
        <v>84.26</v>
      </c>
      <c r="H221" s="30">
        <v>42.28</v>
      </c>
      <c r="I221" s="51">
        <v>162.16800000000001</v>
      </c>
      <c r="J221" s="52">
        <v>45287</v>
      </c>
      <c r="K221" s="53">
        <v>1.526</v>
      </c>
      <c r="L221" s="53">
        <v>2.973023</v>
      </c>
      <c r="M221" s="53">
        <v>2769.9976259</v>
      </c>
      <c r="N221" s="54">
        <v>7.7715100428291065E-2</v>
      </c>
      <c r="O221" s="53">
        <v>-6.9447999999999999</v>
      </c>
      <c r="P221" s="30">
        <v>119.88800000000001</v>
      </c>
      <c r="Q221" s="30">
        <v>118.645</v>
      </c>
      <c r="R221" s="54">
        <v>1.0476631969320319E-2</v>
      </c>
    </row>
    <row r="222" spans="1:18" x14ac:dyDescent="0.15">
      <c r="A222" s="31">
        <v>221</v>
      </c>
      <c r="B222" s="30">
        <v>123100</v>
      </c>
      <c r="C222" s="30" t="s">
        <v>104</v>
      </c>
      <c r="D222" s="30">
        <v>116.79</v>
      </c>
      <c r="E222" s="30">
        <v>0.59</v>
      </c>
      <c r="F222" s="30">
        <v>11.61</v>
      </c>
      <c r="G222" s="30">
        <v>82.08</v>
      </c>
      <c r="H222" s="30">
        <v>42.29</v>
      </c>
      <c r="I222" s="51">
        <v>159.08000000000001</v>
      </c>
      <c r="J222" s="52">
        <v>46427</v>
      </c>
      <c r="K222" s="53">
        <v>4.649</v>
      </c>
      <c r="L222" s="53">
        <v>3.7985370000000001</v>
      </c>
      <c r="M222" s="53">
        <v>1953.6798004</v>
      </c>
      <c r="N222" s="54">
        <v>4.4038383261429087E-2</v>
      </c>
      <c r="O222" s="53">
        <v>5.8099999999999999E-2</v>
      </c>
      <c r="P222" s="30">
        <v>118.4</v>
      </c>
      <c r="Q222" s="30">
        <v>116.12</v>
      </c>
      <c r="R222" s="54">
        <v>1.9634860489149166E-2</v>
      </c>
    </row>
    <row r="223" spans="1:18" x14ac:dyDescent="0.15">
      <c r="A223" s="31">
        <v>222</v>
      </c>
      <c r="B223" s="30">
        <v>113037</v>
      </c>
      <c r="C223" s="30" t="s">
        <v>1925</v>
      </c>
      <c r="D223" s="30">
        <v>104.27</v>
      </c>
      <c r="E223" s="30">
        <v>0.21</v>
      </c>
      <c r="F223" s="30">
        <v>3.95</v>
      </c>
      <c r="G223" s="30">
        <v>73.16</v>
      </c>
      <c r="H223" s="30">
        <v>42.52</v>
      </c>
      <c r="I223" s="51">
        <v>146.79</v>
      </c>
      <c r="J223" s="52">
        <v>46226</v>
      </c>
      <c r="K223" s="53">
        <v>4.0990000000000002</v>
      </c>
      <c r="L223" s="53">
        <v>44.996189999999999</v>
      </c>
      <c r="M223" s="53">
        <v>2009.7131999999999</v>
      </c>
      <c r="N223" s="54">
        <v>4.2835019556607037E-3</v>
      </c>
      <c r="O223" s="53">
        <v>2.6139000000000001</v>
      </c>
      <c r="P223" s="30">
        <v>104.5</v>
      </c>
      <c r="Q223" s="30">
        <v>103.73</v>
      </c>
      <c r="R223" s="54">
        <v>7.423117709437925E-3</v>
      </c>
    </row>
    <row r="224" spans="1:18" x14ac:dyDescent="0.15">
      <c r="A224" s="31">
        <v>223</v>
      </c>
      <c r="B224" s="30">
        <v>128101</v>
      </c>
      <c r="C224" s="30" t="s">
        <v>1931</v>
      </c>
      <c r="D224" s="30">
        <v>146.61000000000001</v>
      </c>
      <c r="E224" s="30">
        <v>-0.49</v>
      </c>
      <c r="F224" s="30">
        <v>13.72</v>
      </c>
      <c r="G224" s="30">
        <v>102.55</v>
      </c>
      <c r="H224" s="30">
        <v>42.96</v>
      </c>
      <c r="I224" s="51">
        <v>189.57000000000002</v>
      </c>
      <c r="J224" s="52">
        <v>46097</v>
      </c>
      <c r="K224" s="53">
        <v>3.7450000000000001</v>
      </c>
      <c r="L224" s="53">
        <v>2.994561</v>
      </c>
      <c r="M224" s="53">
        <v>8910.908394</v>
      </c>
      <c r="N224" s="54">
        <v>0.20296690116629099</v>
      </c>
      <c r="O224" s="53">
        <v>-6.5339</v>
      </c>
      <c r="P224" s="30">
        <v>147.93</v>
      </c>
      <c r="Q224" s="30">
        <v>145.22800000000001</v>
      </c>
      <c r="R224" s="54">
        <v>1.8605227642052483E-2</v>
      </c>
    </row>
    <row r="225" spans="1:18" x14ac:dyDescent="0.15">
      <c r="A225" s="31">
        <v>224</v>
      </c>
      <c r="B225" s="30">
        <v>113056</v>
      </c>
      <c r="C225" s="30" t="s">
        <v>1928</v>
      </c>
      <c r="D225" s="30">
        <v>101.19</v>
      </c>
      <c r="E225" s="30">
        <v>0.02</v>
      </c>
      <c r="F225" s="30">
        <v>11.28</v>
      </c>
      <c r="G225" s="30">
        <v>70.66</v>
      </c>
      <c r="H225" s="30">
        <v>43.21</v>
      </c>
      <c r="I225" s="51">
        <v>144.4</v>
      </c>
      <c r="J225" s="52">
        <v>46835</v>
      </c>
      <c r="K225" s="53">
        <v>5.7670000000000003</v>
      </c>
      <c r="L225" s="53">
        <v>130</v>
      </c>
      <c r="M225" s="53">
        <v>7166.7411000000002</v>
      </c>
      <c r="N225" s="54">
        <v>5.4480460215740384E-3</v>
      </c>
      <c r="O225" s="53">
        <v>2.4081999999999999</v>
      </c>
      <c r="P225" s="30">
        <v>101.34</v>
      </c>
      <c r="Q225" s="30">
        <v>101</v>
      </c>
      <c r="R225" s="54">
        <v>3.3663366336634001E-3</v>
      </c>
    </row>
    <row r="226" spans="1:18" x14ac:dyDescent="0.15">
      <c r="A226" s="31">
        <v>225</v>
      </c>
      <c r="B226" s="30">
        <v>123075</v>
      </c>
      <c r="C226" s="30" t="s">
        <v>70</v>
      </c>
      <c r="D226" s="30">
        <v>125.2</v>
      </c>
      <c r="E226" s="30">
        <v>2.2000000000000002</v>
      </c>
      <c r="F226" s="30">
        <v>23.74</v>
      </c>
      <c r="G226" s="30">
        <v>87.28</v>
      </c>
      <c r="H226" s="30">
        <v>43.45</v>
      </c>
      <c r="I226" s="51">
        <v>168.65</v>
      </c>
      <c r="J226" s="52">
        <v>46328</v>
      </c>
      <c r="K226" s="53">
        <v>4.3780000000000001</v>
      </c>
      <c r="L226" s="53">
        <v>5.9963300000000004</v>
      </c>
      <c r="M226" s="53">
        <v>8552.3423549999989</v>
      </c>
      <c r="N226" s="54">
        <v>0.11391875318741952</v>
      </c>
      <c r="O226" s="53">
        <v>-1.9403999999999999</v>
      </c>
      <c r="P226" s="30">
        <v>125.291</v>
      </c>
      <c r="Q226" s="30">
        <v>122.15</v>
      </c>
      <c r="R226" s="54">
        <v>2.5714285714285641E-2</v>
      </c>
    </row>
    <row r="227" spans="1:18" x14ac:dyDescent="0.15">
      <c r="A227" s="31">
        <v>226</v>
      </c>
      <c r="B227" s="30">
        <v>127017</v>
      </c>
      <c r="C227" s="30" t="s">
        <v>197</v>
      </c>
      <c r="D227" s="30">
        <v>120.9</v>
      </c>
      <c r="E227" s="30">
        <v>-0.23</v>
      </c>
      <c r="F227" s="30">
        <v>12.66</v>
      </c>
      <c r="G227" s="30">
        <v>84.04</v>
      </c>
      <c r="H227" s="30">
        <v>43.86</v>
      </c>
      <c r="I227" s="51">
        <v>164.76</v>
      </c>
      <c r="J227" s="52">
        <v>46176</v>
      </c>
      <c r="K227" s="53">
        <v>3.9620000000000002</v>
      </c>
      <c r="L227" s="53">
        <v>9.9959450000000007</v>
      </c>
      <c r="M227" s="53">
        <v>1247.9979065999999</v>
      </c>
      <c r="N227" s="54">
        <v>1.0326750827485355E-2</v>
      </c>
      <c r="O227" s="53">
        <v>-0.75060000000000004</v>
      </c>
      <c r="P227" s="30">
        <v>121.33</v>
      </c>
      <c r="Q227" s="30">
        <v>120.05</v>
      </c>
      <c r="R227" s="54">
        <v>1.0662224073302801E-2</v>
      </c>
    </row>
    <row r="228" spans="1:18" x14ac:dyDescent="0.15">
      <c r="A228" s="31">
        <v>227</v>
      </c>
      <c r="B228" s="30">
        <v>127054</v>
      </c>
      <c r="C228" s="30" t="s">
        <v>785</v>
      </c>
      <c r="D228" s="30">
        <v>115.35</v>
      </c>
      <c r="E228" s="30">
        <v>-0.05</v>
      </c>
      <c r="F228" s="30">
        <v>7.71</v>
      </c>
      <c r="G228" s="30">
        <v>80.16</v>
      </c>
      <c r="H228" s="30">
        <v>43.9</v>
      </c>
      <c r="I228" s="51">
        <v>159.25</v>
      </c>
      <c r="J228" s="52">
        <v>46794</v>
      </c>
      <c r="K228" s="53">
        <v>5.6550000000000002</v>
      </c>
      <c r="L228" s="53">
        <v>5.1364000000000001</v>
      </c>
      <c r="M228" s="53">
        <v>595.11760020000008</v>
      </c>
      <c r="N228" s="54">
        <v>1.0044454556676951E-2</v>
      </c>
      <c r="O228" s="53">
        <v>0.27110000000000001</v>
      </c>
      <c r="P228" s="30">
        <v>115.768</v>
      </c>
      <c r="Q228" s="30">
        <v>115.024</v>
      </c>
      <c r="R228" s="54">
        <v>6.4682153289748207E-3</v>
      </c>
    </row>
    <row r="229" spans="1:18" x14ac:dyDescent="0.15">
      <c r="A229" s="31">
        <v>228</v>
      </c>
      <c r="B229" s="30">
        <v>113635</v>
      </c>
      <c r="C229" s="30" t="s">
        <v>1945</v>
      </c>
      <c r="D229" s="30">
        <v>125.8</v>
      </c>
      <c r="E229" s="30">
        <v>1.03</v>
      </c>
      <c r="F229" s="30">
        <v>33.04</v>
      </c>
      <c r="G229" s="30">
        <v>87.29</v>
      </c>
      <c r="H229" s="30">
        <v>44.12</v>
      </c>
      <c r="I229" s="51">
        <v>169.92</v>
      </c>
      <c r="J229" s="52">
        <v>46731</v>
      </c>
      <c r="K229" s="53">
        <v>5.4820000000000002</v>
      </c>
      <c r="L229" s="53">
        <v>13.499040000000001</v>
      </c>
      <c r="M229" s="53">
        <v>3298.1909999999998</v>
      </c>
      <c r="N229" s="54">
        <v>1.9421925188165295E-2</v>
      </c>
      <c r="O229" s="53">
        <v>-0.93200000000000005</v>
      </c>
      <c r="P229" s="30">
        <v>126.55</v>
      </c>
      <c r="Q229" s="30">
        <v>123.43</v>
      </c>
      <c r="R229" s="54">
        <v>2.527748521429142E-2</v>
      </c>
    </row>
    <row r="230" spans="1:18" x14ac:dyDescent="0.15">
      <c r="A230" s="31">
        <v>229</v>
      </c>
      <c r="B230" s="30">
        <v>113600</v>
      </c>
      <c r="C230" s="30" t="s">
        <v>275</v>
      </c>
      <c r="D230" s="30">
        <v>133.21</v>
      </c>
      <c r="E230" s="30">
        <v>2.2599999999999998</v>
      </c>
      <c r="F230" s="30">
        <v>23.85</v>
      </c>
      <c r="G230" s="30">
        <v>92.33</v>
      </c>
      <c r="H230" s="30">
        <v>44.28</v>
      </c>
      <c r="I230" s="51">
        <v>177.49</v>
      </c>
      <c r="J230" s="52">
        <v>46247</v>
      </c>
      <c r="K230" s="53">
        <v>4.1559999999999997</v>
      </c>
      <c r="L230" s="53">
        <v>4.5331000000000001</v>
      </c>
      <c r="M230" s="53">
        <v>4012.614</v>
      </c>
      <c r="N230" s="54">
        <v>6.645004143557813E-2</v>
      </c>
      <c r="O230" s="53">
        <v>-1.4337</v>
      </c>
      <c r="P230" s="30">
        <v>134.31</v>
      </c>
      <c r="Q230" s="30">
        <v>129.52000000000001</v>
      </c>
      <c r="R230" s="54">
        <v>3.6982705373687398E-2</v>
      </c>
    </row>
    <row r="231" spans="1:18" x14ac:dyDescent="0.15">
      <c r="A231" s="31">
        <v>230</v>
      </c>
      <c r="B231" s="30">
        <v>110067</v>
      </c>
      <c r="C231" s="30" t="s">
        <v>1941</v>
      </c>
      <c r="D231" s="30">
        <v>111.82</v>
      </c>
      <c r="E231" s="30">
        <v>1.22</v>
      </c>
      <c r="F231" s="30">
        <v>6.12</v>
      </c>
      <c r="G231" s="30">
        <v>77.45</v>
      </c>
      <c r="H231" s="30">
        <v>44.38</v>
      </c>
      <c r="I231" s="51">
        <v>156.19999999999999</v>
      </c>
      <c r="J231" s="52">
        <v>46093</v>
      </c>
      <c r="K231" s="53">
        <v>3.734</v>
      </c>
      <c r="L231" s="53">
        <v>27.995080000000002</v>
      </c>
      <c r="M231" s="53">
        <v>16769.833900000001</v>
      </c>
      <c r="N231" s="54">
        <v>5.3570729479946927E-2</v>
      </c>
      <c r="O231" s="53">
        <v>-0.46789999999999998</v>
      </c>
      <c r="P231" s="30">
        <v>113</v>
      </c>
      <c r="Q231" s="30">
        <v>110.3</v>
      </c>
      <c r="R231" s="54">
        <v>2.4478694469628314E-2</v>
      </c>
    </row>
    <row r="232" spans="1:18" x14ac:dyDescent="0.15">
      <c r="A232" s="31">
        <v>231</v>
      </c>
      <c r="B232" s="30">
        <v>128132</v>
      </c>
      <c r="C232" s="30" t="s">
        <v>160</v>
      </c>
      <c r="D232" s="30">
        <v>118.95</v>
      </c>
      <c r="E232" s="30">
        <v>-0.23</v>
      </c>
      <c r="F232" s="30">
        <v>18.53</v>
      </c>
      <c r="G232" s="30">
        <v>82.35</v>
      </c>
      <c r="H232" s="30">
        <v>44.44</v>
      </c>
      <c r="I232" s="51">
        <v>163.38999999999999</v>
      </c>
      <c r="J232" s="52">
        <v>46280</v>
      </c>
      <c r="K232" s="53">
        <v>4.2469999999999999</v>
      </c>
      <c r="L232" s="53">
        <v>8.4894379999999998</v>
      </c>
      <c r="M232" s="53">
        <v>2679.2462124000003</v>
      </c>
      <c r="N232" s="54">
        <v>2.653195414973452E-2</v>
      </c>
      <c r="O232" s="53">
        <v>-0.4168</v>
      </c>
      <c r="P232" s="30">
        <v>119.43899999999999</v>
      </c>
      <c r="Q232" s="30">
        <v>118.49</v>
      </c>
      <c r="R232" s="54">
        <v>8.0091146932230409E-3</v>
      </c>
    </row>
    <row r="233" spans="1:18" x14ac:dyDescent="0.15">
      <c r="A233" s="31">
        <v>232</v>
      </c>
      <c r="B233" s="30">
        <v>113519</v>
      </c>
      <c r="C233" s="30" t="s">
        <v>174</v>
      </c>
      <c r="D233" s="30">
        <v>117.38</v>
      </c>
      <c r="E233" s="30">
        <v>-0.09</v>
      </c>
      <c r="F233" s="30">
        <v>11.04</v>
      </c>
      <c r="G233" s="30">
        <v>81.16</v>
      </c>
      <c r="H233" s="30">
        <v>44.63</v>
      </c>
      <c r="I233" s="51">
        <v>162.01</v>
      </c>
      <c r="J233" s="52">
        <v>45603</v>
      </c>
      <c r="K233" s="53">
        <v>2.3919999999999999</v>
      </c>
      <c r="L233" s="53">
        <v>6.9611099999999997</v>
      </c>
      <c r="M233" s="53">
        <v>10156.878000000001</v>
      </c>
      <c r="N233" s="54">
        <v>0.12430472416160462</v>
      </c>
      <c r="O233" s="53">
        <v>0.3322</v>
      </c>
      <c r="P233" s="30">
        <v>119</v>
      </c>
      <c r="Q233" s="30">
        <v>117.11</v>
      </c>
      <c r="R233" s="54">
        <v>1.6138673042438739E-2</v>
      </c>
    </row>
    <row r="234" spans="1:18" x14ac:dyDescent="0.15">
      <c r="A234" s="31">
        <v>233</v>
      </c>
      <c r="B234" s="30">
        <v>113524</v>
      </c>
      <c r="C234" s="30" t="s">
        <v>222</v>
      </c>
      <c r="D234" s="30">
        <v>116.32</v>
      </c>
      <c r="E234" s="30">
        <v>0.41</v>
      </c>
      <c r="F234" s="30">
        <v>13.68</v>
      </c>
      <c r="G234" s="30">
        <v>80.34</v>
      </c>
      <c r="H234" s="30">
        <v>44.78</v>
      </c>
      <c r="I234" s="51">
        <v>161.1</v>
      </c>
      <c r="J234" s="52">
        <v>45640</v>
      </c>
      <c r="K234" s="53">
        <v>2.4929999999999999</v>
      </c>
      <c r="L234" s="53">
        <v>3.2980100000000001</v>
      </c>
      <c r="M234" s="53">
        <v>931.89949999999999</v>
      </c>
      <c r="N234" s="54">
        <v>2.4291968934273805E-2</v>
      </c>
      <c r="O234" s="53">
        <v>-7.0000000000000001E-3</v>
      </c>
      <c r="P234" s="30">
        <v>116.88</v>
      </c>
      <c r="Q234" s="30">
        <v>115.6</v>
      </c>
      <c r="R234" s="54">
        <v>1.1072664359861602E-2</v>
      </c>
    </row>
    <row r="235" spans="1:18" x14ac:dyDescent="0.15">
      <c r="A235" s="31">
        <v>234</v>
      </c>
      <c r="B235" s="30">
        <v>123050</v>
      </c>
      <c r="C235" s="30" t="s">
        <v>68</v>
      </c>
      <c r="D235" s="30">
        <v>126.25700000000001</v>
      </c>
      <c r="E235" s="30">
        <v>-0.11</v>
      </c>
      <c r="F235" s="30">
        <v>5.08</v>
      </c>
      <c r="G235" s="30">
        <v>87.01</v>
      </c>
      <c r="H235" s="30">
        <v>45.11</v>
      </c>
      <c r="I235" s="51">
        <v>171.36700000000002</v>
      </c>
      <c r="J235" s="52">
        <v>46126</v>
      </c>
      <c r="K235" s="53">
        <v>3.8250000000000002</v>
      </c>
      <c r="L235" s="53">
        <v>3.7459980000000006</v>
      </c>
      <c r="M235" s="53">
        <v>3350.9991522</v>
      </c>
      <c r="N235" s="54">
        <v>7.0851868999021947E-2</v>
      </c>
      <c r="O235" s="53">
        <v>-0.69289999999999996</v>
      </c>
      <c r="P235" s="30">
        <v>126.8</v>
      </c>
      <c r="Q235" s="30">
        <v>125</v>
      </c>
      <c r="R235" s="54">
        <v>1.4399999999999977E-2</v>
      </c>
    </row>
    <row r="236" spans="1:18" x14ac:dyDescent="0.15">
      <c r="A236" s="31">
        <v>235</v>
      </c>
      <c r="B236" s="30">
        <v>127056</v>
      </c>
      <c r="C236" s="30" t="s">
        <v>1929</v>
      </c>
      <c r="D236" s="30">
        <v>116.2</v>
      </c>
      <c r="E236" s="30">
        <v>0.44</v>
      </c>
      <c r="F236" s="30">
        <v>24.2</v>
      </c>
      <c r="G236" s="30">
        <v>80.040000000000006</v>
      </c>
      <c r="H236" s="30">
        <v>45.18</v>
      </c>
      <c r="I236" s="51">
        <v>161.38</v>
      </c>
      <c r="J236" s="52">
        <v>46808</v>
      </c>
      <c r="K236" s="53">
        <v>5.6929999999999996</v>
      </c>
      <c r="L236" s="53">
        <v>50</v>
      </c>
      <c r="M236" s="53">
        <v>5971.6889635999996</v>
      </c>
      <c r="N236" s="54">
        <v>1.0278294257487089E-2</v>
      </c>
      <c r="O236" s="53">
        <v>-0.90839999999999999</v>
      </c>
      <c r="P236" s="30">
        <v>116.5</v>
      </c>
      <c r="Q236" s="30">
        <v>114.712</v>
      </c>
      <c r="R236" s="54">
        <v>1.5586861008438495E-2</v>
      </c>
    </row>
    <row r="237" spans="1:18" x14ac:dyDescent="0.15">
      <c r="A237" s="31">
        <v>236</v>
      </c>
      <c r="B237" s="30">
        <v>128078</v>
      </c>
      <c r="C237" s="30" t="s">
        <v>1935</v>
      </c>
      <c r="D237" s="30">
        <v>125.333</v>
      </c>
      <c r="E237" s="30">
        <v>-0.05</v>
      </c>
      <c r="F237" s="30">
        <v>22.21</v>
      </c>
      <c r="G237" s="30">
        <v>86.31</v>
      </c>
      <c r="H237" s="30">
        <v>45.21</v>
      </c>
      <c r="I237" s="51">
        <v>170.54300000000001</v>
      </c>
      <c r="J237" s="52">
        <v>45951</v>
      </c>
      <c r="K237" s="53">
        <v>3.3450000000000002</v>
      </c>
      <c r="L237" s="53">
        <v>9.5993570000000012</v>
      </c>
      <c r="M237" s="53">
        <v>886.84342500000002</v>
      </c>
      <c r="N237" s="54">
        <v>7.3712199784141839E-3</v>
      </c>
      <c r="O237" s="53">
        <v>-2.2530999999999999</v>
      </c>
      <c r="P237" s="30">
        <v>125.746</v>
      </c>
      <c r="Q237" s="30">
        <v>124.34699999999999</v>
      </c>
      <c r="R237" s="54">
        <v>1.1250774043603794E-2</v>
      </c>
    </row>
    <row r="238" spans="1:18" x14ac:dyDescent="0.15">
      <c r="A238" s="31">
        <v>237</v>
      </c>
      <c r="B238" s="30">
        <v>128023</v>
      </c>
      <c r="C238" s="30" t="s">
        <v>214</v>
      </c>
      <c r="D238" s="30">
        <v>123.20399999999999</v>
      </c>
      <c r="E238" s="30">
        <v>0.55000000000000004</v>
      </c>
      <c r="F238" s="30">
        <v>10.24</v>
      </c>
      <c r="G238" s="30">
        <v>84.77</v>
      </c>
      <c r="H238" s="30">
        <v>45.34</v>
      </c>
      <c r="I238" s="51">
        <v>168.54399999999998</v>
      </c>
      <c r="J238" s="52">
        <v>45264</v>
      </c>
      <c r="K238" s="53">
        <v>1.4630000000000001</v>
      </c>
      <c r="L238" s="53">
        <v>9.9863979999999994</v>
      </c>
      <c r="M238" s="53">
        <v>13149.536394000001</v>
      </c>
      <c r="N238" s="54">
        <v>0.10687515628612917</v>
      </c>
      <c r="O238" s="53">
        <v>-7.6363000000000003</v>
      </c>
      <c r="P238" s="30">
        <v>124.848</v>
      </c>
      <c r="Q238" s="30">
        <v>122.252</v>
      </c>
      <c r="R238" s="54">
        <v>2.1234826424107612E-2</v>
      </c>
    </row>
    <row r="239" spans="1:18" x14ac:dyDescent="0.15">
      <c r="A239" s="31">
        <v>238</v>
      </c>
      <c r="B239" s="30">
        <v>110045</v>
      </c>
      <c r="C239" s="30" t="s">
        <v>1930</v>
      </c>
      <c r="D239" s="30">
        <v>108.84</v>
      </c>
      <c r="E239" s="30">
        <v>0.32</v>
      </c>
      <c r="F239" s="30">
        <v>7.04</v>
      </c>
      <c r="G239" s="30">
        <v>74.86</v>
      </c>
      <c r="H239" s="30">
        <v>45.39</v>
      </c>
      <c r="I239" s="51">
        <v>154.23000000000002</v>
      </c>
      <c r="J239" s="52">
        <v>45486</v>
      </c>
      <c r="K239" s="53">
        <v>2.0710000000000002</v>
      </c>
      <c r="L239" s="53">
        <v>29.496179999999999</v>
      </c>
      <c r="M239" s="53">
        <v>1684.1656</v>
      </c>
      <c r="N239" s="54">
        <v>5.2460265524777441E-3</v>
      </c>
      <c r="O239" s="53">
        <v>0.65410000000000001</v>
      </c>
      <c r="P239" s="30">
        <v>109.03</v>
      </c>
      <c r="Q239" s="30">
        <v>108.49</v>
      </c>
      <c r="R239" s="54">
        <v>4.9774172734814845E-3</v>
      </c>
    </row>
    <row r="240" spans="1:18" x14ac:dyDescent="0.15">
      <c r="A240" s="31">
        <v>239</v>
      </c>
      <c r="B240" s="30">
        <v>113546</v>
      </c>
      <c r="C240" s="30" t="s">
        <v>87</v>
      </c>
      <c r="D240" s="30">
        <v>124.01</v>
      </c>
      <c r="E240" s="30">
        <v>1</v>
      </c>
      <c r="F240" s="30">
        <v>13.8</v>
      </c>
      <c r="G240" s="30">
        <v>85.29</v>
      </c>
      <c r="H240" s="30">
        <v>45.4</v>
      </c>
      <c r="I240" s="51">
        <v>169.41</v>
      </c>
      <c r="J240" s="52">
        <v>45953</v>
      </c>
      <c r="K240" s="53">
        <v>3.351</v>
      </c>
      <c r="L240" s="53">
        <v>2.2968000000000002</v>
      </c>
      <c r="M240" s="53">
        <v>3826.1576</v>
      </c>
      <c r="N240" s="54">
        <v>0.13433307855337223</v>
      </c>
      <c r="O240" s="53">
        <v>-1.0472999999999999</v>
      </c>
      <c r="P240" s="30">
        <v>124.7</v>
      </c>
      <c r="Q240" s="30">
        <v>122.19</v>
      </c>
      <c r="R240" s="54">
        <v>2.0541779196333623E-2</v>
      </c>
    </row>
    <row r="241" spans="1:18" x14ac:dyDescent="0.15">
      <c r="A241" s="31">
        <v>240</v>
      </c>
      <c r="B241" s="30">
        <v>123133</v>
      </c>
      <c r="C241" s="30" t="s">
        <v>278</v>
      </c>
      <c r="D241" s="30">
        <v>126.5</v>
      </c>
      <c r="E241" s="30">
        <v>-0.2</v>
      </c>
      <c r="F241" s="30">
        <v>19.89</v>
      </c>
      <c r="G241" s="30">
        <v>86.68</v>
      </c>
      <c r="H241" s="30">
        <v>45.94</v>
      </c>
      <c r="I241" s="51">
        <v>172.44</v>
      </c>
      <c r="J241" s="52">
        <v>46743</v>
      </c>
      <c r="K241" s="53">
        <v>5.5149999999999997</v>
      </c>
      <c r="L241" s="53">
        <v>7.2</v>
      </c>
      <c r="M241" s="53">
        <v>1202.1773306</v>
      </c>
      <c r="N241" s="54">
        <v>1.3199136260430389E-2</v>
      </c>
      <c r="O241" s="53">
        <v>-0.89319999999999999</v>
      </c>
      <c r="P241" s="30">
        <v>127.26</v>
      </c>
      <c r="Q241" s="30">
        <v>126</v>
      </c>
      <c r="R241" s="54">
        <v>1.000000000000004E-2</v>
      </c>
    </row>
    <row r="242" spans="1:18" x14ac:dyDescent="0.15">
      <c r="A242" s="31">
        <v>241</v>
      </c>
      <c r="B242" s="30">
        <v>123131</v>
      </c>
      <c r="C242" s="30" t="s">
        <v>250</v>
      </c>
      <c r="D242" s="30">
        <v>126.247</v>
      </c>
      <c r="E242" s="30">
        <v>0.6</v>
      </c>
      <c r="F242" s="30">
        <v>12.21</v>
      </c>
      <c r="G242" s="30">
        <v>86.49</v>
      </c>
      <c r="H242" s="30">
        <v>45.97</v>
      </c>
      <c r="I242" s="51">
        <v>172.21699999999998</v>
      </c>
      <c r="J242" s="52">
        <v>46724</v>
      </c>
      <c r="K242" s="53">
        <v>5.4630000000000001</v>
      </c>
      <c r="L242" s="53">
        <v>6.3498640000000002</v>
      </c>
      <c r="M242" s="53">
        <v>4030.2030900999998</v>
      </c>
      <c r="N242" s="54">
        <v>5.0273768515018531E-2</v>
      </c>
      <c r="O242" s="53">
        <v>-0.68410000000000004</v>
      </c>
      <c r="P242" s="30">
        <v>126.34</v>
      </c>
      <c r="Q242" s="30">
        <v>124.803</v>
      </c>
      <c r="R242" s="54">
        <v>1.2315409084717564E-2</v>
      </c>
    </row>
    <row r="243" spans="1:18" x14ac:dyDescent="0.15">
      <c r="A243" s="31">
        <v>242</v>
      </c>
      <c r="B243" s="30">
        <v>113619</v>
      </c>
      <c r="C243" s="30" t="s">
        <v>230</v>
      </c>
      <c r="D243" s="30">
        <v>122.43</v>
      </c>
      <c r="E243" s="30">
        <v>0.59</v>
      </c>
      <c r="F243" s="30">
        <v>19.920000000000002</v>
      </c>
      <c r="G243" s="30">
        <v>83.73</v>
      </c>
      <c r="H243" s="30">
        <v>46.22</v>
      </c>
      <c r="I243" s="51">
        <v>168.65</v>
      </c>
      <c r="J243" s="52">
        <v>46407</v>
      </c>
      <c r="K243" s="53">
        <v>4.5949999999999998</v>
      </c>
      <c r="L243" s="53">
        <v>9.9967699999999997</v>
      </c>
      <c r="M243" s="53">
        <v>2671.7073</v>
      </c>
      <c r="N243" s="54">
        <v>2.182937629898319E-2</v>
      </c>
      <c r="O243" s="53">
        <v>-1.3976</v>
      </c>
      <c r="P243" s="30">
        <v>123.03</v>
      </c>
      <c r="Q243" s="30">
        <v>120.22</v>
      </c>
      <c r="R243" s="54">
        <v>2.3373814673099336E-2</v>
      </c>
    </row>
    <row r="244" spans="1:18" x14ac:dyDescent="0.15">
      <c r="A244" s="31">
        <v>243</v>
      </c>
      <c r="B244" s="30">
        <v>113621</v>
      </c>
      <c r="C244" s="30" t="s">
        <v>248</v>
      </c>
      <c r="D244" s="30">
        <v>130.9</v>
      </c>
      <c r="E244" s="30">
        <v>-0.04</v>
      </c>
      <c r="F244" s="30">
        <v>32.619999999999997</v>
      </c>
      <c r="G244" s="30">
        <v>89.48</v>
      </c>
      <c r="H244" s="30">
        <v>46.29</v>
      </c>
      <c r="I244" s="51">
        <v>177.19</v>
      </c>
      <c r="J244" s="52">
        <v>46413</v>
      </c>
      <c r="K244" s="53">
        <v>4.6109999999999998</v>
      </c>
      <c r="L244" s="53">
        <v>5.3671432979999993</v>
      </c>
      <c r="M244" s="53">
        <v>5181.7920000000004</v>
      </c>
      <c r="N244" s="54">
        <v>7.3755963191242502E-2</v>
      </c>
      <c r="O244" s="53">
        <v>-2.8548</v>
      </c>
      <c r="P244" s="30">
        <v>131.97</v>
      </c>
      <c r="Q244" s="30">
        <v>128</v>
      </c>
      <c r="R244" s="54">
        <v>3.1015624999999991E-2</v>
      </c>
    </row>
    <row r="245" spans="1:18" x14ac:dyDescent="0.15">
      <c r="A245" s="31">
        <v>244</v>
      </c>
      <c r="B245" s="30">
        <v>113601</v>
      </c>
      <c r="C245" s="30" t="s">
        <v>65</v>
      </c>
      <c r="D245" s="30">
        <v>114.37</v>
      </c>
      <c r="E245" s="30">
        <v>0.02</v>
      </c>
      <c r="F245" s="30">
        <v>16.98</v>
      </c>
      <c r="G245" s="30">
        <v>78.150000000000006</v>
      </c>
      <c r="H245" s="30">
        <v>46.35</v>
      </c>
      <c r="I245" s="51">
        <v>160.72</v>
      </c>
      <c r="J245" s="52">
        <v>46255</v>
      </c>
      <c r="K245" s="53">
        <v>4.1779999999999999</v>
      </c>
      <c r="L245" s="53">
        <v>5.4290200000000004</v>
      </c>
      <c r="M245" s="53">
        <v>1963.2456999999999</v>
      </c>
      <c r="N245" s="54">
        <v>3.1618487575373708E-2</v>
      </c>
      <c r="O245" s="53">
        <v>1.3489</v>
      </c>
      <c r="P245" s="30">
        <v>114.75</v>
      </c>
      <c r="Q245" s="30">
        <v>113.58</v>
      </c>
      <c r="R245" s="54">
        <v>1.0301109350237734E-2</v>
      </c>
    </row>
    <row r="246" spans="1:18" x14ac:dyDescent="0.15">
      <c r="A246" s="31">
        <v>245</v>
      </c>
      <c r="B246" s="30">
        <v>113526</v>
      </c>
      <c r="C246" s="30" t="s">
        <v>144</v>
      </c>
      <c r="D246" s="30">
        <v>149.54</v>
      </c>
      <c r="E246" s="30">
        <v>1.81</v>
      </c>
      <c r="F246" s="30">
        <v>5.72</v>
      </c>
      <c r="G246" s="30">
        <v>102.1</v>
      </c>
      <c r="H246" s="30">
        <v>46.46</v>
      </c>
      <c r="I246" s="51">
        <v>196</v>
      </c>
      <c r="J246" s="52">
        <v>45680</v>
      </c>
      <c r="K246" s="53">
        <v>2.6030000000000002</v>
      </c>
      <c r="L246" s="53">
        <v>1.9295199999999999</v>
      </c>
      <c r="M246" s="53">
        <v>97614.233099999998</v>
      </c>
      <c r="N246" s="54">
        <v>3.3830349602096375</v>
      </c>
      <c r="O246" s="53">
        <v>-11.501799999999999</v>
      </c>
      <c r="P246" s="30">
        <v>156.22</v>
      </c>
      <c r="Q246" s="30">
        <v>145.46</v>
      </c>
      <c r="R246" s="54">
        <v>7.397222604152337E-2</v>
      </c>
    </row>
    <row r="247" spans="1:18" x14ac:dyDescent="0.15">
      <c r="A247" s="31">
        <v>246</v>
      </c>
      <c r="B247" s="30">
        <v>123010</v>
      </c>
      <c r="C247" s="30" t="s">
        <v>198</v>
      </c>
      <c r="D247" s="30">
        <v>111.199</v>
      </c>
      <c r="E247" s="30">
        <v>0.01</v>
      </c>
      <c r="F247" s="30">
        <v>7.72</v>
      </c>
      <c r="G247" s="30">
        <v>75.91</v>
      </c>
      <c r="H247" s="30">
        <v>46.49</v>
      </c>
      <c r="I247" s="51">
        <v>157.68899999999999</v>
      </c>
      <c r="J247" s="52">
        <v>45478</v>
      </c>
      <c r="K247" s="53">
        <v>2.0489999999999999</v>
      </c>
      <c r="L247" s="53">
        <v>4.2960060000000002</v>
      </c>
      <c r="M247" s="53">
        <v>537.91388899999993</v>
      </c>
      <c r="N247" s="54">
        <v>1.1260223143758677E-2</v>
      </c>
      <c r="O247" s="53">
        <v>4.5199999999999997E-2</v>
      </c>
      <c r="P247" s="30">
        <v>111.489</v>
      </c>
      <c r="Q247" s="30">
        <v>110.712</v>
      </c>
      <c r="R247" s="54">
        <v>7.0182094081942424E-3</v>
      </c>
    </row>
    <row r="248" spans="1:18" x14ac:dyDescent="0.15">
      <c r="A248" s="31">
        <v>247</v>
      </c>
      <c r="B248" s="30">
        <v>123002</v>
      </c>
      <c r="C248" s="30" t="s">
        <v>81</v>
      </c>
      <c r="D248" s="30">
        <v>116.996</v>
      </c>
      <c r="E248" s="30">
        <v>0.43</v>
      </c>
      <c r="F248" s="30">
        <v>8.24</v>
      </c>
      <c r="G248" s="30">
        <v>79.849999999999994</v>
      </c>
      <c r="H248" s="30">
        <v>46.52</v>
      </c>
      <c r="I248" s="51">
        <v>163.51599999999999</v>
      </c>
      <c r="J248" s="52">
        <v>45254</v>
      </c>
      <c r="K248" s="53">
        <v>1.4359999999999999</v>
      </c>
      <c r="L248" s="53">
        <v>2.5214889999999999</v>
      </c>
      <c r="M248" s="53">
        <v>596.85817699999996</v>
      </c>
      <c r="N248" s="54">
        <v>2.0232197528239269E-2</v>
      </c>
      <c r="O248" s="53">
        <v>-5.7680999999999996</v>
      </c>
      <c r="P248" s="30">
        <v>116.999</v>
      </c>
      <c r="Q248" s="30">
        <v>116.1</v>
      </c>
      <c r="R248" s="54">
        <v>7.7433247200689144E-3</v>
      </c>
    </row>
    <row r="249" spans="1:18" x14ac:dyDescent="0.15">
      <c r="A249" s="31">
        <v>248</v>
      </c>
      <c r="B249" s="30">
        <v>113628</v>
      </c>
      <c r="C249" s="30" t="s">
        <v>229</v>
      </c>
      <c r="D249" s="30">
        <v>109.2</v>
      </c>
      <c r="E249" s="30">
        <v>0.67</v>
      </c>
      <c r="F249" s="30">
        <v>13.06</v>
      </c>
      <c r="G249" s="30">
        <v>74.5</v>
      </c>
      <c r="H249" s="30">
        <v>46.58</v>
      </c>
      <c r="I249" s="51">
        <v>155.78</v>
      </c>
      <c r="J249" s="52">
        <v>46622</v>
      </c>
      <c r="K249" s="53">
        <v>5.1840000000000002</v>
      </c>
      <c r="L249" s="53">
        <v>4.1498100000000004</v>
      </c>
      <c r="M249" s="53">
        <v>995.27409999999998</v>
      </c>
      <c r="N249" s="54">
        <v>2.1963009595575903E-2</v>
      </c>
      <c r="O249" s="53">
        <v>2.1646000000000001</v>
      </c>
      <c r="P249" s="30">
        <v>109.29</v>
      </c>
      <c r="Q249" s="30">
        <v>108.4</v>
      </c>
      <c r="R249" s="54">
        <v>8.2103321033210382E-3</v>
      </c>
    </row>
    <row r="250" spans="1:18" x14ac:dyDescent="0.15">
      <c r="A250" s="31">
        <v>249</v>
      </c>
      <c r="B250" s="30">
        <v>127006</v>
      </c>
      <c r="C250" s="30" t="s">
        <v>1936</v>
      </c>
      <c r="D250" s="30">
        <v>110.1</v>
      </c>
      <c r="E250" s="30">
        <v>0.82</v>
      </c>
      <c r="F250" s="30">
        <v>19.93</v>
      </c>
      <c r="G250" s="30">
        <v>74.959999999999994</v>
      </c>
      <c r="H250" s="30">
        <v>46.88</v>
      </c>
      <c r="I250" s="51">
        <v>156.97999999999999</v>
      </c>
      <c r="J250" s="52">
        <v>45364</v>
      </c>
      <c r="K250" s="53">
        <v>1.7370000000000001</v>
      </c>
      <c r="L250" s="53">
        <v>24.072253</v>
      </c>
      <c r="M250" s="53">
        <v>2369.029031</v>
      </c>
      <c r="N250" s="54">
        <v>8.9385345795936922E-3</v>
      </c>
      <c r="O250" s="53">
        <v>-1.8555999999999999</v>
      </c>
      <c r="P250" s="30">
        <v>110.277</v>
      </c>
      <c r="Q250" s="30">
        <v>108.2</v>
      </c>
      <c r="R250" s="54">
        <v>1.9195933456561905E-2</v>
      </c>
    </row>
    <row r="251" spans="1:18" x14ac:dyDescent="0.15">
      <c r="A251" s="31">
        <v>250</v>
      </c>
      <c r="B251" s="30">
        <v>123132</v>
      </c>
      <c r="C251" s="30" t="s">
        <v>254</v>
      </c>
      <c r="D251" s="30">
        <v>123.99</v>
      </c>
      <c r="E251" s="30">
        <v>0.11</v>
      </c>
      <c r="F251" s="30">
        <v>28</v>
      </c>
      <c r="G251" s="30">
        <v>84.39</v>
      </c>
      <c r="H251" s="30">
        <v>46.92</v>
      </c>
      <c r="I251" s="51">
        <v>170.91</v>
      </c>
      <c r="J251" s="52">
        <v>46738</v>
      </c>
      <c r="K251" s="53">
        <v>5.5010000000000003</v>
      </c>
      <c r="L251" s="53">
        <v>7</v>
      </c>
      <c r="M251" s="53">
        <v>5295.0221610999997</v>
      </c>
      <c r="N251" s="54">
        <v>6.1007479417694958E-2</v>
      </c>
      <c r="O251" s="53">
        <v>-0.45119999999999999</v>
      </c>
      <c r="P251" s="30">
        <v>124.765</v>
      </c>
      <c r="Q251" s="30">
        <v>121.9</v>
      </c>
      <c r="R251" s="54">
        <v>2.3502871205906439E-2</v>
      </c>
    </row>
    <row r="252" spans="1:18" x14ac:dyDescent="0.15">
      <c r="A252" s="31">
        <v>251</v>
      </c>
      <c r="B252" s="30">
        <v>123118</v>
      </c>
      <c r="C252" s="30" t="s">
        <v>241</v>
      </c>
      <c r="D252" s="30">
        <v>114.83</v>
      </c>
      <c r="E252" s="30">
        <v>-0.18</v>
      </c>
      <c r="F252" s="30">
        <v>17.11</v>
      </c>
      <c r="G252" s="30">
        <v>77.97</v>
      </c>
      <c r="H252" s="30">
        <v>47.27</v>
      </c>
      <c r="I252" s="51">
        <v>162.1</v>
      </c>
      <c r="J252" s="52">
        <v>46575</v>
      </c>
      <c r="K252" s="53">
        <v>5.0549999999999997</v>
      </c>
      <c r="L252" s="53">
        <v>3.1992880000000001</v>
      </c>
      <c r="M252" s="53">
        <v>427.32755199999997</v>
      </c>
      <c r="N252" s="54">
        <v>1.1631941063431071E-2</v>
      </c>
      <c r="O252" s="53">
        <v>1.1851</v>
      </c>
      <c r="P252" s="30">
        <v>115.291</v>
      </c>
      <c r="Q252" s="30">
        <v>114.60299999999999</v>
      </c>
      <c r="R252" s="54">
        <v>6.0033332460756039E-3</v>
      </c>
    </row>
    <row r="253" spans="1:18" x14ac:dyDescent="0.15">
      <c r="A253" s="31">
        <v>252</v>
      </c>
      <c r="B253" s="30">
        <v>123142</v>
      </c>
      <c r="C253" s="30" t="s">
        <v>782</v>
      </c>
      <c r="D253" s="30">
        <v>119.5</v>
      </c>
      <c r="E253" s="30">
        <v>0.55000000000000004</v>
      </c>
      <c r="F253" s="30">
        <v>34.11</v>
      </c>
      <c r="G253" s="30">
        <v>80.91</v>
      </c>
      <c r="H253" s="30">
        <v>47.69</v>
      </c>
      <c r="I253" s="51">
        <v>167.19</v>
      </c>
      <c r="J253" s="52">
        <v>46830</v>
      </c>
      <c r="K253" s="53">
        <v>5.7530000000000001</v>
      </c>
      <c r="L253" s="53">
        <v>5.5</v>
      </c>
      <c r="M253" s="53">
        <v>2676.9874037</v>
      </c>
      <c r="N253" s="54">
        <v>4.0730124057816668E-2</v>
      </c>
      <c r="O253" s="53">
        <v>-0.52480000000000004</v>
      </c>
      <c r="P253" s="30">
        <v>119.96299999999999</v>
      </c>
      <c r="Q253" s="30">
        <v>118.5</v>
      </c>
      <c r="R253" s="54">
        <v>1.2345991561181383E-2</v>
      </c>
    </row>
    <row r="254" spans="1:18" x14ac:dyDescent="0.15">
      <c r="A254" s="31">
        <v>253</v>
      </c>
      <c r="B254" s="30">
        <v>113527</v>
      </c>
      <c r="C254" s="30" t="s">
        <v>119</v>
      </c>
      <c r="D254" s="30">
        <v>124.42</v>
      </c>
      <c r="E254" s="30">
        <v>-2.35</v>
      </c>
      <c r="F254" s="30">
        <v>9.75</v>
      </c>
      <c r="G254" s="30">
        <v>84.21</v>
      </c>
      <c r="H254" s="30">
        <v>47.75</v>
      </c>
      <c r="I254" s="51">
        <v>172.17000000000002</v>
      </c>
      <c r="J254" s="52">
        <v>45681</v>
      </c>
      <c r="K254" s="53">
        <v>2.605</v>
      </c>
      <c r="L254" s="53">
        <v>2.8627899999999999</v>
      </c>
      <c r="M254" s="53">
        <v>45719.210599999999</v>
      </c>
      <c r="N254" s="54">
        <v>1.2835684529293165</v>
      </c>
      <c r="O254" s="53">
        <v>-1.8815</v>
      </c>
      <c r="P254" s="30">
        <v>133.69999999999999</v>
      </c>
      <c r="Q254" s="30">
        <v>123.64</v>
      </c>
      <c r="R254" s="54">
        <v>8.1365253963118639E-2</v>
      </c>
    </row>
    <row r="255" spans="1:18" x14ac:dyDescent="0.15">
      <c r="A255" s="31">
        <v>254</v>
      </c>
      <c r="B255" s="30">
        <v>127015</v>
      </c>
      <c r="C255" s="30" t="s">
        <v>169</v>
      </c>
      <c r="D255" s="30">
        <v>116.999</v>
      </c>
      <c r="E255" s="30">
        <v>0.34</v>
      </c>
      <c r="F255" s="30">
        <v>19.75</v>
      </c>
      <c r="G255" s="30">
        <v>79.09</v>
      </c>
      <c r="H255" s="30">
        <v>47.93</v>
      </c>
      <c r="I255" s="51">
        <v>164.929</v>
      </c>
      <c r="J255" s="52">
        <v>46025</v>
      </c>
      <c r="K255" s="53">
        <v>3.548</v>
      </c>
      <c r="L255" s="53">
        <v>9.4969169999999998</v>
      </c>
      <c r="M255" s="53">
        <v>2183.0055135000002</v>
      </c>
      <c r="N255" s="54">
        <v>1.9646719303670086E-2</v>
      </c>
      <c r="O255" s="53">
        <v>-1.8527</v>
      </c>
      <c r="P255" s="30">
        <v>117.45</v>
      </c>
      <c r="Q255" s="30">
        <v>116.35</v>
      </c>
      <c r="R255" s="54">
        <v>9.4542329179201426E-3</v>
      </c>
    </row>
    <row r="256" spans="1:18" x14ac:dyDescent="0.15">
      <c r="A256" s="31">
        <v>255</v>
      </c>
      <c r="B256" s="30">
        <v>127034</v>
      </c>
      <c r="C256" s="30" t="s">
        <v>204</v>
      </c>
      <c r="D256" s="30">
        <v>105.93</v>
      </c>
      <c r="E256" s="30">
        <v>0.22</v>
      </c>
      <c r="F256" s="30">
        <v>12.38</v>
      </c>
      <c r="G256" s="30">
        <v>71.489999999999995</v>
      </c>
      <c r="H256" s="30">
        <v>48.17</v>
      </c>
      <c r="I256" s="51">
        <v>154.10000000000002</v>
      </c>
      <c r="J256" s="52">
        <v>46507</v>
      </c>
      <c r="K256" s="53">
        <v>4.8680000000000003</v>
      </c>
      <c r="L256" s="53">
        <v>7.1177770000000002</v>
      </c>
      <c r="M256" s="53">
        <v>4565.2310976000008</v>
      </c>
      <c r="N256" s="54">
        <v>6.0547946321226176E-2</v>
      </c>
      <c r="O256" s="53">
        <v>2.3934000000000002</v>
      </c>
      <c r="P256" s="30">
        <v>106.4</v>
      </c>
      <c r="Q256" s="30">
        <v>105.02</v>
      </c>
      <c r="R256" s="54">
        <v>1.3140354218244237E-2</v>
      </c>
    </row>
    <row r="257" spans="1:18" x14ac:dyDescent="0.15">
      <c r="A257" s="31">
        <v>256</v>
      </c>
      <c r="B257" s="30">
        <v>123048</v>
      </c>
      <c r="C257" s="30" t="s">
        <v>236</v>
      </c>
      <c r="D257" s="30">
        <v>126.3</v>
      </c>
      <c r="E257" s="30">
        <v>0.05</v>
      </c>
      <c r="F257" s="30">
        <v>8.8800000000000008</v>
      </c>
      <c r="G257" s="30">
        <v>85.14</v>
      </c>
      <c r="H257" s="30">
        <v>48.34</v>
      </c>
      <c r="I257" s="51">
        <v>174.64</v>
      </c>
      <c r="J257" s="52">
        <v>46122</v>
      </c>
      <c r="K257" s="53">
        <v>3.8140000000000001</v>
      </c>
      <c r="L257" s="53">
        <v>3.7914160000000008</v>
      </c>
      <c r="M257" s="53">
        <v>26393.095422799997</v>
      </c>
      <c r="N257" s="54">
        <v>0.55116995918242107</v>
      </c>
      <c r="O257" s="53">
        <v>-3.0851000000000002</v>
      </c>
      <c r="P257" s="30">
        <v>133.5</v>
      </c>
      <c r="Q257" s="30">
        <v>125.93</v>
      </c>
      <c r="R257" s="54">
        <v>6.0112761057730425E-2</v>
      </c>
    </row>
    <row r="258" spans="1:18" x14ac:dyDescent="0.15">
      <c r="A258" s="31">
        <v>257</v>
      </c>
      <c r="B258" s="30">
        <v>113606</v>
      </c>
      <c r="C258" s="30" t="s">
        <v>212</v>
      </c>
      <c r="D258" s="30">
        <v>111.62</v>
      </c>
      <c r="E258" s="30">
        <v>-0.35</v>
      </c>
      <c r="F258" s="30">
        <v>32.15</v>
      </c>
      <c r="G258" s="30">
        <v>75.239999999999995</v>
      </c>
      <c r="H258" s="30">
        <v>48.35</v>
      </c>
      <c r="I258" s="51">
        <v>159.97</v>
      </c>
      <c r="J258" s="52">
        <v>46325</v>
      </c>
      <c r="K258" s="53">
        <v>4.37</v>
      </c>
      <c r="L258" s="53">
        <v>5.9988799999999998</v>
      </c>
      <c r="M258" s="53">
        <v>1279.7389000000001</v>
      </c>
      <c r="N258" s="54">
        <v>1.9112133864820868E-2</v>
      </c>
      <c r="O258" s="53">
        <v>1.8454999999999999</v>
      </c>
      <c r="P258" s="30">
        <v>112.3</v>
      </c>
      <c r="Q258" s="30">
        <v>111.6</v>
      </c>
      <c r="R258" s="54">
        <v>6.2724014336917816E-3</v>
      </c>
    </row>
    <row r="259" spans="1:18" x14ac:dyDescent="0.15">
      <c r="A259" s="31">
        <v>258</v>
      </c>
      <c r="B259" s="30">
        <v>113565</v>
      </c>
      <c r="C259" s="30" t="s">
        <v>123</v>
      </c>
      <c r="D259" s="30">
        <v>124.3</v>
      </c>
      <c r="E259" s="30">
        <v>0.43</v>
      </c>
      <c r="F259" s="30">
        <v>7.64</v>
      </c>
      <c r="G259" s="30">
        <v>83.77</v>
      </c>
      <c r="H259" s="30">
        <v>48.38</v>
      </c>
      <c r="I259" s="51">
        <v>172.68</v>
      </c>
      <c r="J259" s="52">
        <v>46079</v>
      </c>
      <c r="K259" s="53">
        <v>3.6960000000000002</v>
      </c>
      <c r="L259" s="53">
        <v>2.24926</v>
      </c>
      <c r="M259" s="53">
        <v>7403.8762999999999</v>
      </c>
      <c r="N259" s="54">
        <v>0.26481852699651448</v>
      </c>
      <c r="O259" s="53">
        <v>-1.6548</v>
      </c>
      <c r="P259" s="30">
        <v>126.97</v>
      </c>
      <c r="Q259" s="30">
        <v>123.73</v>
      </c>
      <c r="R259" s="54">
        <v>2.6186050270750785E-2</v>
      </c>
    </row>
    <row r="260" spans="1:18" x14ac:dyDescent="0.15">
      <c r="A260" s="31">
        <v>259</v>
      </c>
      <c r="B260" s="30">
        <v>127026</v>
      </c>
      <c r="C260" s="30" t="s">
        <v>235</v>
      </c>
      <c r="D260" s="30">
        <v>116.63</v>
      </c>
      <c r="E260" s="30">
        <v>0.98</v>
      </c>
      <c r="F260" s="30">
        <v>12.72</v>
      </c>
      <c r="G260" s="30">
        <v>78.38</v>
      </c>
      <c r="H260" s="30">
        <v>48.8</v>
      </c>
      <c r="I260" s="51">
        <v>165.43</v>
      </c>
      <c r="J260" s="52">
        <v>46364</v>
      </c>
      <c r="K260" s="53">
        <v>4.4770000000000003</v>
      </c>
      <c r="L260" s="53">
        <v>6.9970939999999997</v>
      </c>
      <c r="M260" s="53">
        <v>460.96191100000004</v>
      </c>
      <c r="N260" s="54">
        <v>5.6485510407955847E-3</v>
      </c>
      <c r="O260" s="53">
        <v>-0.7571</v>
      </c>
      <c r="P260" s="30">
        <v>116.75700000000001</v>
      </c>
      <c r="Q260" s="30">
        <v>115</v>
      </c>
      <c r="R260" s="54">
        <v>1.527826086956526E-2</v>
      </c>
    </row>
    <row r="261" spans="1:18" x14ac:dyDescent="0.15">
      <c r="A261" s="31">
        <v>260</v>
      </c>
      <c r="B261" s="30">
        <v>128143</v>
      </c>
      <c r="C261" s="30" t="s">
        <v>118</v>
      </c>
      <c r="D261" s="30">
        <v>130.28100000000001</v>
      </c>
      <c r="E261" s="30">
        <v>-7.27</v>
      </c>
      <c r="F261" s="30">
        <v>12.73</v>
      </c>
      <c r="G261" s="30">
        <v>87.2</v>
      </c>
      <c r="H261" s="30">
        <v>49.4</v>
      </c>
      <c r="I261" s="51">
        <v>179.68100000000001</v>
      </c>
      <c r="J261" s="52">
        <v>46395</v>
      </c>
      <c r="K261" s="53">
        <v>4.5620000000000003</v>
      </c>
      <c r="L261" s="53">
        <v>2.4437519999999999</v>
      </c>
      <c r="M261" s="53">
        <v>271167.61966299999</v>
      </c>
      <c r="N261" s="54">
        <v>8.5172543208275631</v>
      </c>
      <c r="O261" s="53">
        <v>-1.6057999999999999</v>
      </c>
      <c r="P261" s="30">
        <v>142.97999999999999</v>
      </c>
      <c r="Q261" s="30">
        <v>129.5</v>
      </c>
      <c r="R261" s="54">
        <v>0.10409266409266402</v>
      </c>
    </row>
    <row r="262" spans="1:18" x14ac:dyDescent="0.15">
      <c r="A262" s="31">
        <v>261</v>
      </c>
      <c r="B262" s="30">
        <v>128049</v>
      </c>
      <c r="C262" s="30" t="s">
        <v>205</v>
      </c>
      <c r="D262" s="30">
        <v>110.96899999999999</v>
      </c>
      <c r="E262" s="30">
        <v>0.41</v>
      </c>
      <c r="F262" s="30">
        <v>7.37</v>
      </c>
      <c r="G262" s="30">
        <v>74.08</v>
      </c>
      <c r="H262" s="30">
        <v>49.8</v>
      </c>
      <c r="I262" s="51">
        <v>160.76900000000001</v>
      </c>
      <c r="J262" s="52">
        <v>45623</v>
      </c>
      <c r="K262" s="53">
        <v>2.4470000000000001</v>
      </c>
      <c r="L262" s="53">
        <v>3.6314389999999999</v>
      </c>
      <c r="M262" s="53">
        <v>368.32569000000001</v>
      </c>
      <c r="N262" s="54">
        <v>9.1401134279344674E-3</v>
      </c>
      <c r="O262" s="53">
        <v>0.94220000000000004</v>
      </c>
      <c r="P262" s="30">
        <v>110.97</v>
      </c>
      <c r="Q262" s="30">
        <v>110.321</v>
      </c>
      <c r="R262" s="54">
        <v>5.8828328242129871E-3</v>
      </c>
    </row>
    <row r="263" spans="1:18" x14ac:dyDescent="0.15">
      <c r="A263" s="31">
        <v>262</v>
      </c>
      <c r="B263" s="30">
        <v>123044</v>
      </c>
      <c r="C263" s="30" t="s">
        <v>170</v>
      </c>
      <c r="D263" s="30">
        <v>116.25</v>
      </c>
      <c r="E263" s="30">
        <v>0.22</v>
      </c>
      <c r="F263" s="30">
        <v>18.670000000000002</v>
      </c>
      <c r="G263" s="30">
        <v>77.56</v>
      </c>
      <c r="H263" s="30">
        <v>49.88</v>
      </c>
      <c r="I263" s="51">
        <v>166.13</v>
      </c>
      <c r="J263" s="52">
        <v>46093</v>
      </c>
      <c r="K263" s="53">
        <v>3.734</v>
      </c>
      <c r="L263" s="53">
        <v>5.4958999999999998</v>
      </c>
      <c r="M263" s="53">
        <v>801.23340459999997</v>
      </c>
      <c r="N263" s="54">
        <v>1.2540858389254785E-2</v>
      </c>
      <c r="O263" s="53">
        <v>1.8297000000000001</v>
      </c>
      <c r="P263" s="30">
        <v>116.63800000000001</v>
      </c>
      <c r="Q263" s="30">
        <v>115.62</v>
      </c>
      <c r="R263" s="54">
        <v>8.8047050683272843E-3</v>
      </c>
    </row>
    <row r="264" spans="1:18" x14ac:dyDescent="0.15">
      <c r="A264" s="31">
        <v>263</v>
      </c>
      <c r="B264" s="30">
        <v>113643</v>
      </c>
      <c r="C264" s="30" t="s">
        <v>817</v>
      </c>
      <c r="D264" s="30">
        <v>125.26</v>
      </c>
      <c r="E264" s="30">
        <v>-1.29</v>
      </c>
      <c r="F264" s="30">
        <v>22.15</v>
      </c>
      <c r="G264" s="30">
        <v>83.48</v>
      </c>
      <c r="H264" s="30">
        <v>50.05</v>
      </c>
      <c r="I264" s="51">
        <v>175.31</v>
      </c>
      <c r="J264" s="52">
        <v>46837</v>
      </c>
      <c r="K264" s="53">
        <v>5.7729999999999997</v>
      </c>
      <c r="L264" s="53">
        <v>5</v>
      </c>
      <c r="M264" s="53">
        <v>35056.499900000003</v>
      </c>
      <c r="N264" s="54">
        <v>0.55973973974133806</v>
      </c>
      <c r="O264" s="53">
        <v>-0.7087</v>
      </c>
      <c r="P264" s="30">
        <v>127.55</v>
      </c>
      <c r="Q264" s="30">
        <v>124.08</v>
      </c>
      <c r="R264" s="54">
        <v>2.7965828497743383E-2</v>
      </c>
    </row>
    <row r="265" spans="1:18" x14ac:dyDescent="0.15">
      <c r="A265" s="31">
        <v>264</v>
      </c>
      <c r="B265" s="30">
        <v>127048</v>
      </c>
      <c r="C265" s="30" t="s">
        <v>221</v>
      </c>
      <c r="D265" s="30">
        <v>126.783</v>
      </c>
      <c r="E265" s="30">
        <v>-0.17</v>
      </c>
      <c r="F265" s="30">
        <v>16.77</v>
      </c>
      <c r="G265" s="30">
        <v>84.02</v>
      </c>
      <c r="H265" s="30">
        <v>50.9</v>
      </c>
      <c r="I265" s="51">
        <v>177.68299999999999</v>
      </c>
      <c r="J265" s="52">
        <v>46686</v>
      </c>
      <c r="K265" s="53">
        <v>5.359</v>
      </c>
      <c r="L265" s="53">
        <v>2.6998060000000002</v>
      </c>
      <c r="M265" s="53">
        <v>2311.2853892000003</v>
      </c>
      <c r="N265" s="54">
        <v>6.7524284604948387E-2</v>
      </c>
      <c r="O265" s="53">
        <v>-0.77780000000000005</v>
      </c>
      <c r="P265" s="30">
        <v>127.444</v>
      </c>
      <c r="Q265" s="30">
        <v>125.71</v>
      </c>
      <c r="R265" s="54">
        <v>1.3793652056320172E-2</v>
      </c>
    </row>
    <row r="266" spans="1:18" x14ac:dyDescent="0.15">
      <c r="A266" s="31">
        <v>265</v>
      </c>
      <c r="B266" s="30">
        <v>123025</v>
      </c>
      <c r="C266" s="30" t="s">
        <v>67</v>
      </c>
      <c r="D266" s="30">
        <v>126.07299999999999</v>
      </c>
      <c r="E266" s="30">
        <v>0.86</v>
      </c>
      <c r="F266" s="30">
        <v>49.08</v>
      </c>
      <c r="G266" s="30">
        <v>83.5</v>
      </c>
      <c r="H266" s="30">
        <v>50.99</v>
      </c>
      <c r="I266" s="51">
        <v>177.06299999999999</v>
      </c>
      <c r="J266" s="52">
        <v>45745</v>
      </c>
      <c r="K266" s="53">
        <v>2.7810000000000001</v>
      </c>
      <c r="L266" s="53">
        <v>3.0864669999999998</v>
      </c>
      <c r="M266" s="53">
        <v>1938.3089730000002</v>
      </c>
      <c r="N266" s="54">
        <v>4.9812608075466218E-2</v>
      </c>
      <c r="O266" s="53">
        <v>-3.1446999999999998</v>
      </c>
      <c r="P266" s="30">
        <v>126.273</v>
      </c>
      <c r="Q266" s="30">
        <v>124.2</v>
      </c>
      <c r="R266" s="54">
        <v>1.6690821256038595E-2</v>
      </c>
    </row>
    <row r="267" spans="1:18" x14ac:dyDescent="0.15">
      <c r="A267" s="31">
        <v>266</v>
      </c>
      <c r="B267" s="30">
        <v>127047</v>
      </c>
      <c r="C267" s="30" t="s">
        <v>1933</v>
      </c>
      <c r="D267" s="30">
        <v>103.693</v>
      </c>
      <c r="E267" s="30">
        <v>0.17</v>
      </c>
      <c r="F267" s="30">
        <v>13.33</v>
      </c>
      <c r="G267" s="30">
        <v>68.569999999999993</v>
      </c>
      <c r="H267" s="30">
        <v>51.22</v>
      </c>
      <c r="I267" s="51">
        <v>154.91300000000001</v>
      </c>
      <c r="J267" s="52">
        <v>46685</v>
      </c>
      <c r="K267" s="53">
        <v>5.3559999999999999</v>
      </c>
      <c r="L267" s="53">
        <v>14.999181999999999</v>
      </c>
      <c r="M267" s="53">
        <v>2203.6029714000001</v>
      </c>
      <c r="N267" s="54">
        <v>1.4168254030448807E-2</v>
      </c>
      <c r="O267" s="53">
        <v>2.8818999999999999</v>
      </c>
      <c r="P267" s="30">
        <v>103.729</v>
      </c>
      <c r="Q267" s="30">
        <v>103.212</v>
      </c>
      <c r="R267" s="54">
        <v>5.0091074681238214E-3</v>
      </c>
    </row>
    <row r="268" spans="1:18" x14ac:dyDescent="0.15">
      <c r="A268" s="31">
        <v>267</v>
      </c>
      <c r="B268" s="30">
        <v>123014</v>
      </c>
      <c r="C268" s="30" t="s">
        <v>55</v>
      </c>
      <c r="D268" s="30">
        <v>150.69999999999999</v>
      </c>
      <c r="E268" s="30">
        <v>-2.65</v>
      </c>
      <c r="F268" s="30">
        <v>8.0299999999999994</v>
      </c>
      <c r="G268" s="30">
        <v>99.38</v>
      </c>
      <c r="H268" s="30">
        <v>51.64</v>
      </c>
      <c r="I268" s="51">
        <v>202.33999999999997</v>
      </c>
      <c r="J268" s="52">
        <v>45134</v>
      </c>
      <c r="K268" s="53">
        <v>1.107</v>
      </c>
      <c r="L268" s="53">
        <v>1.160385</v>
      </c>
      <c r="M268" s="53">
        <v>61239.580541999996</v>
      </c>
      <c r="N268" s="54">
        <v>3.5020057021266582</v>
      </c>
      <c r="O268" s="53">
        <v>-26.491900000000001</v>
      </c>
      <c r="P268" s="30">
        <v>166.66</v>
      </c>
      <c r="Q268" s="30">
        <v>150.5</v>
      </c>
      <c r="R268" s="54">
        <v>0.107375415282392</v>
      </c>
    </row>
    <row r="269" spans="1:18" x14ac:dyDescent="0.15">
      <c r="A269" s="31">
        <v>268</v>
      </c>
      <c r="B269" s="30">
        <v>110072</v>
      </c>
      <c r="C269" s="30" t="s">
        <v>1927</v>
      </c>
      <c r="D269" s="30">
        <v>100.13</v>
      </c>
      <c r="E269" s="30">
        <v>0.15</v>
      </c>
      <c r="F269" s="30">
        <v>4.03</v>
      </c>
      <c r="G269" s="30">
        <v>66</v>
      </c>
      <c r="H269" s="30">
        <v>51.71</v>
      </c>
      <c r="I269" s="51">
        <v>151.84</v>
      </c>
      <c r="J269" s="52">
        <v>46252</v>
      </c>
      <c r="K269" s="53">
        <v>4.17</v>
      </c>
      <c r="L269" s="53">
        <v>33.662709999999997</v>
      </c>
      <c r="M269" s="53">
        <v>5844.2</v>
      </c>
      <c r="N269" s="54">
        <v>1.7338510190875785E-2</v>
      </c>
      <c r="O269" s="53">
        <v>3.2825000000000002</v>
      </c>
      <c r="P269" s="30">
        <v>100.44</v>
      </c>
      <c r="Q269" s="30">
        <v>99.85</v>
      </c>
      <c r="R269" s="54">
        <v>5.9088632949424484E-3</v>
      </c>
    </row>
    <row r="270" spans="1:18" x14ac:dyDescent="0.15">
      <c r="A270" s="31">
        <v>269</v>
      </c>
      <c r="B270" s="30">
        <v>128120</v>
      </c>
      <c r="C270" s="30" t="s">
        <v>117</v>
      </c>
      <c r="D270" s="30">
        <v>120.57299999999999</v>
      </c>
      <c r="E270" s="30">
        <v>0.94</v>
      </c>
      <c r="F270" s="30">
        <v>18.07</v>
      </c>
      <c r="G270" s="30">
        <v>79.19</v>
      </c>
      <c r="H270" s="30">
        <v>52.26</v>
      </c>
      <c r="I270" s="51">
        <v>172.833</v>
      </c>
      <c r="J270" s="52">
        <v>46220</v>
      </c>
      <c r="K270" s="53">
        <v>4.0819999999999999</v>
      </c>
      <c r="L270" s="53">
        <v>2.5996240000000004</v>
      </c>
      <c r="M270" s="53">
        <v>7915.4409737000005</v>
      </c>
      <c r="N270" s="54">
        <v>0.25253089044062027</v>
      </c>
      <c r="O270" s="53">
        <v>-0.56140000000000001</v>
      </c>
      <c r="P270" s="30">
        <v>124.44</v>
      </c>
      <c r="Q270" s="30">
        <v>119.65</v>
      </c>
      <c r="R270" s="54">
        <v>4.0033430839949785E-2</v>
      </c>
    </row>
    <row r="271" spans="1:18" x14ac:dyDescent="0.15">
      <c r="A271" s="31">
        <v>270</v>
      </c>
      <c r="B271" s="30">
        <v>113588</v>
      </c>
      <c r="C271" s="30" t="s">
        <v>219</v>
      </c>
      <c r="D271" s="30">
        <v>112.23</v>
      </c>
      <c r="E271" s="30">
        <v>0.38</v>
      </c>
      <c r="F271" s="30">
        <v>13.25</v>
      </c>
      <c r="G271" s="30">
        <v>73.58</v>
      </c>
      <c r="H271" s="30">
        <v>52.53</v>
      </c>
      <c r="I271" s="51">
        <v>164.76</v>
      </c>
      <c r="J271" s="52">
        <v>46190</v>
      </c>
      <c r="K271" s="53">
        <v>4</v>
      </c>
      <c r="L271" s="53">
        <v>5.49885</v>
      </c>
      <c r="M271" s="53">
        <v>3277.1977999999999</v>
      </c>
      <c r="N271" s="54">
        <v>5.3103337716751707E-2</v>
      </c>
      <c r="O271" s="53">
        <v>0.24149999999999999</v>
      </c>
      <c r="P271" s="30">
        <v>112.35</v>
      </c>
      <c r="Q271" s="30">
        <v>111.23</v>
      </c>
      <c r="R271" s="54">
        <v>1.0069225928256677E-2</v>
      </c>
    </row>
    <row r="272" spans="1:18" x14ac:dyDescent="0.15">
      <c r="A272" s="31">
        <v>271</v>
      </c>
      <c r="B272" s="30">
        <v>113021</v>
      </c>
      <c r="C272" s="30" t="s">
        <v>1942</v>
      </c>
      <c r="D272" s="30">
        <v>109.2</v>
      </c>
      <c r="E272" s="30">
        <v>0.04</v>
      </c>
      <c r="F272" s="30">
        <v>6.73</v>
      </c>
      <c r="G272" s="30">
        <v>71.03</v>
      </c>
      <c r="H272" s="30">
        <v>53.74</v>
      </c>
      <c r="I272" s="51">
        <v>162.94</v>
      </c>
      <c r="J272" s="52">
        <v>45720</v>
      </c>
      <c r="K272" s="53">
        <v>2.7120000000000002</v>
      </c>
      <c r="L272" s="53">
        <v>399.99664999999999</v>
      </c>
      <c r="M272" s="53">
        <v>9704.8037000000004</v>
      </c>
      <c r="N272" s="54">
        <v>2.2218143265594543E-3</v>
      </c>
      <c r="O272" s="53">
        <v>2.4750000000000001</v>
      </c>
      <c r="P272" s="30">
        <v>109.35</v>
      </c>
      <c r="Q272" s="30">
        <v>108.96</v>
      </c>
      <c r="R272" s="54">
        <v>3.5792951541850273E-3</v>
      </c>
    </row>
    <row r="273" spans="1:18" x14ac:dyDescent="0.15">
      <c r="A273" s="31">
        <v>272</v>
      </c>
      <c r="B273" s="30">
        <v>128053</v>
      </c>
      <c r="C273" s="30" t="s">
        <v>61</v>
      </c>
      <c r="D273" s="30">
        <v>141.45599999999999</v>
      </c>
      <c r="E273" s="30">
        <v>-2.44</v>
      </c>
      <c r="F273" s="30">
        <v>4.88</v>
      </c>
      <c r="G273" s="30">
        <v>91.8</v>
      </c>
      <c r="H273" s="30">
        <v>54.09</v>
      </c>
      <c r="I273" s="51">
        <v>195.54599999999999</v>
      </c>
      <c r="J273" s="52">
        <v>45702</v>
      </c>
      <c r="K273" s="53">
        <v>2.6629999999999998</v>
      </c>
      <c r="L273" s="53">
        <v>1.90018</v>
      </c>
      <c r="M273" s="53">
        <v>140739.39801600002</v>
      </c>
      <c r="N273" s="54">
        <v>5.2359992198763825</v>
      </c>
      <c r="O273" s="53">
        <v>-8.1045999999999996</v>
      </c>
      <c r="P273" s="30">
        <v>156.6</v>
      </c>
      <c r="Q273" s="30">
        <v>141.26599999999999</v>
      </c>
      <c r="R273" s="54">
        <v>0.10854699644642025</v>
      </c>
    </row>
    <row r="274" spans="1:18" x14ac:dyDescent="0.15">
      <c r="A274" s="31">
        <v>273</v>
      </c>
      <c r="B274" s="30">
        <v>123059</v>
      </c>
      <c r="C274" s="30" t="s">
        <v>211</v>
      </c>
      <c r="D274" s="30">
        <v>119.71599999999999</v>
      </c>
      <c r="E274" s="30">
        <v>0.16</v>
      </c>
      <c r="F274" s="30">
        <v>9.5299999999999994</v>
      </c>
      <c r="G274" s="30">
        <v>77.650000000000006</v>
      </c>
      <c r="H274" s="30">
        <v>54.17</v>
      </c>
      <c r="I274" s="51">
        <v>173.886</v>
      </c>
      <c r="J274" s="52">
        <v>46218</v>
      </c>
      <c r="K274" s="53">
        <v>4.077</v>
      </c>
      <c r="L274" s="53">
        <v>3.912433</v>
      </c>
      <c r="M274" s="53">
        <v>443.88346919999998</v>
      </c>
      <c r="N274" s="54">
        <v>9.4769777431147686E-3</v>
      </c>
      <c r="O274" s="53">
        <v>0.82440000000000002</v>
      </c>
      <c r="P274" s="30">
        <v>120.333</v>
      </c>
      <c r="Q274" s="30">
        <v>119.002</v>
      </c>
      <c r="R274" s="54">
        <v>1.1184685971664369E-2</v>
      </c>
    </row>
    <row r="275" spans="1:18" x14ac:dyDescent="0.15">
      <c r="A275" s="31">
        <v>274</v>
      </c>
      <c r="B275" s="30">
        <v>113610</v>
      </c>
      <c r="C275" s="30" t="s">
        <v>112</v>
      </c>
      <c r="D275" s="30">
        <v>112.45</v>
      </c>
      <c r="E275" s="30">
        <v>0.73</v>
      </c>
      <c r="F275" s="30">
        <v>8.61</v>
      </c>
      <c r="G275" s="30">
        <v>72.709999999999994</v>
      </c>
      <c r="H275" s="30">
        <v>54.66</v>
      </c>
      <c r="I275" s="51">
        <v>167.11</v>
      </c>
      <c r="J275" s="52">
        <v>46357</v>
      </c>
      <c r="K275" s="53">
        <v>4.4580000000000002</v>
      </c>
      <c r="L275" s="53">
        <v>4.5794600000000001</v>
      </c>
      <c r="M275" s="53">
        <v>424.43</v>
      </c>
      <c r="N275" s="54">
        <v>8.2419949451751611E-3</v>
      </c>
      <c r="O275" s="53">
        <v>1.6353</v>
      </c>
      <c r="P275" s="30">
        <v>112.5</v>
      </c>
      <c r="Q275" s="30">
        <v>111.61</v>
      </c>
      <c r="R275" s="54">
        <v>7.9741958605859739E-3</v>
      </c>
    </row>
    <row r="276" spans="1:18" x14ac:dyDescent="0.15">
      <c r="A276" s="31">
        <v>275</v>
      </c>
      <c r="B276" s="30">
        <v>123115</v>
      </c>
      <c r="C276" s="30" t="s">
        <v>1944</v>
      </c>
      <c r="D276" s="30">
        <v>119.6</v>
      </c>
      <c r="E276" s="30">
        <v>-1.1599999999999999</v>
      </c>
      <c r="F276" s="30">
        <v>28.87</v>
      </c>
      <c r="G276" s="30">
        <v>77.209999999999994</v>
      </c>
      <c r="H276" s="30">
        <v>54.9</v>
      </c>
      <c r="I276" s="51">
        <v>174.5</v>
      </c>
      <c r="J276" s="52">
        <v>46546</v>
      </c>
      <c r="K276" s="53">
        <v>4.9749999999999996</v>
      </c>
      <c r="L276" s="53">
        <v>11.946304</v>
      </c>
      <c r="M276" s="53">
        <v>4854.3685693999996</v>
      </c>
      <c r="N276" s="54">
        <v>3.3975668093565128E-2</v>
      </c>
      <c r="O276" s="53">
        <v>-0.25779999999999997</v>
      </c>
      <c r="P276" s="30">
        <v>121.47199999999999</v>
      </c>
      <c r="Q276" s="30">
        <v>119</v>
      </c>
      <c r="R276" s="54">
        <v>2.0773109243697432E-2</v>
      </c>
    </row>
    <row r="277" spans="1:18" x14ac:dyDescent="0.15">
      <c r="A277" s="31">
        <v>276</v>
      </c>
      <c r="B277" s="30">
        <v>127055</v>
      </c>
      <c r="C277" s="30" t="s">
        <v>781</v>
      </c>
      <c r="D277" s="30">
        <v>115.94799999999999</v>
      </c>
      <c r="E277" s="30">
        <v>-0.04</v>
      </c>
      <c r="F277" s="30">
        <v>23.52</v>
      </c>
      <c r="G277" s="30">
        <v>74.83</v>
      </c>
      <c r="H277" s="30">
        <v>54.95</v>
      </c>
      <c r="I277" s="51">
        <v>170.898</v>
      </c>
      <c r="J277" s="52">
        <v>46805</v>
      </c>
      <c r="K277" s="53">
        <v>5.6849999999999996</v>
      </c>
      <c r="L277" s="53">
        <v>5.77</v>
      </c>
      <c r="M277" s="53">
        <v>2087.6249081999999</v>
      </c>
      <c r="N277" s="54">
        <v>3.1204224582477336E-2</v>
      </c>
      <c r="O277" s="53">
        <v>0.66120000000000001</v>
      </c>
      <c r="P277" s="30">
        <v>116.473</v>
      </c>
      <c r="Q277" s="30">
        <v>115.315</v>
      </c>
      <c r="R277" s="54">
        <v>1.0042058708754293E-2</v>
      </c>
    </row>
    <row r="278" spans="1:18" x14ac:dyDescent="0.15">
      <c r="A278" s="31">
        <v>277</v>
      </c>
      <c r="B278" s="30">
        <v>123062</v>
      </c>
      <c r="C278" s="30" t="s">
        <v>103</v>
      </c>
      <c r="D278" s="30">
        <v>142.685</v>
      </c>
      <c r="E278" s="30">
        <v>-0.84</v>
      </c>
      <c r="F278" s="30">
        <v>17.13</v>
      </c>
      <c r="G278" s="30">
        <v>91.94</v>
      </c>
      <c r="H278" s="30">
        <v>55.19</v>
      </c>
      <c r="I278" s="51">
        <v>197.875</v>
      </c>
      <c r="J278" s="52">
        <v>46230</v>
      </c>
      <c r="K278" s="53">
        <v>4.1100000000000003</v>
      </c>
      <c r="L278" s="53">
        <v>1.947703</v>
      </c>
      <c r="M278" s="53">
        <v>54427.825915400004</v>
      </c>
      <c r="N278" s="54">
        <v>1.9584835778389775</v>
      </c>
      <c r="O278" s="53">
        <v>-4.3808999999999996</v>
      </c>
      <c r="P278" s="30">
        <v>148</v>
      </c>
      <c r="Q278" s="30">
        <v>140.19999999999999</v>
      </c>
      <c r="R278" s="54">
        <v>5.5634807417974406E-2</v>
      </c>
    </row>
    <row r="279" spans="1:18" x14ac:dyDescent="0.15">
      <c r="A279" s="31">
        <v>278</v>
      </c>
      <c r="B279" s="30">
        <v>123064</v>
      </c>
      <c r="C279" s="30" t="s">
        <v>142</v>
      </c>
      <c r="D279" s="30">
        <v>121.2</v>
      </c>
      <c r="E279" s="30">
        <v>-0.12</v>
      </c>
      <c r="F279" s="30">
        <v>51.71</v>
      </c>
      <c r="G279" s="30">
        <v>78.05</v>
      </c>
      <c r="H279" s="30">
        <v>55.29</v>
      </c>
      <c r="I279" s="51">
        <v>176.49</v>
      </c>
      <c r="J279" s="52">
        <v>46266</v>
      </c>
      <c r="K279" s="53">
        <v>4.2080000000000002</v>
      </c>
      <c r="L279" s="53">
        <v>5.9814829999999999</v>
      </c>
      <c r="M279" s="53">
        <v>8855.8139941000009</v>
      </c>
      <c r="N279" s="54">
        <v>0.12215661605750257</v>
      </c>
      <c r="O279" s="53">
        <v>-1.306</v>
      </c>
      <c r="P279" s="30">
        <v>121.77</v>
      </c>
      <c r="Q279" s="30">
        <v>121</v>
      </c>
      <c r="R279" s="54">
        <v>6.3636363636363309E-3</v>
      </c>
    </row>
    <row r="280" spans="1:18" x14ac:dyDescent="0.15">
      <c r="A280" s="31">
        <v>279</v>
      </c>
      <c r="B280" s="30">
        <v>123106</v>
      </c>
      <c r="C280" s="30" t="s">
        <v>64</v>
      </c>
      <c r="D280" s="30">
        <v>114.46299999999999</v>
      </c>
      <c r="E280" s="30">
        <v>0.78</v>
      </c>
      <c r="F280" s="30">
        <v>7.45</v>
      </c>
      <c r="G280" s="30">
        <v>73.56</v>
      </c>
      <c r="H280" s="30">
        <v>55.6</v>
      </c>
      <c r="I280" s="51">
        <v>170.06299999999999</v>
      </c>
      <c r="J280" s="52">
        <v>46470</v>
      </c>
      <c r="K280" s="53">
        <v>4.7670000000000003</v>
      </c>
      <c r="L280" s="53">
        <v>3.199684</v>
      </c>
      <c r="M280" s="53">
        <v>717.65335999999991</v>
      </c>
      <c r="N280" s="54">
        <v>1.9594875507484753E-2</v>
      </c>
      <c r="O280" s="53">
        <v>1.9149</v>
      </c>
      <c r="P280" s="30">
        <v>114.47</v>
      </c>
      <c r="Q280" s="30">
        <v>113.58199999999999</v>
      </c>
      <c r="R280" s="54">
        <v>7.8181401982708992E-3</v>
      </c>
    </row>
    <row r="281" spans="1:18" x14ac:dyDescent="0.15">
      <c r="A281" s="31">
        <v>280</v>
      </c>
      <c r="B281" s="30">
        <v>123139</v>
      </c>
      <c r="C281" s="30" t="s">
        <v>788</v>
      </c>
      <c r="D281" s="30">
        <v>187.74700000000001</v>
      </c>
      <c r="E281" s="30">
        <v>0.99</v>
      </c>
      <c r="F281" s="30">
        <v>76.5</v>
      </c>
      <c r="G281" s="30">
        <v>120.24</v>
      </c>
      <c r="H281" s="30">
        <v>56.14</v>
      </c>
      <c r="I281" s="51">
        <v>243.887</v>
      </c>
      <c r="J281" s="52">
        <v>46823</v>
      </c>
      <c r="K281" s="53">
        <v>5.734</v>
      </c>
      <c r="L281" s="53">
        <v>4.3</v>
      </c>
      <c r="M281" s="53">
        <v>132623.1214836</v>
      </c>
      <c r="N281" s="54">
        <v>1.6427738601167998</v>
      </c>
      <c r="O281" s="53">
        <v>-7.4358000000000004</v>
      </c>
      <c r="P281" s="30">
        <v>196.666</v>
      </c>
      <c r="Q281" s="30">
        <v>185</v>
      </c>
      <c r="R281" s="54">
        <v>6.3059459459459441E-2</v>
      </c>
    </row>
    <row r="282" spans="1:18" x14ac:dyDescent="0.15">
      <c r="A282" s="31">
        <v>281</v>
      </c>
      <c r="B282" s="30">
        <v>128036</v>
      </c>
      <c r="C282" s="30" t="s">
        <v>182</v>
      </c>
      <c r="D282" s="30">
        <v>158.30000000000001</v>
      </c>
      <c r="E282" s="30">
        <v>-1.63</v>
      </c>
      <c r="F282" s="30">
        <v>6.94</v>
      </c>
      <c r="G282" s="30">
        <v>101.3</v>
      </c>
      <c r="H282" s="30">
        <v>56.27</v>
      </c>
      <c r="I282" s="51">
        <v>214.57000000000002</v>
      </c>
      <c r="J282" s="52">
        <v>45360</v>
      </c>
      <c r="K282" s="53">
        <v>1.726</v>
      </c>
      <c r="L282" s="53">
        <v>1.4565429999999999</v>
      </c>
      <c r="M282" s="53">
        <v>51136.358312999997</v>
      </c>
      <c r="N282" s="54">
        <v>2.2178163007539662</v>
      </c>
      <c r="O282" s="53">
        <v>-20.084099999999999</v>
      </c>
      <c r="P282" s="30">
        <v>162.93799999999999</v>
      </c>
      <c r="Q282" s="30">
        <v>154.84</v>
      </c>
      <c r="R282" s="54">
        <v>5.2299147507104009E-2</v>
      </c>
    </row>
    <row r="283" spans="1:18" x14ac:dyDescent="0.15">
      <c r="A283" s="31">
        <v>282</v>
      </c>
      <c r="B283" s="30">
        <v>113577</v>
      </c>
      <c r="C283" s="30" t="s">
        <v>116</v>
      </c>
      <c r="D283" s="30">
        <v>132.54</v>
      </c>
      <c r="E283" s="30">
        <v>1.07</v>
      </c>
      <c r="F283" s="30">
        <v>10.85</v>
      </c>
      <c r="G283" s="30">
        <v>84.7</v>
      </c>
      <c r="H283" s="30">
        <v>56.48</v>
      </c>
      <c r="I283" s="51">
        <v>189.01999999999998</v>
      </c>
      <c r="J283" s="52">
        <v>46126</v>
      </c>
      <c r="K283" s="53">
        <v>3.8250000000000002</v>
      </c>
      <c r="L283" s="53">
        <v>1.7774799999999999</v>
      </c>
      <c r="M283" s="53">
        <v>1304.7910999999999</v>
      </c>
      <c r="N283" s="54">
        <v>5.5384634837154591E-2</v>
      </c>
      <c r="O283" s="53">
        <v>-3.2648999999999999</v>
      </c>
      <c r="P283" s="30">
        <v>133.79</v>
      </c>
      <c r="Q283" s="30">
        <v>130.71</v>
      </c>
      <c r="R283" s="54">
        <v>2.3563614107566244E-2</v>
      </c>
    </row>
    <row r="284" spans="1:18" x14ac:dyDescent="0.15">
      <c r="A284" s="31">
        <v>283</v>
      </c>
      <c r="B284" s="30">
        <v>128039</v>
      </c>
      <c r="C284" s="30" t="s">
        <v>120</v>
      </c>
      <c r="D284" s="30">
        <v>122.489</v>
      </c>
      <c r="E284" s="30">
        <v>1.65</v>
      </c>
      <c r="F284" s="30">
        <v>5.79</v>
      </c>
      <c r="G284" s="30">
        <v>78.239999999999995</v>
      </c>
      <c r="H284" s="30">
        <v>56.56</v>
      </c>
      <c r="I284" s="51">
        <v>179.04900000000001</v>
      </c>
      <c r="J284" s="52">
        <v>45451</v>
      </c>
      <c r="K284" s="53">
        <v>1.9750000000000001</v>
      </c>
      <c r="L284" s="53">
        <v>2.0240990000000001</v>
      </c>
      <c r="M284" s="53">
        <v>2338.9255750000002</v>
      </c>
      <c r="N284" s="54">
        <v>9.4338195175646095E-2</v>
      </c>
      <c r="O284" s="53">
        <v>-6.4283999999999999</v>
      </c>
      <c r="P284" s="30">
        <v>122.49299999999999</v>
      </c>
      <c r="Q284" s="30">
        <v>120.2</v>
      </c>
      <c r="R284" s="54">
        <v>1.9076539101497439E-2</v>
      </c>
    </row>
    <row r="285" spans="1:18" x14ac:dyDescent="0.15">
      <c r="A285" s="31">
        <v>284</v>
      </c>
      <c r="B285" s="30">
        <v>128091</v>
      </c>
      <c r="C285" s="30" t="s">
        <v>1870</v>
      </c>
      <c r="D285" s="30">
        <v>220.309</v>
      </c>
      <c r="E285" s="30">
        <v>-3.16</v>
      </c>
      <c r="F285" s="30">
        <v>11.62</v>
      </c>
      <c r="G285" s="30">
        <v>140.44999999999999</v>
      </c>
      <c r="H285" s="30">
        <v>56.86</v>
      </c>
      <c r="I285" s="51">
        <v>277.16899999999998</v>
      </c>
      <c r="J285" s="52">
        <v>46021</v>
      </c>
      <c r="K285" s="53">
        <v>3.5369999999999999</v>
      </c>
      <c r="L285" s="53">
        <v>1.5407029999999999</v>
      </c>
      <c r="M285" s="53">
        <v>152869.39432249998</v>
      </c>
      <c r="N285" s="54">
        <v>4.5036992103713347</v>
      </c>
      <c r="O285" s="53">
        <v>-16.357199999999999</v>
      </c>
      <c r="P285" s="30">
        <v>230.65</v>
      </c>
      <c r="Q285" s="30">
        <v>216.58799999999999</v>
      </c>
      <c r="R285" s="54">
        <v>6.4925111271169275E-2</v>
      </c>
    </row>
    <row r="286" spans="1:18" x14ac:dyDescent="0.15">
      <c r="A286" s="31">
        <v>285</v>
      </c>
      <c r="B286" s="30">
        <v>113046</v>
      </c>
      <c r="C286" s="30" t="s">
        <v>1943</v>
      </c>
      <c r="D286" s="30">
        <v>109.93</v>
      </c>
      <c r="E286" s="30">
        <v>0.96</v>
      </c>
      <c r="F286" s="30">
        <v>10.64</v>
      </c>
      <c r="G286" s="30">
        <v>69.45</v>
      </c>
      <c r="H286" s="30">
        <v>58.29</v>
      </c>
      <c r="I286" s="51">
        <v>168.22</v>
      </c>
      <c r="J286" s="52">
        <v>46468</v>
      </c>
      <c r="K286" s="53">
        <v>4.7619999999999996</v>
      </c>
      <c r="L286" s="53">
        <v>14.998810000000001</v>
      </c>
      <c r="M286" s="53">
        <v>1373.5083</v>
      </c>
      <c r="N286" s="54">
        <v>8.3302542444406557E-3</v>
      </c>
      <c r="O286" s="53">
        <v>0.89229999999999998</v>
      </c>
      <c r="P286" s="30">
        <v>110.1</v>
      </c>
      <c r="Q286" s="30">
        <v>108.61</v>
      </c>
      <c r="R286" s="54">
        <v>1.3718810422612972E-2</v>
      </c>
    </row>
    <row r="287" spans="1:18" x14ac:dyDescent="0.15">
      <c r="A287" s="31">
        <v>286</v>
      </c>
      <c r="B287" s="30">
        <v>113638</v>
      </c>
      <c r="C287" s="30" t="s">
        <v>277</v>
      </c>
      <c r="D287" s="30">
        <v>120.01</v>
      </c>
      <c r="E287" s="30">
        <v>-0.26</v>
      </c>
      <c r="F287" s="30">
        <v>16.87</v>
      </c>
      <c r="G287" s="30">
        <v>75.52</v>
      </c>
      <c r="H287" s="30">
        <v>58.91</v>
      </c>
      <c r="I287" s="51">
        <v>178.92000000000002</v>
      </c>
      <c r="J287" s="52">
        <v>46750</v>
      </c>
      <c r="K287" s="53">
        <v>5.5339999999999998</v>
      </c>
      <c r="L287" s="53">
        <v>6</v>
      </c>
      <c r="M287" s="53">
        <v>1031.6602</v>
      </c>
      <c r="N287" s="54">
        <v>1.4327419937227453E-2</v>
      </c>
      <c r="O287" s="53">
        <v>-0.4501</v>
      </c>
      <c r="P287" s="30">
        <v>121</v>
      </c>
      <c r="Q287" s="30">
        <v>119.67</v>
      </c>
      <c r="R287" s="54">
        <v>1.1113896548842636E-2</v>
      </c>
    </row>
    <row r="288" spans="1:18" x14ac:dyDescent="0.15">
      <c r="A288" s="31">
        <v>287</v>
      </c>
      <c r="B288" s="30">
        <v>110082</v>
      </c>
      <c r="C288" s="30" t="s">
        <v>1947</v>
      </c>
      <c r="D288" s="30">
        <v>120.21</v>
      </c>
      <c r="E288" s="30">
        <v>1.02</v>
      </c>
      <c r="F288" s="30">
        <v>72.28</v>
      </c>
      <c r="G288" s="30">
        <v>75.319999999999993</v>
      </c>
      <c r="H288" s="30">
        <v>59.6</v>
      </c>
      <c r="I288" s="51">
        <v>179.81</v>
      </c>
      <c r="J288" s="52">
        <v>46688</v>
      </c>
      <c r="K288" s="53">
        <v>5.3639999999999999</v>
      </c>
      <c r="L288" s="53">
        <v>19.999379999999999</v>
      </c>
      <c r="M288" s="53">
        <v>6612.9957000000004</v>
      </c>
      <c r="N288" s="54">
        <v>2.7506865939697145E-2</v>
      </c>
      <c r="O288" s="53">
        <v>-0.496</v>
      </c>
      <c r="P288" s="30">
        <v>120.32</v>
      </c>
      <c r="Q288" s="30">
        <v>118.81</v>
      </c>
      <c r="R288" s="54">
        <v>1.270936789832498E-2</v>
      </c>
    </row>
    <row r="289" spans="1:18" x14ac:dyDescent="0.15">
      <c r="A289" s="31">
        <v>288</v>
      </c>
      <c r="B289" s="30">
        <v>128123</v>
      </c>
      <c r="C289" s="30" t="s">
        <v>165</v>
      </c>
      <c r="D289" s="30">
        <v>114.9</v>
      </c>
      <c r="E289" s="30">
        <v>0.2</v>
      </c>
      <c r="F289" s="30">
        <v>13.17</v>
      </c>
      <c r="G289" s="30">
        <v>71.98</v>
      </c>
      <c r="H289" s="30">
        <v>59.63</v>
      </c>
      <c r="I289" s="51">
        <v>174.53</v>
      </c>
      <c r="J289" s="52">
        <v>46230</v>
      </c>
      <c r="K289" s="53">
        <v>4.1100000000000003</v>
      </c>
      <c r="L289" s="53">
        <v>3.1992560000000001</v>
      </c>
      <c r="M289" s="53">
        <v>2594.7520749999999</v>
      </c>
      <c r="N289" s="54">
        <v>7.0587344842053479E-2</v>
      </c>
      <c r="O289" s="53">
        <v>0.17299999999999999</v>
      </c>
      <c r="P289" s="30">
        <v>115.08</v>
      </c>
      <c r="Q289" s="30">
        <v>114.20099999999999</v>
      </c>
      <c r="R289" s="54">
        <v>7.6969553681666969E-3</v>
      </c>
    </row>
    <row r="290" spans="1:18" x14ac:dyDescent="0.15">
      <c r="A290" s="31">
        <v>289</v>
      </c>
      <c r="B290" s="30">
        <v>113561</v>
      </c>
      <c r="C290" s="30" t="s">
        <v>86</v>
      </c>
      <c r="D290" s="30">
        <v>131.15</v>
      </c>
      <c r="E290" s="30">
        <v>2.23</v>
      </c>
      <c r="F290" s="30">
        <v>9.98</v>
      </c>
      <c r="G290" s="30">
        <v>82.06</v>
      </c>
      <c r="H290" s="30">
        <v>59.82</v>
      </c>
      <c r="I290" s="51">
        <v>190.97</v>
      </c>
      <c r="J290" s="52">
        <v>46022</v>
      </c>
      <c r="K290" s="53">
        <v>3.54</v>
      </c>
      <c r="L290" s="53">
        <v>1.4991000000000001</v>
      </c>
      <c r="M290" s="53">
        <v>12634.7256</v>
      </c>
      <c r="N290" s="54">
        <v>0.64263875900835954</v>
      </c>
      <c r="O290" s="53">
        <v>-3.1936</v>
      </c>
      <c r="P290" s="30">
        <v>132.55000000000001</v>
      </c>
      <c r="Q290" s="30">
        <v>127.59</v>
      </c>
      <c r="R290" s="54">
        <v>3.887451994670435E-2</v>
      </c>
    </row>
    <row r="291" spans="1:18" x14ac:dyDescent="0.15">
      <c r="A291" s="31">
        <v>290</v>
      </c>
      <c r="B291" s="30">
        <v>110058</v>
      </c>
      <c r="C291" s="30" t="s">
        <v>78</v>
      </c>
      <c r="D291" s="30">
        <v>116.41</v>
      </c>
      <c r="E291" s="30">
        <v>0.67</v>
      </c>
      <c r="F291" s="30">
        <v>5.04</v>
      </c>
      <c r="G291" s="30">
        <v>72.42</v>
      </c>
      <c r="H291" s="30">
        <v>60.74</v>
      </c>
      <c r="I291" s="51">
        <v>177.15</v>
      </c>
      <c r="J291" s="52">
        <v>45763</v>
      </c>
      <c r="K291" s="53">
        <v>2.83</v>
      </c>
      <c r="L291" s="53">
        <v>2.6102099999999999</v>
      </c>
      <c r="M291" s="53">
        <v>1237.1421</v>
      </c>
      <c r="N291" s="54">
        <v>4.0714944564062917E-2</v>
      </c>
      <c r="O291" s="53">
        <v>-0.96560000000000001</v>
      </c>
      <c r="P291" s="30">
        <v>116.5</v>
      </c>
      <c r="Q291" s="30">
        <v>115.24</v>
      </c>
      <c r="R291" s="54">
        <v>1.0933703575147563E-2</v>
      </c>
    </row>
    <row r="292" spans="1:18" x14ac:dyDescent="0.15">
      <c r="A292" s="31">
        <v>291</v>
      </c>
      <c r="B292" s="30">
        <v>113043</v>
      </c>
      <c r="C292" s="30" t="s">
        <v>1949</v>
      </c>
      <c r="D292" s="30">
        <v>110.1</v>
      </c>
      <c r="E292" s="30">
        <v>0.79</v>
      </c>
      <c r="F292" s="30">
        <v>11.69</v>
      </c>
      <c r="G292" s="30">
        <v>68.430000000000007</v>
      </c>
      <c r="H292" s="30">
        <v>60.89</v>
      </c>
      <c r="I292" s="51">
        <v>170.99</v>
      </c>
      <c r="J292" s="52">
        <v>46366</v>
      </c>
      <c r="K292" s="53">
        <v>4.4820000000000002</v>
      </c>
      <c r="L292" s="53">
        <v>37.99765</v>
      </c>
      <c r="M292" s="53">
        <v>3530.1720999999998</v>
      </c>
      <c r="N292" s="54">
        <v>8.4382389855547409E-3</v>
      </c>
      <c r="O292" s="53">
        <v>-2.06E-2</v>
      </c>
      <c r="P292" s="30">
        <v>110.15</v>
      </c>
      <c r="Q292" s="30">
        <v>108.91</v>
      </c>
      <c r="R292" s="54">
        <v>1.138554769993581E-2</v>
      </c>
    </row>
    <row r="293" spans="1:18" x14ac:dyDescent="0.15">
      <c r="A293" s="31">
        <v>292</v>
      </c>
      <c r="B293" s="30">
        <v>113045</v>
      </c>
      <c r="C293" s="30" t="s">
        <v>1952</v>
      </c>
      <c r="D293" s="30">
        <v>112.87</v>
      </c>
      <c r="E293" s="30">
        <v>0.6</v>
      </c>
      <c r="F293" s="30">
        <v>19.489999999999998</v>
      </c>
      <c r="G293" s="30">
        <v>70.14</v>
      </c>
      <c r="H293" s="30">
        <v>60.92</v>
      </c>
      <c r="I293" s="51">
        <v>173.79000000000002</v>
      </c>
      <c r="J293" s="52">
        <v>46450</v>
      </c>
      <c r="K293" s="53">
        <v>4.7119999999999997</v>
      </c>
      <c r="L293" s="53">
        <v>34.499510000000001</v>
      </c>
      <c r="M293" s="53">
        <v>1206.5794000000001</v>
      </c>
      <c r="N293" s="54">
        <v>3.0985924223923354E-3</v>
      </c>
      <c r="O293" s="53">
        <v>-0.18529999999999999</v>
      </c>
      <c r="P293" s="30">
        <v>112.96</v>
      </c>
      <c r="Q293" s="30">
        <v>111.36</v>
      </c>
      <c r="R293" s="54">
        <v>1.4367816091953972E-2</v>
      </c>
    </row>
    <row r="294" spans="1:18" x14ac:dyDescent="0.15">
      <c r="A294" s="31">
        <v>293</v>
      </c>
      <c r="B294" s="30">
        <v>110073</v>
      </c>
      <c r="C294" s="30" t="s">
        <v>1948</v>
      </c>
      <c r="D294" s="30">
        <v>107.14</v>
      </c>
      <c r="E294" s="30">
        <v>-0.2</v>
      </c>
      <c r="F294" s="30">
        <v>9.9</v>
      </c>
      <c r="G294" s="30">
        <v>66.569999999999993</v>
      </c>
      <c r="H294" s="30">
        <v>60.94</v>
      </c>
      <c r="I294" s="51">
        <v>168.07999999999998</v>
      </c>
      <c r="J294" s="52">
        <v>46227</v>
      </c>
      <c r="K294" s="53">
        <v>4.101</v>
      </c>
      <c r="L294" s="53">
        <v>79.993309999999994</v>
      </c>
      <c r="M294" s="53">
        <v>5256.81</v>
      </c>
      <c r="N294" s="54">
        <v>6.1336214736570568E-3</v>
      </c>
      <c r="O294" s="53">
        <v>0.72130000000000005</v>
      </c>
      <c r="P294" s="30">
        <v>107.72</v>
      </c>
      <c r="Q294" s="30">
        <v>106.81</v>
      </c>
      <c r="R294" s="54">
        <v>8.5198015167118855E-3</v>
      </c>
    </row>
    <row r="295" spans="1:18" x14ac:dyDescent="0.15">
      <c r="A295" s="31">
        <v>294</v>
      </c>
      <c r="B295" s="30">
        <v>123054</v>
      </c>
      <c r="C295" s="30" t="s">
        <v>82</v>
      </c>
      <c r="D295" s="30">
        <v>139.72999999999999</v>
      </c>
      <c r="E295" s="30">
        <v>-1.51</v>
      </c>
      <c r="F295" s="30">
        <v>10.46</v>
      </c>
      <c r="G295" s="30">
        <v>86.71</v>
      </c>
      <c r="H295" s="30">
        <v>61.15</v>
      </c>
      <c r="I295" s="51">
        <v>200.88</v>
      </c>
      <c r="J295" s="52">
        <v>46183</v>
      </c>
      <c r="K295" s="53">
        <v>3.9809999999999999</v>
      </c>
      <c r="L295" s="53">
        <v>2.073102</v>
      </c>
      <c r="M295" s="53">
        <v>11788.025022</v>
      </c>
      <c r="N295" s="54">
        <v>0.40694031729169855</v>
      </c>
      <c r="O295" s="53">
        <v>-3.7195999999999998</v>
      </c>
      <c r="P295" s="30">
        <v>142.21899999999999</v>
      </c>
      <c r="Q295" s="30">
        <v>137.26</v>
      </c>
      <c r="R295" s="54">
        <v>3.6128515226577326E-2</v>
      </c>
    </row>
    <row r="296" spans="1:18" x14ac:dyDescent="0.15">
      <c r="A296" s="31">
        <v>295</v>
      </c>
      <c r="B296" s="30">
        <v>123122</v>
      </c>
      <c r="C296" s="30" t="s">
        <v>177</v>
      </c>
      <c r="D296" s="30">
        <v>117.797</v>
      </c>
      <c r="E296" s="30">
        <v>0.18</v>
      </c>
      <c r="F296" s="30">
        <v>92.89</v>
      </c>
      <c r="G296" s="30">
        <v>72.84</v>
      </c>
      <c r="H296" s="30">
        <v>61.72</v>
      </c>
      <c r="I296" s="51">
        <v>179.517</v>
      </c>
      <c r="J296" s="52">
        <v>46605</v>
      </c>
      <c r="K296" s="53">
        <v>5.1369999999999996</v>
      </c>
      <c r="L296" s="53">
        <v>5.8072530000000002</v>
      </c>
      <c r="M296" s="53">
        <v>3091.868035</v>
      </c>
      <c r="N296" s="54">
        <v>4.5197662221919288E-2</v>
      </c>
      <c r="O296" s="53">
        <v>0.4178</v>
      </c>
      <c r="P296" s="30">
        <v>117.88</v>
      </c>
      <c r="Q296" s="30">
        <v>117.01</v>
      </c>
      <c r="R296" s="54">
        <v>7.4352619434235557E-3</v>
      </c>
    </row>
    <row r="297" spans="1:18" x14ac:dyDescent="0.15">
      <c r="A297" s="31">
        <v>296</v>
      </c>
      <c r="B297" s="30">
        <v>123061</v>
      </c>
      <c r="C297" s="30" t="s">
        <v>95</v>
      </c>
      <c r="D297" s="30">
        <v>122</v>
      </c>
      <c r="E297" s="30">
        <v>-0.16</v>
      </c>
      <c r="F297" s="30">
        <v>14.85</v>
      </c>
      <c r="G297" s="30">
        <v>74.95</v>
      </c>
      <c r="H297" s="30">
        <v>62.78</v>
      </c>
      <c r="I297" s="51">
        <v>184.78</v>
      </c>
      <c r="J297" s="52">
        <v>46225</v>
      </c>
      <c r="K297" s="53">
        <v>4.0960000000000001</v>
      </c>
      <c r="L297" s="53">
        <v>2.4961600000000002</v>
      </c>
      <c r="M297" s="53">
        <v>5853.6980745999999</v>
      </c>
      <c r="N297" s="54">
        <v>0.19221977661294304</v>
      </c>
      <c r="O297" s="53">
        <v>0.46870000000000001</v>
      </c>
      <c r="P297" s="30">
        <v>123.5</v>
      </c>
      <c r="Q297" s="30">
        <v>121.389</v>
      </c>
      <c r="R297" s="54">
        <v>1.7390373098056695E-2</v>
      </c>
    </row>
    <row r="298" spans="1:18" x14ac:dyDescent="0.15">
      <c r="A298" s="31">
        <v>297</v>
      </c>
      <c r="B298" s="30">
        <v>113623</v>
      </c>
      <c r="C298" s="30" t="s">
        <v>1946</v>
      </c>
      <c r="D298" s="30">
        <v>113.38</v>
      </c>
      <c r="E298" s="30">
        <v>0.59</v>
      </c>
      <c r="F298" s="30">
        <v>16.25</v>
      </c>
      <c r="G298" s="30">
        <v>69.11</v>
      </c>
      <c r="H298" s="30">
        <v>64.06</v>
      </c>
      <c r="I298" s="51">
        <v>177.44</v>
      </c>
      <c r="J298" s="52">
        <v>46485</v>
      </c>
      <c r="K298" s="53">
        <v>4.8079999999999998</v>
      </c>
      <c r="L298" s="53">
        <v>24.99952</v>
      </c>
      <c r="M298" s="53">
        <v>6930.8729999999996</v>
      </c>
      <c r="N298" s="54">
        <v>2.4452305786969997E-2</v>
      </c>
      <c r="O298" s="53">
        <v>0.63070000000000004</v>
      </c>
      <c r="P298" s="30">
        <v>113.52</v>
      </c>
      <c r="Q298" s="30">
        <v>112.04</v>
      </c>
      <c r="R298" s="54">
        <v>1.3209568011424399E-2</v>
      </c>
    </row>
    <row r="299" spans="1:18" x14ac:dyDescent="0.15">
      <c r="A299" s="31">
        <v>298</v>
      </c>
      <c r="B299" s="30">
        <v>127053</v>
      </c>
      <c r="C299" s="30" t="s">
        <v>793</v>
      </c>
      <c r="D299" s="30">
        <v>119.783</v>
      </c>
      <c r="E299" s="30">
        <v>0.76</v>
      </c>
      <c r="F299" s="30">
        <v>21.29</v>
      </c>
      <c r="G299" s="30">
        <v>72.33</v>
      </c>
      <c r="H299" s="30">
        <v>65.61</v>
      </c>
      <c r="I299" s="51">
        <v>185.393</v>
      </c>
      <c r="J299" s="52">
        <v>46776</v>
      </c>
      <c r="K299" s="53">
        <v>5.6050000000000004</v>
      </c>
      <c r="L299" s="53">
        <v>8.24</v>
      </c>
      <c r="M299" s="53">
        <v>11618.0203303</v>
      </c>
      <c r="N299" s="54">
        <v>0.11770901743820886</v>
      </c>
      <c r="O299" s="53">
        <v>0.63039999999999996</v>
      </c>
      <c r="P299" s="30">
        <v>121.996</v>
      </c>
      <c r="Q299" s="30">
        <v>118.129</v>
      </c>
      <c r="R299" s="54">
        <v>3.2735399436209484E-2</v>
      </c>
    </row>
    <row r="300" spans="1:18" x14ac:dyDescent="0.15">
      <c r="A300" s="31">
        <v>299</v>
      </c>
      <c r="B300" s="30">
        <v>113563</v>
      </c>
      <c r="C300" s="30" t="s">
        <v>167</v>
      </c>
      <c r="D300" s="30">
        <v>109.15</v>
      </c>
      <c r="E300" s="30">
        <v>0.56999999999999995</v>
      </c>
      <c r="F300" s="30">
        <v>23.39</v>
      </c>
      <c r="G300" s="30">
        <v>65.84</v>
      </c>
      <c r="H300" s="30">
        <v>65.78</v>
      </c>
      <c r="I300" s="51">
        <v>174.93</v>
      </c>
      <c r="J300" s="52">
        <v>46038</v>
      </c>
      <c r="K300" s="53">
        <v>3.5840000000000001</v>
      </c>
      <c r="L300" s="53">
        <v>8.0190199999999994</v>
      </c>
      <c r="M300" s="53">
        <v>1021.6383</v>
      </c>
      <c r="N300" s="54">
        <v>1.1672184105148461E-2</v>
      </c>
      <c r="O300" s="53">
        <v>0.81240000000000001</v>
      </c>
      <c r="P300" s="30">
        <v>109.17</v>
      </c>
      <c r="Q300" s="30">
        <v>108.58</v>
      </c>
      <c r="R300" s="54">
        <v>5.4337815435623821E-3</v>
      </c>
    </row>
    <row r="301" spans="1:18" x14ac:dyDescent="0.15">
      <c r="A301" s="31">
        <v>300</v>
      </c>
      <c r="B301" s="30">
        <v>118006</v>
      </c>
      <c r="C301" s="30" t="s">
        <v>810</v>
      </c>
      <c r="D301" s="30">
        <v>200.63</v>
      </c>
      <c r="E301" s="30">
        <v>-1.45</v>
      </c>
      <c r="F301" s="30">
        <v>45.23</v>
      </c>
      <c r="G301" s="30">
        <v>120.5</v>
      </c>
      <c r="H301" s="30">
        <v>66.5</v>
      </c>
      <c r="I301" s="51">
        <v>267.13</v>
      </c>
      <c r="J301" s="52">
        <v>46827</v>
      </c>
      <c r="K301" s="53">
        <v>5.7450000000000001</v>
      </c>
      <c r="L301" s="53">
        <v>3.8740000000000001</v>
      </c>
      <c r="M301" s="53">
        <v>62684.8266</v>
      </c>
      <c r="N301" s="54">
        <v>0.80650476811157901</v>
      </c>
      <c r="O301" s="53">
        <v>-8.4926999999999992</v>
      </c>
      <c r="P301" s="30">
        <v>208.88</v>
      </c>
      <c r="Q301" s="30">
        <v>199.01</v>
      </c>
      <c r="R301" s="54">
        <v>4.9595497713682754E-2</v>
      </c>
    </row>
    <row r="302" spans="1:18" x14ac:dyDescent="0.15">
      <c r="A302" s="31">
        <v>301</v>
      </c>
      <c r="B302" s="30">
        <v>128122</v>
      </c>
      <c r="C302" s="30" t="s">
        <v>203</v>
      </c>
      <c r="D302" s="30">
        <v>121.71</v>
      </c>
      <c r="E302" s="30">
        <v>0.39</v>
      </c>
      <c r="F302" s="30">
        <v>14</v>
      </c>
      <c r="G302" s="30">
        <v>73</v>
      </c>
      <c r="H302" s="30">
        <v>66.73</v>
      </c>
      <c r="I302" s="51">
        <v>188.44</v>
      </c>
      <c r="J302" s="52">
        <v>45861</v>
      </c>
      <c r="K302" s="53">
        <v>3.0990000000000002</v>
      </c>
      <c r="L302" s="53">
        <v>2.6856749999999998</v>
      </c>
      <c r="M302" s="53">
        <v>3088.1429840999999</v>
      </c>
      <c r="N302" s="54">
        <v>9.4475169872995285E-2</v>
      </c>
      <c r="O302" s="53">
        <v>-2.3988</v>
      </c>
      <c r="P302" s="30">
        <v>121.71</v>
      </c>
      <c r="Q302" s="30">
        <v>120.5</v>
      </c>
      <c r="R302" s="54">
        <v>1.0041493775933557E-2</v>
      </c>
    </row>
    <row r="303" spans="1:18" x14ac:dyDescent="0.15">
      <c r="A303" s="31">
        <v>302</v>
      </c>
      <c r="B303" s="30">
        <v>110081</v>
      </c>
      <c r="C303" s="30" t="s">
        <v>1955</v>
      </c>
      <c r="D303" s="30">
        <v>116.06</v>
      </c>
      <c r="E303" s="30">
        <v>-0.28999999999999998</v>
      </c>
      <c r="F303" s="30">
        <v>96.69</v>
      </c>
      <c r="G303" s="30">
        <v>69.400000000000006</v>
      </c>
      <c r="H303" s="30">
        <v>67.23</v>
      </c>
      <c r="I303" s="51">
        <v>183.29000000000002</v>
      </c>
      <c r="J303" s="52">
        <v>46596</v>
      </c>
      <c r="K303" s="53">
        <v>5.1120000000000001</v>
      </c>
      <c r="L303" s="53">
        <v>85.983429999999998</v>
      </c>
      <c r="M303" s="53">
        <v>6632.3780999999999</v>
      </c>
      <c r="N303" s="54">
        <v>6.6461776345219069E-3</v>
      </c>
      <c r="O303" s="53">
        <v>-0.7198</v>
      </c>
      <c r="P303" s="30">
        <v>116.65</v>
      </c>
      <c r="Q303" s="30">
        <v>115.68</v>
      </c>
      <c r="R303" s="54">
        <v>8.3852005532503351E-3</v>
      </c>
    </row>
    <row r="304" spans="1:18" x14ac:dyDescent="0.15">
      <c r="A304" s="31">
        <v>303</v>
      </c>
      <c r="B304" s="30">
        <v>127059</v>
      </c>
      <c r="C304" s="30" t="s">
        <v>1954</v>
      </c>
      <c r="D304" s="30">
        <v>146.79499999999999</v>
      </c>
      <c r="E304" s="30">
        <v>-0.05</v>
      </c>
      <c r="F304" s="30">
        <v>8.65</v>
      </c>
      <c r="G304" s="30">
        <v>87.51</v>
      </c>
      <c r="H304" s="30">
        <v>67.75</v>
      </c>
      <c r="I304" s="51">
        <v>214.54499999999999</v>
      </c>
      <c r="J304" s="52">
        <v>46851</v>
      </c>
      <c r="K304" s="53">
        <v>5.8109999999999999</v>
      </c>
      <c r="L304" s="53">
        <v>3.8</v>
      </c>
      <c r="M304" s="53">
        <v>9132.2561251000006</v>
      </c>
      <c r="N304" s="54">
        <v>0.1637130212935691</v>
      </c>
      <c r="O304" s="53">
        <v>-3.3946000000000001</v>
      </c>
      <c r="P304" s="30">
        <v>148.38</v>
      </c>
      <c r="Q304" s="30">
        <v>146.38</v>
      </c>
      <c r="R304" s="54">
        <v>1.3663068725235688E-2</v>
      </c>
    </row>
    <row r="305" spans="1:18" x14ac:dyDescent="0.15">
      <c r="A305" s="31">
        <v>304</v>
      </c>
      <c r="B305" s="30">
        <v>123088</v>
      </c>
      <c r="C305" s="30" t="s">
        <v>238</v>
      </c>
      <c r="D305" s="30">
        <v>126.1</v>
      </c>
      <c r="E305" s="30">
        <v>7.85</v>
      </c>
      <c r="F305" s="30">
        <v>20.72</v>
      </c>
      <c r="G305" s="30">
        <v>74.709999999999994</v>
      </c>
      <c r="H305" s="30">
        <v>68.790000000000006</v>
      </c>
      <c r="I305" s="51">
        <v>194.89</v>
      </c>
      <c r="J305" s="52">
        <v>46371</v>
      </c>
      <c r="K305" s="53">
        <v>4.4960000000000004</v>
      </c>
      <c r="L305" s="53">
        <v>3.011755</v>
      </c>
      <c r="M305" s="53">
        <v>194985.15144769999</v>
      </c>
      <c r="N305" s="54">
        <v>5.1341294374152984</v>
      </c>
      <c r="O305" s="53">
        <v>-0.91590000000000005</v>
      </c>
      <c r="P305" s="30">
        <v>127.57</v>
      </c>
      <c r="Q305" s="30">
        <v>116.52</v>
      </c>
      <c r="R305" s="54">
        <v>9.4833504977686209E-2</v>
      </c>
    </row>
    <row r="306" spans="1:18" x14ac:dyDescent="0.15">
      <c r="A306" s="31">
        <v>305</v>
      </c>
      <c r="B306" s="30">
        <v>123090</v>
      </c>
      <c r="C306" s="30" t="s">
        <v>183</v>
      </c>
      <c r="D306" s="30">
        <v>116.2</v>
      </c>
      <c r="E306" s="30">
        <v>1.7</v>
      </c>
      <c r="F306" s="30">
        <v>34.979999999999997</v>
      </c>
      <c r="G306" s="30">
        <v>68.61</v>
      </c>
      <c r="H306" s="30">
        <v>69.36</v>
      </c>
      <c r="I306" s="51">
        <v>185.56</v>
      </c>
      <c r="J306" s="52">
        <v>46377</v>
      </c>
      <c r="K306" s="53">
        <v>4.5119999999999996</v>
      </c>
      <c r="L306" s="53">
        <v>4.9996939999999999</v>
      </c>
      <c r="M306" s="53">
        <v>4885.3230594999995</v>
      </c>
      <c r="N306" s="54">
        <v>8.4089880543374282E-2</v>
      </c>
      <c r="O306" s="53">
        <v>0.1163</v>
      </c>
      <c r="P306" s="30">
        <v>116.68</v>
      </c>
      <c r="Q306" s="30">
        <v>114.02</v>
      </c>
      <c r="R306" s="54">
        <v>2.3329240484125689E-2</v>
      </c>
    </row>
    <row r="307" spans="1:18" x14ac:dyDescent="0.15">
      <c r="A307" s="31">
        <v>306</v>
      </c>
      <c r="B307" s="30">
        <v>113042</v>
      </c>
      <c r="C307" s="30" t="s">
        <v>1951</v>
      </c>
      <c r="D307" s="30">
        <v>105.13</v>
      </c>
      <c r="E307" s="30">
        <v>0.15</v>
      </c>
      <c r="F307" s="30">
        <v>10.63</v>
      </c>
      <c r="G307" s="30">
        <v>61.81</v>
      </c>
      <c r="H307" s="30">
        <v>70.09</v>
      </c>
      <c r="I307" s="51">
        <v>175.22</v>
      </c>
      <c r="J307" s="52">
        <v>46412</v>
      </c>
      <c r="K307" s="53">
        <v>4.6079999999999997</v>
      </c>
      <c r="L307" s="53">
        <v>199.98693</v>
      </c>
      <c r="M307" s="53">
        <v>20762.3868</v>
      </c>
      <c r="N307" s="54">
        <v>9.8752704797162982E-3</v>
      </c>
      <c r="O307" s="53">
        <v>3.1213000000000002</v>
      </c>
      <c r="P307" s="30">
        <v>105.24</v>
      </c>
      <c r="Q307" s="30">
        <v>104.95</v>
      </c>
      <c r="R307" s="54">
        <v>2.7632205812290807E-3</v>
      </c>
    </row>
    <row r="308" spans="1:18" x14ac:dyDescent="0.15">
      <c r="A308" s="31">
        <v>307</v>
      </c>
      <c r="B308" s="30">
        <v>113616</v>
      </c>
      <c r="C308" s="30" t="s">
        <v>1957</v>
      </c>
      <c r="D308" s="30">
        <v>123.06</v>
      </c>
      <c r="E308" s="30">
        <v>0.42</v>
      </c>
      <c r="F308" s="30">
        <v>222.52</v>
      </c>
      <c r="G308" s="30">
        <v>72.08</v>
      </c>
      <c r="H308" s="30">
        <v>70.73</v>
      </c>
      <c r="I308" s="51">
        <v>193.79000000000002</v>
      </c>
      <c r="J308" s="52">
        <v>46384</v>
      </c>
      <c r="K308" s="53">
        <v>4.532</v>
      </c>
      <c r="L308" s="53">
        <v>24.333670000000001</v>
      </c>
      <c r="M308" s="53">
        <v>5035.1049000000003</v>
      </c>
      <c r="N308" s="54">
        <v>1.6814501570178612E-2</v>
      </c>
      <c r="O308" s="53">
        <v>-0.63700000000000001</v>
      </c>
      <c r="P308" s="30">
        <v>123.3</v>
      </c>
      <c r="Q308" s="30">
        <v>121.51</v>
      </c>
      <c r="R308" s="54">
        <v>1.4731297835569023E-2</v>
      </c>
    </row>
    <row r="309" spans="1:18" x14ac:dyDescent="0.15">
      <c r="A309" s="31">
        <v>308</v>
      </c>
      <c r="B309" s="30">
        <v>128117</v>
      </c>
      <c r="C309" s="30" t="s">
        <v>155</v>
      </c>
      <c r="D309" s="30">
        <v>112.78700000000001</v>
      </c>
      <c r="E309" s="30">
        <v>0.26</v>
      </c>
      <c r="F309" s="30">
        <v>28.71</v>
      </c>
      <c r="G309" s="30">
        <v>65.97</v>
      </c>
      <c r="H309" s="30">
        <v>70.97</v>
      </c>
      <c r="I309" s="51">
        <v>183.75700000000001</v>
      </c>
      <c r="J309" s="52">
        <v>46205</v>
      </c>
      <c r="K309" s="53">
        <v>4.0410000000000004</v>
      </c>
      <c r="L309" s="53">
        <v>3.5988519999999995</v>
      </c>
      <c r="M309" s="53">
        <v>1071.2315834000001</v>
      </c>
      <c r="N309" s="54">
        <v>2.6391272837240749E-2</v>
      </c>
      <c r="O309" s="53">
        <v>2.2357999999999998</v>
      </c>
      <c r="P309" s="30">
        <v>112.88</v>
      </c>
      <c r="Q309" s="30">
        <v>112.273</v>
      </c>
      <c r="R309" s="54">
        <v>5.4064645996811283E-3</v>
      </c>
    </row>
    <row r="310" spans="1:18" x14ac:dyDescent="0.15">
      <c r="A310" s="31">
        <v>309</v>
      </c>
      <c r="B310" s="30">
        <v>128056</v>
      </c>
      <c r="C310" s="30" t="s">
        <v>79</v>
      </c>
      <c r="D310" s="30">
        <v>134.5</v>
      </c>
      <c r="E310" s="30">
        <v>6.75</v>
      </c>
      <c r="F310" s="30">
        <v>6.69</v>
      </c>
      <c r="G310" s="30">
        <v>78.48</v>
      </c>
      <c r="H310" s="30">
        <v>71.38</v>
      </c>
      <c r="I310" s="51">
        <v>205.88</v>
      </c>
      <c r="J310" s="52">
        <v>45716</v>
      </c>
      <c r="K310" s="53">
        <v>2.7010000000000001</v>
      </c>
      <c r="L310" s="53">
        <v>1.7224740000000003</v>
      </c>
      <c r="M310" s="53">
        <v>40445.699816299995</v>
      </c>
      <c r="N310" s="54">
        <v>1.7458116801633548</v>
      </c>
      <c r="O310" s="53">
        <v>-4.5037000000000003</v>
      </c>
      <c r="P310" s="30">
        <v>135.88800000000001</v>
      </c>
      <c r="Q310" s="30">
        <v>126.03</v>
      </c>
      <c r="R310" s="54">
        <v>7.8219471554391837E-2</v>
      </c>
    </row>
    <row r="311" spans="1:18" x14ac:dyDescent="0.15">
      <c r="A311" s="31">
        <v>310</v>
      </c>
      <c r="B311" s="30">
        <v>110062</v>
      </c>
      <c r="C311" s="30" t="s">
        <v>1956</v>
      </c>
      <c r="D311" s="30">
        <v>108</v>
      </c>
      <c r="E311" s="30">
        <v>-0.28999999999999998</v>
      </c>
      <c r="F311" s="30">
        <v>22.85</v>
      </c>
      <c r="G311" s="30">
        <v>62.84</v>
      </c>
      <c r="H311" s="30">
        <v>71.87</v>
      </c>
      <c r="I311" s="51">
        <v>179.87</v>
      </c>
      <c r="J311" s="52">
        <v>45993</v>
      </c>
      <c r="K311" s="53">
        <v>3.46</v>
      </c>
      <c r="L311" s="53">
        <v>30.87631</v>
      </c>
      <c r="M311" s="53">
        <v>5099.3918000000003</v>
      </c>
      <c r="N311" s="54">
        <v>1.529217407803612E-2</v>
      </c>
      <c r="O311" s="53">
        <v>0.62319999999999998</v>
      </c>
      <c r="P311" s="30">
        <v>108.58</v>
      </c>
      <c r="Q311" s="30">
        <v>107.9</v>
      </c>
      <c r="R311" s="54">
        <v>6.3021316033363538E-3</v>
      </c>
    </row>
    <row r="312" spans="1:18" x14ac:dyDescent="0.15">
      <c r="A312" s="31">
        <v>311</v>
      </c>
      <c r="B312" s="30">
        <v>128142</v>
      </c>
      <c r="C312" s="30" t="s">
        <v>201</v>
      </c>
      <c r="D312" s="30">
        <v>112.848</v>
      </c>
      <c r="E312" s="30">
        <v>0.67</v>
      </c>
      <c r="F312" s="30">
        <v>18.399999999999999</v>
      </c>
      <c r="G312" s="30">
        <v>65.650000000000006</v>
      </c>
      <c r="H312" s="30">
        <v>71.89</v>
      </c>
      <c r="I312" s="51">
        <v>184.738</v>
      </c>
      <c r="J312" s="52">
        <v>46374</v>
      </c>
      <c r="K312" s="53">
        <v>4.5039999999999996</v>
      </c>
      <c r="L312" s="53">
        <v>7.1797839999999997</v>
      </c>
      <c r="M312" s="53">
        <v>628.8214352</v>
      </c>
      <c r="N312" s="54">
        <v>7.7610787839140572E-3</v>
      </c>
      <c r="O312" s="53">
        <v>0.38869999999999999</v>
      </c>
      <c r="P312" s="30">
        <v>112.98</v>
      </c>
      <c r="Q312" s="30">
        <v>111.497</v>
      </c>
      <c r="R312" s="54">
        <v>1.3300806299721106E-2</v>
      </c>
    </row>
    <row r="313" spans="1:18" x14ac:dyDescent="0.15">
      <c r="A313" s="31">
        <v>312</v>
      </c>
      <c r="B313" s="30">
        <v>123004</v>
      </c>
      <c r="C313" s="30" t="s">
        <v>181</v>
      </c>
      <c r="D313" s="30">
        <v>106.26</v>
      </c>
      <c r="E313" s="30">
        <v>0.05</v>
      </c>
      <c r="F313" s="30">
        <v>3.82</v>
      </c>
      <c r="G313" s="30">
        <v>61.52</v>
      </c>
      <c r="H313" s="30">
        <v>72.72</v>
      </c>
      <c r="I313" s="51">
        <v>178.98000000000002</v>
      </c>
      <c r="J313" s="52">
        <v>45278</v>
      </c>
      <c r="K313" s="53">
        <v>1.5009999999999999</v>
      </c>
      <c r="L313" s="53">
        <v>8.0317070000000008</v>
      </c>
      <c r="M313" s="53">
        <v>890.03863039999999</v>
      </c>
      <c r="N313" s="54">
        <v>1.0428724348068181E-2</v>
      </c>
      <c r="O313" s="53">
        <v>0.78159999999999996</v>
      </c>
      <c r="P313" s="30">
        <v>106.37</v>
      </c>
      <c r="Q313" s="30">
        <v>106.101</v>
      </c>
      <c r="R313" s="54">
        <v>2.5353201195088214E-3</v>
      </c>
    </row>
    <row r="314" spans="1:18" x14ac:dyDescent="0.15">
      <c r="A314" s="31">
        <v>313</v>
      </c>
      <c r="B314" s="30">
        <v>128069</v>
      </c>
      <c r="C314" s="30" t="s">
        <v>173</v>
      </c>
      <c r="D314" s="30">
        <v>117.4</v>
      </c>
      <c r="E314" s="30">
        <v>-0.21</v>
      </c>
      <c r="F314" s="30">
        <v>18.010000000000002</v>
      </c>
      <c r="G314" s="30">
        <v>67.680000000000007</v>
      </c>
      <c r="H314" s="30">
        <v>73.459999999999994</v>
      </c>
      <c r="I314" s="51">
        <v>190.86</v>
      </c>
      <c r="J314" s="52">
        <v>45832</v>
      </c>
      <c r="K314" s="53">
        <v>3.0190000000000001</v>
      </c>
      <c r="L314" s="53">
        <v>2.99343</v>
      </c>
      <c r="M314" s="53">
        <v>3655.3044810000001</v>
      </c>
      <c r="N314" s="54">
        <v>0.10401269640820039</v>
      </c>
      <c r="O314" s="53">
        <v>0.54459999999999997</v>
      </c>
      <c r="P314" s="30">
        <v>118.18</v>
      </c>
      <c r="Q314" s="30">
        <v>116.934</v>
      </c>
      <c r="R314" s="54">
        <v>1.0655583491542317E-2</v>
      </c>
    </row>
    <row r="315" spans="1:18" x14ac:dyDescent="0.15">
      <c r="A315" s="31">
        <v>314</v>
      </c>
      <c r="B315" s="30">
        <v>110076</v>
      </c>
      <c r="C315" s="30" t="s">
        <v>1967</v>
      </c>
      <c r="D315" s="30">
        <v>111.6</v>
      </c>
      <c r="E315" s="30">
        <v>0.39</v>
      </c>
      <c r="F315" s="30">
        <v>33.79</v>
      </c>
      <c r="G315" s="30">
        <v>64.099999999999994</v>
      </c>
      <c r="H315" s="30">
        <v>74.099999999999994</v>
      </c>
      <c r="I315" s="51">
        <v>185.7</v>
      </c>
      <c r="J315" s="52">
        <v>46328</v>
      </c>
      <c r="K315" s="53">
        <v>4.3780000000000001</v>
      </c>
      <c r="L315" s="53">
        <v>18.424399999999999</v>
      </c>
      <c r="M315" s="53">
        <v>2765.7289999999998</v>
      </c>
      <c r="N315" s="54">
        <v>1.3450922646678834E-2</v>
      </c>
      <c r="O315" s="53">
        <v>0.66039999999999999</v>
      </c>
      <c r="P315" s="30">
        <v>112</v>
      </c>
      <c r="Q315" s="30">
        <v>110.71</v>
      </c>
      <c r="R315" s="54">
        <v>1.1652063950862671E-2</v>
      </c>
    </row>
    <row r="316" spans="1:18" x14ac:dyDescent="0.15">
      <c r="A316" s="31">
        <v>315</v>
      </c>
      <c r="B316" s="30">
        <v>128026</v>
      </c>
      <c r="C316" s="30" t="s">
        <v>192</v>
      </c>
      <c r="D316" s="30">
        <v>107.351</v>
      </c>
      <c r="E316" s="30">
        <v>0.12</v>
      </c>
      <c r="F316" s="30">
        <v>11.26</v>
      </c>
      <c r="G316" s="30">
        <v>61.55</v>
      </c>
      <c r="H316" s="30">
        <v>74.41</v>
      </c>
      <c r="I316" s="51">
        <v>181.761</v>
      </c>
      <c r="J316" s="52">
        <v>45273</v>
      </c>
      <c r="K316" s="53">
        <v>1.488</v>
      </c>
      <c r="L316" s="53">
        <v>4.0879250000000003</v>
      </c>
      <c r="M316" s="53">
        <v>703.94174119999991</v>
      </c>
      <c r="N316" s="54">
        <v>1.6040862066556364E-2</v>
      </c>
      <c r="O316" s="53">
        <v>0.28360000000000002</v>
      </c>
      <c r="P316" s="30">
        <v>107.485</v>
      </c>
      <c r="Q316" s="30">
        <v>107.1</v>
      </c>
      <c r="R316" s="54">
        <v>3.5947712418301133E-3</v>
      </c>
    </row>
    <row r="317" spans="1:18" x14ac:dyDescent="0.15">
      <c r="A317" s="31">
        <v>316</v>
      </c>
      <c r="B317" s="30">
        <v>113535</v>
      </c>
      <c r="C317" s="30" t="s">
        <v>217</v>
      </c>
      <c r="D317" s="30">
        <v>111.85</v>
      </c>
      <c r="E317" s="30">
        <v>-0.24</v>
      </c>
      <c r="F317" s="30">
        <v>12.29</v>
      </c>
      <c r="G317" s="30">
        <v>63.87</v>
      </c>
      <c r="H317" s="30">
        <v>75.12</v>
      </c>
      <c r="I317" s="51">
        <v>186.97</v>
      </c>
      <c r="J317" s="52">
        <v>45421</v>
      </c>
      <c r="K317" s="53">
        <v>1.893</v>
      </c>
      <c r="L317" s="53">
        <v>4.99613</v>
      </c>
      <c r="M317" s="53">
        <v>1491.5137999999999</v>
      </c>
      <c r="N317" s="54">
        <v>2.6690552094831461E-2</v>
      </c>
      <c r="O317" s="53">
        <v>-0.16639999999999999</v>
      </c>
      <c r="P317" s="30">
        <v>112</v>
      </c>
      <c r="Q317" s="30">
        <v>111.32</v>
      </c>
      <c r="R317" s="54">
        <v>6.1085159899389764E-3</v>
      </c>
    </row>
    <row r="318" spans="1:18" x14ac:dyDescent="0.15">
      <c r="A318" s="31">
        <v>317</v>
      </c>
      <c r="B318" s="30">
        <v>128015</v>
      </c>
      <c r="C318" s="30" t="s">
        <v>163</v>
      </c>
      <c r="D318" s="30">
        <v>109.84699999999999</v>
      </c>
      <c r="E318" s="30">
        <v>-0.18</v>
      </c>
      <c r="F318" s="30">
        <v>6.97</v>
      </c>
      <c r="G318" s="30">
        <v>62.7</v>
      </c>
      <c r="H318" s="30">
        <v>75.19</v>
      </c>
      <c r="I318" s="51">
        <v>185.03699999999998</v>
      </c>
      <c r="J318" s="52">
        <v>45085</v>
      </c>
      <c r="K318" s="53">
        <v>0.97299999999999998</v>
      </c>
      <c r="L318" s="53">
        <v>7.7922679999999991</v>
      </c>
      <c r="M318" s="53">
        <v>2621.3040639999999</v>
      </c>
      <c r="N318" s="54">
        <v>3.0624239986292986E-2</v>
      </c>
      <c r="O318" s="53">
        <v>-1.7236</v>
      </c>
      <c r="P318" s="30">
        <v>110.029</v>
      </c>
      <c r="Q318" s="30">
        <v>109.712</v>
      </c>
      <c r="R318" s="54">
        <v>2.8893831121481065E-3</v>
      </c>
    </row>
    <row r="319" spans="1:18" x14ac:dyDescent="0.15">
      <c r="A319" s="31">
        <v>318</v>
      </c>
      <c r="B319" s="30">
        <v>128105</v>
      </c>
      <c r="C319" s="30" t="s">
        <v>186</v>
      </c>
      <c r="D319" s="30">
        <v>101.59</v>
      </c>
      <c r="E319" s="30">
        <v>0.04</v>
      </c>
      <c r="F319" s="30">
        <v>7.91</v>
      </c>
      <c r="G319" s="30">
        <v>57.9</v>
      </c>
      <c r="H319" s="30">
        <v>75.459999999999994</v>
      </c>
      <c r="I319" s="51">
        <v>177.05</v>
      </c>
      <c r="J319" s="52">
        <v>46121</v>
      </c>
      <c r="K319" s="53">
        <v>3.8109999999999999</v>
      </c>
      <c r="L319" s="53">
        <v>7.9952110000000003</v>
      </c>
      <c r="M319" s="53">
        <v>1840.3543170000003</v>
      </c>
      <c r="N319" s="54">
        <v>2.2657946881982596E-2</v>
      </c>
      <c r="O319" s="53">
        <v>3.1993999999999998</v>
      </c>
      <c r="P319" s="30">
        <v>101.676</v>
      </c>
      <c r="Q319" s="30">
        <v>101.45</v>
      </c>
      <c r="R319" s="54">
        <v>2.2276983735830366E-3</v>
      </c>
    </row>
    <row r="320" spans="1:18" x14ac:dyDescent="0.15">
      <c r="A320" s="31">
        <v>319</v>
      </c>
      <c r="B320" s="30">
        <v>128063</v>
      </c>
      <c r="C320" s="30" t="s">
        <v>206</v>
      </c>
      <c r="D320" s="30">
        <v>113.997</v>
      </c>
      <c r="E320" s="30">
        <v>0.27</v>
      </c>
      <c r="F320" s="30">
        <v>8.61</v>
      </c>
      <c r="G320" s="30">
        <v>64.58</v>
      </c>
      <c r="H320" s="30">
        <v>76.52</v>
      </c>
      <c r="I320" s="51">
        <v>190.517</v>
      </c>
      <c r="J320" s="52">
        <v>45750</v>
      </c>
      <c r="K320" s="53">
        <v>2.7949999999999999</v>
      </c>
      <c r="L320" s="53">
        <v>6.293526</v>
      </c>
      <c r="M320" s="53">
        <v>970.01855999999998</v>
      </c>
      <c r="N320" s="54">
        <v>1.3520494969068302E-2</v>
      </c>
      <c r="O320" s="53">
        <v>3.7381000000000002</v>
      </c>
      <c r="P320" s="30">
        <v>114.2</v>
      </c>
      <c r="Q320" s="30">
        <v>113.571</v>
      </c>
      <c r="R320" s="54">
        <v>5.5383856794428586E-3</v>
      </c>
    </row>
    <row r="321" spans="1:18" x14ac:dyDescent="0.15">
      <c r="A321" s="31">
        <v>320</v>
      </c>
      <c r="B321" s="30">
        <v>113593</v>
      </c>
      <c r="C321" s="30" t="s">
        <v>60</v>
      </c>
      <c r="D321" s="30">
        <v>115.09</v>
      </c>
      <c r="E321" s="30">
        <v>0.56999999999999995</v>
      </c>
      <c r="F321" s="30">
        <v>21.12</v>
      </c>
      <c r="G321" s="30">
        <v>65.150000000000006</v>
      </c>
      <c r="H321" s="30">
        <v>76.650000000000006</v>
      </c>
      <c r="I321" s="51">
        <v>191.74</v>
      </c>
      <c r="J321" s="52">
        <v>46223</v>
      </c>
      <c r="K321" s="53">
        <v>4.09</v>
      </c>
      <c r="L321" s="53">
        <v>3.9977800000000001</v>
      </c>
      <c r="M321" s="53">
        <v>2665.3449000000001</v>
      </c>
      <c r="N321" s="54">
        <v>5.7929120424630005E-2</v>
      </c>
      <c r="O321" s="53">
        <v>1.3050999999999999</v>
      </c>
      <c r="P321" s="30">
        <v>115.55</v>
      </c>
      <c r="Q321" s="30">
        <v>114.5</v>
      </c>
      <c r="R321" s="54">
        <v>9.1703056768558701E-3</v>
      </c>
    </row>
    <row r="322" spans="1:18" x14ac:dyDescent="0.15">
      <c r="A322" s="31">
        <v>321</v>
      </c>
      <c r="B322" s="30">
        <v>123049</v>
      </c>
      <c r="C322" s="30" t="s">
        <v>194</v>
      </c>
      <c r="D322" s="30">
        <v>108.902</v>
      </c>
      <c r="E322" s="30">
        <v>0.24</v>
      </c>
      <c r="F322" s="30">
        <v>7.28</v>
      </c>
      <c r="G322" s="30">
        <v>61.54</v>
      </c>
      <c r="H322" s="30">
        <v>76.959999999999994</v>
      </c>
      <c r="I322" s="51">
        <v>185.86199999999999</v>
      </c>
      <c r="J322" s="52">
        <v>46125</v>
      </c>
      <c r="K322" s="53">
        <v>3.8220000000000001</v>
      </c>
      <c r="L322" s="53">
        <v>9.1698649999999997</v>
      </c>
      <c r="M322" s="53">
        <v>265.66165040000004</v>
      </c>
      <c r="N322" s="54">
        <v>2.6602966566917265E-3</v>
      </c>
      <c r="O322" s="53">
        <v>3.4176000000000002</v>
      </c>
      <c r="P322" s="30">
        <v>108.99</v>
      </c>
      <c r="Q322" s="30">
        <v>108.374</v>
      </c>
      <c r="R322" s="54">
        <v>5.6840201524350834E-3</v>
      </c>
    </row>
    <row r="323" spans="1:18" x14ac:dyDescent="0.15">
      <c r="A323" s="31">
        <v>322</v>
      </c>
      <c r="B323" s="30">
        <v>123096</v>
      </c>
      <c r="C323" s="30" t="s">
        <v>210</v>
      </c>
      <c r="D323" s="30">
        <v>105.971</v>
      </c>
      <c r="E323" s="30">
        <v>0.15</v>
      </c>
      <c r="F323" s="30">
        <v>8.27</v>
      </c>
      <c r="G323" s="30">
        <v>59.85</v>
      </c>
      <c r="H323" s="30">
        <v>77.06</v>
      </c>
      <c r="I323" s="51">
        <v>183.03100000000001</v>
      </c>
      <c r="J323" s="52">
        <v>46413</v>
      </c>
      <c r="K323" s="53">
        <v>4.6109999999999998</v>
      </c>
      <c r="L323" s="53">
        <v>8.1692780000000003</v>
      </c>
      <c r="M323" s="53">
        <v>816.49142699999993</v>
      </c>
      <c r="N323" s="54">
        <v>9.4315033029393428E-3</v>
      </c>
      <c r="O323" s="53">
        <v>3.4618000000000002</v>
      </c>
      <c r="P323" s="30">
        <v>105.998</v>
      </c>
      <c r="Q323" s="30">
        <v>105.627</v>
      </c>
      <c r="R323" s="54">
        <v>3.5123595292871077E-3</v>
      </c>
    </row>
    <row r="324" spans="1:18" x14ac:dyDescent="0.15">
      <c r="A324" s="31">
        <v>323</v>
      </c>
      <c r="B324" s="30">
        <v>113530</v>
      </c>
      <c r="C324" s="30" t="s">
        <v>191</v>
      </c>
      <c r="D324" s="30">
        <v>119.63</v>
      </c>
      <c r="E324" s="30">
        <v>1.5</v>
      </c>
      <c r="F324" s="30">
        <v>16.100000000000001</v>
      </c>
      <c r="G324" s="30">
        <v>67.39</v>
      </c>
      <c r="H324" s="30">
        <v>77.52</v>
      </c>
      <c r="I324" s="51">
        <v>197.14999999999998</v>
      </c>
      <c r="J324" s="52">
        <v>45743</v>
      </c>
      <c r="K324" s="53">
        <v>2.7749999999999999</v>
      </c>
      <c r="L324" s="53">
        <v>6.29765</v>
      </c>
      <c r="M324" s="53">
        <v>5011.6809000000003</v>
      </c>
      <c r="N324" s="54">
        <v>6.6521921879709817E-2</v>
      </c>
      <c r="O324" s="53">
        <v>0.11310000000000001</v>
      </c>
      <c r="P324" s="30">
        <v>119.85</v>
      </c>
      <c r="Q324" s="30">
        <v>116.91</v>
      </c>
      <c r="R324" s="54">
        <v>2.5147549396972012E-2</v>
      </c>
    </row>
    <row r="325" spans="1:18" x14ac:dyDescent="0.15">
      <c r="A325" s="31">
        <v>324</v>
      </c>
      <c r="B325" s="30">
        <v>123119</v>
      </c>
      <c r="C325" s="30" t="s">
        <v>1968</v>
      </c>
      <c r="D325" s="30">
        <v>112.246</v>
      </c>
      <c r="E325" s="30">
        <v>0.22</v>
      </c>
      <c r="F325" s="30">
        <v>66.510000000000005</v>
      </c>
      <c r="G325" s="30">
        <v>63.07</v>
      </c>
      <c r="H325" s="30">
        <v>77.97</v>
      </c>
      <c r="I325" s="51">
        <v>190.21600000000001</v>
      </c>
      <c r="J325" s="52">
        <v>46583</v>
      </c>
      <c r="K325" s="53">
        <v>5.077</v>
      </c>
      <c r="L325" s="53">
        <v>19.997247000000002</v>
      </c>
      <c r="M325" s="53">
        <v>3411.7539859999997</v>
      </c>
      <c r="N325" s="54">
        <v>1.5199756243382202E-2</v>
      </c>
      <c r="O325" s="53">
        <v>0.85340000000000005</v>
      </c>
      <c r="P325" s="30">
        <v>112.5</v>
      </c>
      <c r="Q325" s="30">
        <v>111.5</v>
      </c>
      <c r="R325" s="54">
        <v>8.9686098654708519E-3</v>
      </c>
    </row>
    <row r="326" spans="1:18" x14ac:dyDescent="0.15">
      <c r="A326" s="31">
        <v>325</v>
      </c>
      <c r="B326" s="30">
        <v>113566</v>
      </c>
      <c r="C326" s="30" t="s">
        <v>195</v>
      </c>
      <c r="D326" s="30">
        <v>123.94</v>
      </c>
      <c r="E326" s="30">
        <v>1.04</v>
      </c>
      <c r="F326" s="30">
        <v>10.77</v>
      </c>
      <c r="G326" s="30">
        <v>69.55</v>
      </c>
      <c r="H326" s="30">
        <v>78.2</v>
      </c>
      <c r="I326" s="51">
        <v>202.14</v>
      </c>
      <c r="J326" s="52">
        <v>46081</v>
      </c>
      <c r="K326" s="53">
        <v>3.7010000000000001</v>
      </c>
      <c r="L326" s="53">
        <v>1.6127199999999999</v>
      </c>
      <c r="M326" s="53">
        <v>1577.5923</v>
      </c>
      <c r="N326" s="54">
        <v>7.8926767113501897E-2</v>
      </c>
      <c r="O326" s="53">
        <v>-0.16489999999999999</v>
      </c>
      <c r="P326" s="30">
        <v>124.3</v>
      </c>
      <c r="Q326" s="30">
        <v>122.87</v>
      </c>
      <c r="R326" s="54">
        <v>1.1638316920322231E-2</v>
      </c>
    </row>
    <row r="327" spans="1:18" x14ac:dyDescent="0.15">
      <c r="A327" s="31">
        <v>326</v>
      </c>
      <c r="B327" s="30">
        <v>123099</v>
      </c>
      <c r="C327" s="30" t="s">
        <v>245</v>
      </c>
      <c r="D327" s="30">
        <v>111.801</v>
      </c>
      <c r="E327" s="30">
        <v>1.0900000000000001</v>
      </c>
      <c r="F327" s="30">
        <v>46.03</v>
      </c>
      <c r="G327" s="30">
        <v>62.68</v>
      </c>
      <c r="H327" s="30">
        <v>78.37</v>
      </c>
      <c r="I327" s="51">
        <v>190.17099999999999</v>
      </c>
      <c r="J327" s="52">
        <v>46427</v>
      </c>
      <c r="K327" s="53">
        <v>4.649</v>
      </c>
      <c r="L327" s="53">
        <v>8.4993130000000008</v>
      </c>
      <c r="M327" s="53">
        <v>1132.2565362999999</v>
      </c>
      <c r="N327" s="54">
        <v>1.191558379901329E-2</v>
      </c>
      <c r="O327" s="53">
        <v>2.1313</v>
      </c>
      <c r="P327" s="30">
        <v>111.979</v>
      </c>
      <c r="Q327" s="30">
        <v>110.767</v>
      </c>
      <c r="R327" s="54">
        <v>1.094188702411371E-2</v>
      </c>
    </row>
    <row r="328" spans="1:18" x14ac:dyDescent="0.15">
      <c r="A328" s="31">
        <v>327</v>
      </c>
      <c r="B328" s="30">
        <v>123128</v>
      </c>
      <c r="C328" s="30" t="s">
        <v>1962</v>
      </c>
      <c r="D328" s="30">
        <v>106.04</v>
      </c>
      <c r="E328" s="30">
        <v>0.28999999999999998</v>
      </c>
      <c r="F328" s="30">
        <v>25.02</v>
      </c>
      <c r="G328" s="30">
        <v>59.31</v>
      </c>
      <c r="H328" s="30">
        <v>78.790000000000006</v>
      </c>
      <c r="I328" s="51">
        <v>184.83</v>
      </c>
      <c r="J328" s="52">
        <v>46692</v>
      </c>
      <c r="K328" s="53">
        <v>5.375</v>
      </c>
      <c r="L328" s="53">
        <v>13.794371</v>
      </c>
      <c r="M328" s="53">
        <v>2827.9083946999999</v>
      </c>
      <c r="N328" s="54">
        <v>1.9332753603635008E-2</v>
      </c>
      <c r="O328" s="53">
        <v>1.5654999999999999</v>
      </c>
      <c r="P328" s="30">
        <v>106.417</v>
      </c>
      <c r="Q328" s="30">
        <v>105.441</v>
      </c>
      <c r="R328" s="54">
        <v>9.2563613774527854E-3</v>
      </c>
    </row>
    <row r="329" spans="1:18" x14ac:dyDescent="0.15">
      <c r="A329" s="31">
        <v>328</v>
      </c>
      <c r="B329" s="30">
        <v>128131</v>
      </c>
      <c r="C329" s="30" t="s">
        <v>1963</v>
      </c>
      <c r="D329" s="30">
        <v>111.88800000000001</v>
      </c>
      <c r="E329" s="30">
        <v>0.26</v>
      </c>
      <c r="F329" s="30">
        <v>19.07</v>
      </c>
      <c r="G329" s="30">
        <v>62.35</v>
      </c>
      <c r="H329" s="30">
        <v>79.45</v>
      </c>
      <c r="I329" s="51">
        <v>191.33800000000002</v>
      </c>
      <c r="J329" s="52">
        <v>46272</v>
      </c>
      <c r="K329" s="53">
        <v>4.2249999999999996</v>
      </c>
      <c r="L329" s="53">
        <v>13.997867000000003</v>
      </c>
      <c r="M329" s="53">
        <v>236.975414</v>
      </c>
      <c r="N329" s="54">
        <v>1.5130661554327385E-3</v>
      </c>
      <c r="O329" s="53">
        <v>0.64400000000000002</v>
      </c>
      <c r="P329" s="30">
        <v>111.991</v>
      </c>
      <c r="Q329" s="30">
        <v>110.852</v>
      </c>
      <c r="R329" s="54">
        <v>1.027496120954061E-2</v>
      </c>
    </row>
    <row r="330" spans="1:18" x14ac:dyDescent="0.15">
      <c r="A330" s="31">
        <v>329</v>
      </c>
      <c r="B330" s="30">
        <v>128014</v>
      </c>
      <c r="C330" s="30" t="s">
        <v>189</v>
      </c>
      <c r="D330" s="30">
        <v>110.5</v>
      </c>
      <c r="E330" s="30">
        <v>0.65</v>
      </c>
      <c r="F330" s="30">
        <v>12.31</v>
      </c>
      <c r="G330" s="30">
        <v>61.49</v>
      </c>
      <c r="H330" s="30">
        <v>79.7</v>
      </c>
      <c r="I330" s="51">
        <v>190.2</v>
      </c>
      <c r="J330" s="52">
        <v>45033</v>
      </c>
      <c r="K330" s="53">
        <v>0.83</v>
      </c>
      <c r="L330" s="53">
        <v>3.3697080000000001</v>
      </c>
      <c r="M330" s="53">
        <v>813.38343600000007</v>
      </c>
      <c r="N330" s="54">
        <v>2.1844433026239039E-2</v>
      </c>
      <c r="O330" s="53">
        <v>-2.7101999999999999</v>
      </c>
      <c r="P330" s="30">
        <v>110.5</v>
      </c>
      <c r="Q330" s="30">
        <v>109.64</v>
      </c>
      <c r="R330" s="54">
        <v>7.8438526085370247E-3</v>
      </c>
    </row>
    <row r="331" spans="1:18" x14ac:dyDescent="0.15">
      <c r="A331" s="31">
        <v>330</v>
      </c>
      <c r="B331" s="30">
        <v>113633</v>
      </c>
      <c r="C331" s="30" t="s">
        <v>1969</v>
      </c>
      <c r="D331" s="30">
        <v>115.22</v>
      </c>
      <c r="E331" s="30">
        <v>0.92</v>
      </c>
      <c r="F331" s="30">
        <v>177.03</v>
      </c>
      <c r="G331" s="30">
        <v>64.02</v>
      </c>
      <c r="H331" s="30">
        <v>79.98</v>
      </c>
      <c r="I331" s="51">
        <v>195.2</v>
      </c>
      <c r="J331" s="52">
        <v>46721</v>
      </c>
      <c r="K331" s="53">
        <v>5.4550000000000001</v>
      </c>
      <c r="L331" s="53">
        <v>10.39917</v>
      </c>
      <c r="M331" s="53">
        <v>3199.0558000000001</v>
      </c>
      <c r="N331" s="54">
        <v>2.6699016677445085E-2</v>
      </c>
      <c r="O331" s="53">
        <v>-1.9400000000000001E-2</v>
      </c>
      <c r="P331" s="30">
        <v>115.5</v>
      </c>
      <c r="Q331" s="30">
        <v>113.48</v>
      </c>
      <c r="R331" s="54">
        <v>1.7800493479027107E-2</v>
      </c>
    </row>
    <row r="332" spans="1:18" x14ac:dyDescent="0.15">
      <c r="A332" s="31">
        <v>331</v>
      </c>
      <c r="B332" s="30">
        <v>113594</v>
      </c>
      <c r="C332" s="30" t="s">
        <v>76</v>
      </c>
      <c r="D332" s="30">
        <v>118.09</v>
      </c>
      <c r="E332" s="30">
        <v>0.7</v>
      </c>
      <c r="F332" s="30">
        <v>18.03</v>
      </c>
      <c r="G332" s="30">
        <v>65.61</v>
      </c>
      <c r="H332" s="30">
        <v>79.989999999999995</v>
      </c>
      <c r="I332" s="51">
        <v>198.07999999999998</v>
      </c>
      <c r="J332" s="52">
        <v>46224</v>
      </c>
      <c r="K332" s="53">
        <v>4.093</v>
      </c>
      <c r="L332" s="53">
        <v>2.9975200000000002</v>
      </c>
      <c r="M332" s="53">
        <v>2109.2473</v>
      </c>
      <c r="N332" s="54">
        <v>5.9587105513872272E-2</v>
      </c>
      <c r="O332" s="53">
        <v>0.59050000000000002</v>
      </c>
      <c r="P332" s="30">
        <v>118.15</v>
      </c>
      <c r="Q332" s="30">
        <v>116.98</v>
      </c>
      <c r="R332" s="54">
        <v>1.0001709693964795E-2</v>
      </c>
    </row>
    <row r="333" spans="1:18" x14ac:dyDescent="0.15">
      <c r="A333" s="31">
        <v>332</v>
      </c>
      <c r="B333" s="30">
        <v>113542</v>
      </c>
      <c r="C333" s="30" t="s">
        <v>178</v>
      </c>
      <c r="D333" s="30">
        <v>108.77</v>
      </c>
      <c r="E333" s="30">
        <v>0.42</v>
      </c>
      <c r="F333" s="30">
        <v>16.14</v>
      </c>
      <c r="G333" s="30">
        <v>60.16</v>
      </c>
      <c r="H333" s="30">
        <v>80.8</v>
      </c>
      <c r="I333" s="51">
        <v>189.57</v>
      </c>
      <c r="J333" s="52">
        <v>45870</v>
      </c>
      <c r="K333" s="53">
        <v>3.1230000000000002</v>
      </c>
      <c r="L333" s="53">
        <v>6.02719</v>
      </c>
      <c r="M333" s="53">
        <v>451.1327</v>
      </c>
      <c r="N333" s="54">
        <v>6.8814553591598233E-3</v>
      </c>
      <c r="O333" s="53">
        <v>1.6356999999999999</v>
      </c>
      <c r="P333" s="30">
        <v>108.81</v>
      </c>
      <c r="Q333" s="30">
        <v>107.91</v>
      </c>
      <c r="R333" s="54">
        <v>8.3402835696414213E-3</v>
      </c>
    </row>
    <row r="334" spans="1:18" x14ac:dyDescent="0.15">
      <c r="A334" s="31">
        <v>333</v>
      </c>
      <c r="B334" s="30">
        <v>123108</v>
      </c>
      <c r="C334" s="30" t="s">
        <v>1961</v>
      </c>
      <c r="D334" s="30">
        <v>112.098</v>
      </c>
      <c r="E334" s="30">
        <v>0.73</v>
      </c>
      <c r="F334" s="30">
        <v>29.5</v>
      </c>
      <c r="G334" s="30">
        <v>61.8</v>
      </c>
      <c r="H334" s="30">
        <v>81.39</v>
      </c>
      <c r="I334" s="51">
        <v>193.488</v>
      </c>
      <c r="J334" s="52">
        <v>46111</v>
      </c>
      <c r="K334" s="53">
        <v>3.7839999999999998</v>
      </c>
      <c r="L334" s="53">
        <v>16.377485999999998</v>
      </c>
      <c r="M334" s="53">
        <v>1147.0994519999999</v>
      </c>
      <c r="N334" s="54">
        <v>6.2482150880991388E-3</v>
      </c>
      <c r="O334" s="53">
        <v>-0.31080000000000002</v>
      </c>
      <c r="P334" s="30">
        <v>112.098</v>
      </c>
      <c r="Q334" s="30">
        <v>111.018</v>
      </c>
      <c r="R334" s="54">
        <v>9.7281521915364919E-3</v>
      </c>
    </row>
    <row r="335" spans="1:18" x14ac:dyDescent="0.15">
      <c r="A335" s="31">
        <v>334</v>
      </c>
      <c r="B335" s="30">
        <v>127024</v>
      </c>
      <c r="C335" s="30" t="s">
        <v>1960</v>
      </c>
      <c r="D335" s="30">
        <v>106.96299999999999</v>
      </c>
      <c r="E335" s="30">
        <v>0.34</v>
      </c>
      <c r="F335" s="30">
        <v>8.19</v>
      </c>
      <c r="G335" s="30">
        <v>58.61</v>
      </c>
      <c r="H335" s="30">
        <v>82.5</v>
      </c>
      <c r="I335" s="51">
        <v>189.46299999999999</v>
      </c>
      <c r="J335" s="52">
        <v>46330</v>
      </c>
      <c r="K335" s="53">
        <v>4.3840000000000003</v>
      </c>
      <c r="L335" s="53">
        <v>14.761056999999999</v>
      </c>
      <c r="M335" s="53">
        <v>1028.2906323999998</v>
      </c>
      <c r="N335" s="54">
        <v>6.5127565908613379E-3</v>
      </c>
      <c r="O335" s="53">
        <v>1.6151</v>
      </c>
      <c r="P335" s="30">
        <v>106.965</v>
      </c>
      <c r="Q335" s="30">
        <v>106.33</v>
      </c>
      <c r="R335" s="54">
        <v>5.9719740430734984E-3</v>
      </c>
    </row>
    <row r="336" spans="1:18" x14ac:dyDescent="0.15">
      <c r="A336" s="31">
        <v>335</v>
      </c>
      <c r="B336" s="30">
        <v>123056</v>
      </c>
      <c r="C336" s="30" t="s">
        <v>158</v>
      </c>
      <c r="D336" s="30">
        <v>107.911</v>
      </c>
      <c r="E336" s="30">
        <v>0.2</v>
      </c>
      <c r="F336" s="30">
        <v>11.03</v>
      </c>
      <c r="G336" s="30">
        <v>59.11</v>
      </c>
      <c r="H336" s="30">
        <v>82.56</v>
      </c>
      <c r="I336" s="51">
        <v>190.471</v>
      </c>
      <c r="J336" s="52">
        <v>46197</v>
      </c>
      <c r="K336" s="53">
        <v>4.0190000000000001</v>
      </c>
      <c r="L336" s="53">
        <v>5.8400559999999997</v>
      </c>
      <c r="M336" s="53">
        <v>523.98529359999998</v>
      </c>
      <c r="N336" s="54">
        <v>8.3145044364258854E-3</v>
      </c>
      <c r="O336" s="53">
        <v>2.8946999999999998</v>
      </c>
      <c r="P336" s="30">
        <v>107.999</v>
      </c>
      <c r="Q336" s="30">
        <v>107.411</v>
      </c>
      <c r="R336" s="54">
        <v>5.4742996527356964E-3</v>
      </c>
    </row>
    <row r="337" spans="1:18" x14ac:dyDescent="0.15">
      <c r="A337" s="31">
        <v>336</v>
      </c>
      <c r="B337" s="30">
        <v>128116</v>
      </c>
      <c r="C337" s="30" t="s">
        <v>185</v>
      </c>
      <c r="D337" s="30">
        <v>111.61499999999999</v>
      </c>
      <c r="E337" s="30">
        <v>0.74</v>
      </c>
      <c r="F337" s="30">
        <v>29.22</v>
      </c>
      <c r="G337" s="30">
        <v>60.75</v>
      </c>
      <c r="H337" s="30">
        <v>83.73</v>
      </c>
      <c r="I337" s="51">
        <v>195.345</v>
      </c>
      <c r="J337" s="52">
        <v>46202</v>
      </c>
      <c r="K337" s="53">
        <v>4.0330000000000004</v>
      </c>
      <c r="L337" s="53">
        <v>6.4919989999999999</v>
      </c>
      <c r="M337" s="53">
        <v>253889.39832480001</v>
      </c>
      <c r="N337" s="54">
        <v>3.5038342903221298</v>
      </c>
      <c r="O337" s="53">
        <v>0.73729999999999996</v>
      </c>
      <c r="P337" s="30">
        <v>115.8</v>
      </c>
      <c r="Q337" s="30">
        <v>110.33499999999999</v>
      </c>
      <c r="R337" s="54">
        <v>4.9530973852358759E-2</v>
      </c>
    </row>
    <row r="338" spans="1:18" x14ac:dyDescent="0.15">
      <c r="A338" s="31">
        <v>337</v>
      </c>
      <c r="B338" s="30">
        <v>128030</v>
      </c>
      <c r="C338" s="30" t="s">
        <v>1950</v>
      </c>
      <c r="D338" s="30">
        <v>250.15</v>
      </c>
      <c r="E338" s="30">
        <v>-5.21</v>
      </c>
      <c r="F338" s="30">
        <v>7.4</v>
      </c>
      <c r="G338" s="30">
        <v>136.08000000000001</v>
      </c>
      <c r="H338" s="30">
        <v>83.83</v>
      </c>
      <c r="I338" s="51">
        <v>333.98</v>
      </c>
      <c r="J338" s="52">
        <v>45282</v>
      </c>
      <c r="K338" s="53">
        <v>1.512</v>
      </c>
      <c r="L338" s="53">
        <v>0.85105900000000001</v>
      </c>
      <c r="M338" s="53">
        <v>9227.9460629999994</v>
      </c>
      <c r="N338" s="54">
        <v>0.43345585278720944</v>
      </c>
      <c r="O338" s="53">
        <v>-42.192700000000002</v>
      </c>
      <c r="P338" s="30">
        <v>265.47699999999998</v>
      </c>
      <c r="Q338" s="30">
        <v>249.999</v>
      </c>
      <c r="R338" s="54">
        <v>6.1912247648990518E-2</v>
      </c>
    </row>
    <row r="339" spans="1:18" x14ac:dyDescent="0.15">
      <c r="A339" s="31">
        <v>338</v>
      </c>
      <c r="B339" s="30">
        <v>118004</v>
      </c>
      <c r="C339" s="30" t="s">
        <v>279</v>
      </c>
      <c r="D339" s="30">
        <v>121.2</v>
      </c>
      <c r="E339" s="30">
        <v>-0.55000000000000004</v>
      </c>
      <c r="F339" s="30">
        <v>35.56</v>
      </c>
      <c r="G339" s="30">
        <v>65.44</v>
      </c>
      <c r="H339" s="30">
        <v>85.21</v>
      </c>
      <c r="I339" s="51">
        <v>206.41</v>
      </c>
      <c r="J339" s="52">
        <v>46756</v>
      </c>
      <c r="K339" s="53">
        <v>5.5510000000000002</v>
      </c>
      <c r="L339" s="53">
        <v>4.6500000000000004</v>
      </c>
      <c r="M339" s="53">
        <v>5184.0144</v>
      </c>
      <c r="N339" s="54">
        <v>9.1983647396997756E-2</v>
      </c>
      <c r="O339" s="53">
        <v>-3.0300000000000001E-2</v>
      </c>
      <c r="P339" s="30">
        <v>122.5</v>
      </c>
      <c r="Q339" s="30">
        <v>120.68</v>
      </c>
      <c r="R339" s="54">
        <v>1.5081206496519664E-2</v>
      </c>
    </row>
    <row r="340" spans="1:18" x14ac:dyDescent="0.15">
      <c r="A340" s="31">
        <v>339</v>
      </c>
      <c r="B340" s="30">
        <v>127062</v>
      </c>
      <c r="C340" s="30" t="s">
        <v>1953</v>
      </c>
      <c r="D340" s="30">
        <v>147.26</v>
      </c>
      <c r="E340" s="30">
        <v>-1.03</v>
      </c>
      <c r="F340" s="30">
        <v>7.74</v>
      </c>
      <c r="G340" s="30">
        <v>79.459999999999994</v>
      </c>
      <c r="H340" s="30">
        <v>85.33</v>
      </c>
      <c r="I340" s="51">
        <v>232.58999999999997</v>
      </c>
      <c r="J340" s="52">
        <v>46864</v>
      </c>
      <c r="K340" s="53">
        <v>5.8470000000000004</v>
      </c>
      <c r="L340" s="53">
        <v>3.9630000000000001</v>
      </c>
      <c r="M340" s="53">
        <v>17193.597884900002</v>
      </c>
      <c r="N340" s="54">
        <v>0.29461706382469194</v>
      </c>
      <c r="O340" s="53">
        <v>-3.427</v>
      </c>
      <c r="P340" s="30">
        <v>149.97999999999999</v>
      </c>
      <c r="Q340" s="30">
        <v>146.68</v>
      </c>
      <c r="R340" s="54">
        <v>2.2497954731387937E-2</v>
      </c>
    </row>
    <row r="341" spans="1:18" x14ac:dyDescent="0.15">
      <c r="A341" s="31">
        <v>340</v>
      </c>
      <c r="B341" s="30">
        <v>110059</v>
      </c>
      <c r="C341" s="30" t="s">
        <v>1958</v>
      </c>
      <c r="D341" s="30">
        <v>106.06</v>
      </c>
      <c r="E341" s="30">
        <v>-0.01</v>
      </c>
      <c r="F341" s="30">
        <v>13.97</v>
      </c>
      <c r="G341" s="30">
        <v>57.05</v>
      </c>
      <c r="H341" s="30">
        <v>85.91</v>
      </c>
      <c r="I341" s="51">
        <v>191.97</v>
      </c>
      <c r="J341" s="52">
        <v>45958</v>
      </c>
      <c r="K341" s="53">
        <v>3.3639999999999999</v>
      </c>
      <c r="L341" s="53">
        <v>499.98649</v>
      </c>
      <c r="M341" s="53">
        <v>33907.038699999997</v>
      </c>
      <c r="N341" s="54">
        <v>6.3941080318576666E-3</v>
      </c>
      <c r="O341" s="53">
        <v>3.0011000000000001</v>
      </c>
      <c r="P341" s="30">
        <v>106.13</v>
      </c>
      <c r="Q341" s="30">
        <v>105.98</v>
      </c>
      <c r="R341" s="54">
        <v>1.4153613889412292E-3</v>
      </c>
    </row>
    <row r="342" spans="1:18" x14ac:dyDescent="0.15">
      <c r="A342" s="31">
        <v>341</v>
      </c>
      <c r="B342" s="30">
        <v>113604</v>
      </c>
      <c r="C342" s="30" t="s">
        <v>162</v>
      </c>
      <c r="D342" s="30">
        <v>105.13</v>
      </c>
      <c r="E342" s="30">
        <v>0.57999999999999996</v>
      </c>
      <c r="F342" s="30">
        <v>10.4</v>
      </c>
      <c r="G342" s="30">
        <v>56.54</v>
      </c>
      <c r="H342" s="30">
        <v>85.94</v>
      </c>
      <c r="I342" s="51">
        <v>191.07</v>
      </c>
      <c r="J342" s="52">
        <v>46308</v>
      </c>
      <c r="K342" s="53">
        <v>4.3230000000000004</v>
      </c>
      <c r="L342" s="53">
        <v>6.3988699999999996</v>
      </c>
      <c r="M342" s="53">
        <v>2018.5717999999999</v>
      </c>
      <c r="N342" s="54">
        <v>3.0006424590717239E-2</v>
      </c>
      <c r="O342" s="53">
        <v>2.5369000000000002</v>
      </c>
      <c r="P342" s="30">
        <v>105.43</v>
      </c>
      <c r="Q342" s="30">
        <v>104.38</v>
      </c>
      <c r="R342" s="54">
        <v>1.0059398352174856E-2</v>
      </c>
    </row>
    <row r="343" spans="1:18" x14ac:dyDescent="0.15">
      <c r="A343" s="31">
        <v>342</v>
      </c>
      <c r="B343" s="30">
        <v>128035</v>
      </c>
      <c r="C343" s="30" t="s">
        <v>1965</v>
      </c>
      <c r="D343" s="30">
        <v>111.3</v>
      </c>
      <c r="E343" s="30">
        <v>0.3</v>
      </c>
      <c r="F343" s="30">
        <v>51.79</v>
      </c>
      <c r="G343" s="30">
        <v>59.76</v>
      </c>
      <c r="H343" s="30">
        <v>86.24</v>
      </c>
      <c r="I343" s="51">
        <v>197.54</v>
      </c>
      <c r="J343" s="52">
        <v>45328</v>
      </c>
      <c r="K343" s="53">
        <v>1.6379999999999999</v>
      </c>
      <c r="L343" s="53">
        <v>22.994976000000001</v>
      </c>
      <c r="M343" s="53">
        <v>3225.1658614999997</v>
      </c>
      <c r="N343" s="54">
        <v>1.2601548903559615E-2</v>
      </c>
      <c r="O343" s="53">
        <v>-2.6181000000000001</v>
      </c>
      <c r="P343" s="30">
        <v>111.8</v>
      </c>
      <c r="Q343" s="30">
        <v>110.52</v>
      </c>
      <c r="R343" s="54">
        <v>1.158161418747739E-2</v>
      </c>
    </row>
    <row r="344" spans="1:18" x14ac:dyDescent="0.15">
      <c r="A344" s="31">
        <v>343</v>
      </c>
      <c r="B344" s="30">
        <v>113608</v>
      </c>
      <c r="C344" s="30" t="s">
        <v>66</v>
      </c>
      <c r="D344" s="30">
        <v>109.59</v>
      </c>
      <c r="E344" s="30">
        <v>0.93</v>
      </c>
      <c r="F344" s="30">
        <v>17.72</v>
      </c>
      <c r="G344" s="30">
        <v>58.75</v>
      </c>
      <c r="H344" s="30">
        <v>86.54</v>
      </c>
      <c r="I344" s="51">
        <v>196.13</v>
      </c>
      <c r="J344" s="52">
        <v>46335</v>
      </c>
      <c r="K344" s="53">
        <v>4.3970000000000002</v>
      </c>
      <c r="L344" s="53">
        <v>4.1998600000000001</v>
      </c>
      <c r="M344" s="53">
        <v>928.56280000000004</v>
      </c>
      <c r="N344" s="54">
        <v>2.0174628227399617E-2</v>
      </c>
      <c r="O344" s="53">
        <v>2.3527999999999998</v>
      </c>
      <c r="P344" s="30">
        <v>109.8</v>
      </c>
      <c r="Q344" s="30">
        <v>108.45</v>
      </c>
      <c r="R344" s="54">
        <v>1.2448132780082935E-2</v>
      </c>
    </row>
    <row r="345" spans="1:18" x14ac:dyDescent="0.15">
      <c r="A345" s="31">
        <v>344</v>
      </c>
      <c r="B345" s="30">
        <v>113639</v>
      </c>
      <c r="C345" s="30" t="s">
        <v>792</v>
      </c>
      <c r="D345" s="30">
        <v>115.16</v>
      </c>
      <c r="E345" s="30">
        <v>7.42</v>
      </c>
      <c r="F345" s="30">
        <v>38.590000000000003</v>
      </c>
      <c r="G345" s="30">
        <v>61.47</v>
      </c>
      <c r="H345" s="30">
        <v>87.34</v>
      </c>
      <c r="I345" s="51">
        <v>202.5</v>
      </c>
      <c r="J345" s="52">
        <v>46776</v>
      </c>
      <c r="K345" s="53">
        <v>5.6050000000000004</v>
      </c>
      <c r="L345" s="53">
        <v>5.7</v>
      </c>
      <c r="M345" s="53">
        <v>190024.14920000001</v>
      </c>
      <c r="N345" s="54">
        <v>2.8948914584133139</v>
      </c>
      <c r="O345" s="53">
        <v>-0.4219</v>
      </c>
      <c r="P345" s="30">
        <v>118</v>
      </c>
      <c r="Q345" s="30">
        <v>107.2</v>
      </c>
      <c r="R345" s="54">
        <v>0.10074626865671639</v>
      </c>
    </row>
    <row r="346" spans="1:18" x14ac:dyDescent="0.15">
      <c r="A346" s="31">
        <v>345</v>
      </c>
      <c r="B346" s="30">
        <v>113578</v>
      </c>
      <c r="C346" s="30" t="s">
        <v>175</v>
      </c>
      <c r="D346" s="30">
        <v>104.14</v>
      </c>
      <c r="E346" s="30">
        <v>-0.13</v>
      </c>
      <c r="F346" s="30">
        <v>5.25</v>
      </c>
      <c r="G346" s="30">
        <v>55.43</v>
      </c>
      <c r="H346" s="30">
        <v>87.88</v>
      </c>
      <c r="I346" s="51">
        <v>192.01999999999998</v>
      </c>
      <c r="J346" s="52">
        <v>46132</v>
      </c>
      <c r="K346" s="53">
        <v>3.8410000000000002</v>
      </c>
      <c r="L346" s="53">
        <v>3.8380800000000002</v>
      </c>
      <c r="M346" s="53">
        <v>1011.7795</v>
      </c>
      <c r="N346" s="54">
        <v>2.5313621357602813E-2</v>
      </c>
      <c r="O346" s="53">
        <v>3.2023999999999999</v>
      </c>
      <c r="P346" s="30">
        <v>104.38</v>
      </c>
      <c r="Q346" s="30">
        <v>103.9</v>
      </c>
      <c r="R346" s="54">
        <v>4.6198267564965326E-3</v>
      </c>
    </row>
    <row r="347" spans="1:18" x14ac:dyDescent="0.15">
      <c r="A347" s="31">
        <v>346</v>
      </c>
      <c r="B347" s="30">
        <v>113597</v>
      </c>
      <c r="C347" s="30" t="s">
        <v>157</v>
      </c>
      <c r="D347" s="30">
        <v>131.05000000000001</v>
      </c>
      <c r="E347" s="30">
        <v>-1.26</v>
      </c>
      <c r="F347" s="30">
        <v>16.36</v>
      </c>
      <c r="G347" s="30">
        <v>69.5</v>
      </c>
      <c r="H347" s="30">
        <v>88.56</v>
      </c>
      <c r="I347" s="51">
        <v>219.61</v>
      </c>
      <c r="J347" s="52">
        <v>46233</v>
      </c>
      <c r="K347" s="53">
        <v>4.1180000000000003</v>
      </c>
      <c r="L347" s="53">
        <v>2.98447</v>
      </c>
      <c r="M347" s="53">
        <v>15804.7387</v>
      </c>
      <c r="N347" s="54">
        <v>0.40409462803917184</v>
      </c>
      <c r="O347" s="53">
        <v>-1.3641000000000001</v>
      </c>
      <c r="P347" s="30">
        <v>132.56</v>
      </c>
      <c r="Q347" s="30">
        <v>130.4</v>
      </c>
      <c r="R347" s="54">
        <v>1.6564417177914084E-2</v>
      </c>
    </row>
    <row r="348" spans="1:18" x14ac:dyDescent="0.15">
      <c r="A348" s="31">
        <v>347</v>
      </c>
      <c r="B348" s="30">
        <v>127041</v>
      </c>
      <c r="C348" s="30" t="s">
        <v>200</v>
      </c>
      <c r="D348" s="30">
        <v>111.95</v>
      </c>
      <c r="E348" s="30">
        <v>1.22</v>
      </c>
      <c r="F348" s="30">
        <v>38.090000000000003</v>
      </c>
      <c r="G348" s="30">
        <v>59.18</v>
      </c>
      <c r="H348" s="30">
        <v>89.17</v>
      </c>
      <c r="I348" s="51">
        <v>201.12</v>
      </c>
      <c r="J348" s="52">
        <v>46215</v>
      </c>
      <c r="K348" s="53">
        <v>4.0679999999999996</v>
      </c>
      <c r="L348" s="53">
        <v>5.9996049999999999</v>
      </c>
      <c r="M348" s="53">
        <v>1868.9176988000002</v>
      </c>
      <c r="N348" s="54">
        <v>2.7825528420162456E-2</v>
      </c>
      <c r="O348" s="53">
        <v>2.4437000000000002</v>
      </c>
      <c r="P348" s="30">
        <v>112.1</v>
      </c>
      <c r="Q348" s="30">
        <v>110.67100000000001</v>
      </c>
      <c r="R348" s="54">
        <v>1.2912145006370121E-2</v>
      </c>
    </row>
    <row r="349" spans="1:18" x14ac:dyDescent="0.15">
      <c r="A349" s="31">
        <v>348</v>
      </c>
      <c r="B349" s="30">
        <v>123109</v>
      </c>
      <c r="C349" s="30" t="s">
        <v>1966</v>
      </c>
      <c r="D349" s="30">
        <v>112.298</v>
      </c>
      <c r="E349" s="30">
        <v>0.72</v>
      </c>
      <c r="F349" s="30">
        <v>27.88</v>
      </c>
      <c r="G349" s="30">
        <v>59.25</v>
      </c>
      <c r="H349" s="30">
        <v>89.53</v>
      </c>
      <c r="I349" s="51">
        <v>201.828</v>
      </c>
      <c r="J349" s="52">
        <v>46478</v>
      </c>
      <c r="K349" s="53">
        <v>4.7889999999999997</v>
      </c>
      <c r="L349" s="53">
        <v>4.5955410000000008</v>
      </c>
      <c r="M349" s="53">
        <v>1114.8239693</v>
      </c>
      <c r="N349" s="54">
        <v>2.1602182508871325E-2</v>
      </c>
      <c r="O349" s="53">
        <v>1.5291999999999999</v>
      </c>
      <c r="P349" s="30">
        <v>112.377</v>
      </c>
      <c r="Q349" s="30">
        <v>111.49</v>
      </c>
      <c r="R349" s="54">
        <v>7.9558704816575527E-3</v>
      </c>
    </row>
    <row r="350" spans="1:18" x14ac:dyDescent="0.15">
      <c r="A350" s="31">
        <v>349</v>
      </c>
      <c r="B350" s="30">
        <v>123038</v>
      </c>
      <c r="C350" s="30" t="s">
        <v>74</v>
      </c>
      <c r="D350" s="30">
        <v>132.55000000000001</v>
      </c>
      <c r="E350" s="30">
        <v>-1.74</v>
      </c>
      <c r="F350" s="30">
        <v>24.06</v>
      </c>
      <c r="G350" s="30">
        <v>69.87</v>
      </c>
      <c r="H350" s="30">
        <v>89.71</v>
      </c>
      <c r="I350" s="51">
        <v>222.26</v>
      </c>
      <c r="J350" s="52">
        <v>46016</v>
      </c>
      <c r="K350" s="53">
        <v>3.5230000000000001</v>
      </c>
      <c r="L350" s="53">
        <v>1.4726779999999999</v>
      </c>
      <c r="M350" s="53">
        <v>8476.4584780000005</v>
      </c>
      <c r="N350" s="54">
        <v>0.43423708224890056</v>
      </c>
      <c r="O350" s="53">
        <v>-3.3342000000000001</v>
      </c>
      <c r="P350" s="30">
        <v>135</v>
      </c>
      <c r="Q350" s="30">
        <v>132.5</v>
      </c>
      <c r="R350" s="54">
        <v>1.8867924528301886E-2</v>
      </c>
    </row>
    <row r="351" spans="1:18" x14ac:dyDescent="0.15">
      <c r="A351" s="31">
        <v>350</v>
      </c>
      <c r="B351" s="30">
        <v>128079</v>
      </c>
      <c r="C351" s="30" t="s">
        <v>94</v>
      </c>
      <c r="D351" s="30">
        <v>139</v>
      </c>
      <c r="E351" s="30">
        <v>-0.71</v>
      </c>
      <c r="F351" s="30">
        <v>8.2899999999999991</v>
      </c>
      <c r="G351" s="30">
        <v>73.099999999999994</v>
      </c>
      <c r="H351" s="30">
        <v>90.15</v>
      </c>
      <c r="I351" s="51">
        <v>229.15</v>
      </c>
      <c r="J351" s="52">
        <v>45951</v>
      </c>
      <c r="K351" s="53">
        <v>3.3450000000000002</v>
      </c>
      <c r="L351" s="53">
        <v>1.520079</v>
      </c>
      <c r="M351" s="53">
        <v>16755.278147999998</v>
      </c>
      <c r="N351" s="54">
        <v>0.7929954259618871</v>
      </c>
      <c r="O351" s="53">
        <v>-5.1451000000000002</v>
      </c>
      <c r="P351" s="30">
        <v>140.86600000000001</v>
      </c>
      <c r="Q351" s="30">
        <v>137.65899999999999</v>
      </c>
      <c r="R351" s="54">
        <v>2.3296696910481859E-2</v>
      </c>
    </row>
    <row r="352" spans="1:18" x14ac:dyDescent="0.15">
      <c r="A352" s="31">
        <v>351</v>
      </c>
      <c r="B352" s="30">
        <v>123116</v>
      </c>
      <c r="C352" s="30" t="s">
        <v>213</v>
      </c>
      <c r="D352" s="30">
        <v>118.1</v>
      </c>
      <c r="E352" s="30">
        <v>0.37</v>
      </c>
      <c r="F352" s="30">
        <v>49.79</v>
      </c>
      <c r="G352" s="30">
        <v>62.06</v>
      </c>
      <c r="H352" s="30">
        <v>90.3</v>
      </c>
      <c r="I352" s="51">
        <v>208.39999999999998</v>
      </c>
      <c r="J352" s="52">
        <v>46547</v>
      </c>
      <c r="K352" s="53">
        <v>4.9779999999999998</v>
      </c>
      <c r="L352" s="53">
        <v>3.7816160000000005</v>
      </c>
      <c r="M352" s="53">
        <v>3545.4650405000002</v>
      </c>
      <c r="N352" s="54">
        <v>7.9386358861349343E-2</v>
      </c>
      <c r="O352" s="53">
        <v>0.49819999999999998</v>
      </c>
      <c r="P352" s="30">
        <v>118.51900000000001</v>
      </c>
      <c r="Q352" s="30">
        <v>117.16</v>
      </c>
      <c r="R352" s="54">
        <v>1.1599522021167709E-2</v>
      </c>
    </row>
    <row r="353" spans="1:18" x14ac:dyDescent="0.15">
      <c r="A353" s="31">
        <v>352</v>
      </c>
      <c r="B353" s="30">
        <v>123124</v>
      </c>
      <c r="C353" s="30" t="s">
        <v>199</v>
      </c>
      <c r="D353" s="30">
        <v>111.82</v>
      </c>
      <c r="E353" s="30">
        <v>0.33</v>
      </c>
      <c r="F353" s="30">
        <v>29.64</v>
      </c>
      <c r="G353" s="30">
        <v>58.57</v>
      </c>
      <c r="H353" s="30">
        <v>90.92</v>
      </c>
      <c r="I353" s="51">
        <v>202.74</v>
      </c>
      <c r="J353" s="52">
        <v>46615</v>
      </c>
      <c r="K353" s="53">
        <v>5.1639999999999997</v>
      </c>
      <c r="L353" s="53">
        <v>5.227792</v>
      </c>
      <c r="M353" s="53">
        <v>561.74237699999992</v>
      </c>
      <c r="N353" s="54">
        <v>9.6094692167998635E-3</v>
      </c>
      <c r="O353" s="53">
        <v>-0.1091</v>
      </c>
      <c r="P353" s="30">
        <v>111.955</v>
      </c>
      <c r="Q353" s="30">
        <v>111.4</v>
      </c>
      <c r="R353" s="54">
        <v>4.9820466786354807E-3</v>
      </c>
    </row>
    <row r="354" spans="1:18" x14ac:dyDescent="0.15">
      <c r="A354" s="31">
        <v>353</v>
      </c>
      <c r="B354" s="30">
        <v>113632</v>
      </c>
      <c r="C354" s="30" t="s">
        <v>1973</v>
      </c>
      <c r="D354" s="30">
        <v>117.07</v>
      </c>
      <c r="E354" s="30">
        <v>0.15</v>
      </c>
      <c r="F354" s="30">
        <v>39.090000000000003</v>
      </c>
      <c r="G354" s="30">
        <v>60.89</v>
      </c>
      <c r="H354" s="30">
        <v>92.26</v>
      </c>
      <c r="I354" s="51">
        <v>209.32999999999998</v>
      </c>
      <c r="J354" s="52">
        <v>46708</v>
      </c>
      <c r="K354" s="53">
        <v>5.4189999999999996</v>
      </c>
      <c r="L354" s="53">
        <v>20.499870000000001</v>
      </c>
      <c r="M354" s="53">
        <v>2342.6493</v>
      </c>
      <c r="N354" s="54">
        <v>9.7613650199652822E-3</v>
      </c>
      <c r="O354" s="53">
        <v>4.7999999999999996E-3</v>
      </c>
      <c r="P354" s="30">
        <v>118.03</v>
      </c>
      <c r="Q354" s="30">
        <v>116</v>
      </c>
      <c r="R354" s="54">
        <v>1.7500000000000009E-2</v>
      </c>
    </row>
    <row r="355" spans="1:18" x14ac:dyDescent="0.15">
      <c r="A355" s="31">
        <v>354</v>
      </c>
      <c r="B355" s="30">
        <v>127046</v>
      </c>
      <c r="C355" s="30" t="s">
        <v>1976</v>
      </c>
      <c r="D355" s="30">
        <v>118.1</v>
      </c>
      <c r="E355" s="30">
        <v>0.95</v>
      </c>
      <c r="F355" s="30">
        <v>47.44</v>
      </c>
      <c r="G355" s="30">
        <v>61.17</v>
      </c>
      <c r="H355" s="30">
        <v>93.07</v>
      </c>
      <c r="I355" s="51">
        <v>211.17</v>
      </c>
      <c r="J355" s="52">
        <v>46659</v>
      </c>
      <c r="K355" s="53">
        <v>5.2850000000000001</v>
      </c>
      <c r="L355" s="53">
        <v>11.27816</v>
      </c>
      <c r="M355" s="53">
        <v>7703.5793649000007</v>
      </c>
      <c r="N355" s="54">
        <v>5.7836820747455067E-2</v>
      </c>
      <c r="O355" s="53">
        <v>-0.4945</v>
      </c>
      <c r="P355" s="30">
        <v>118.8</v>
      </c>
      <c r="Q355" s="30">
        <v>116.29900000000001</v>
      </c>
      <c r="R355" s="54">
        <v>2.1504914057730421E-2</v>
      </c>
    </row>
    <row r="356" spans="1:18" x14ac:dyDescent="0.15">
      <c r="A356" s="31">
        <v>355</v>
      </c>
      <c r="B356" s="30">
        <v>128072</v>
      </c>
      <c r="C356" s="30" t="s">
        <v>156</v>
      </c>
      <c r="D356" s="30">
        <v>110.29</v>
      </c>
      <c r="E356" s="30">
        <v>1</v>
      </c>
      <c r="F356" s="30">
        <v>15.09</v>
      </c>
      <c r="G356" s="30">
        <v>56.06</v>
      </c>
      <c r="H356" s="30">
        <v>96.74</v>
      </c>
      <c r="I356" s="51">
        <v>207.03</v>
      </c>
      <c r="J356" s="52">
        <v>45889</v>
      </c>
      <c r="K356" s="53">
        <v>3.1749999999999998</v>
      </c>
      <c r="L356" s="53">
        <v>3.0179149999999999</v>
      </c>
      <c r="M356" s="53">
        <v>743.53863100000001</v>
      </c>
      <c r="N356" s="54">
        <v>2.2338828661602823E-2</v>
      </c>
      <c r="O356" s="53">
        <v>1.2129000000000001</v>
      </c>
      <c r="P356" s="30">
        <v>110.3</v>
      </c>
      <c r="Q356" s="30">
        <v>109.101</v>
      </c>
      <c r="R356" s="54">
        <v>1.0989816775281602E-2</v>
      </c>
    </row>
    <row r="357" spans="1:18" x14ac:dyDescent="0.15">
      <c r="A357" s="31">
        <v>356</v>
      </c>
      <c r="B357" s="30">
        <v>128136</v>
      </c>
      <c r="C357" s="30" t="s">
        <v>1970</v>
      </c>
      <c r="D357" s="30">
        <v>113.5</v>
      </c>
      <c r="E357" s="30">
        <v>0.5</v>
      </c>
      <c r="F357" s="30">
        <v>57.91</v>
      </c>
      <c r="G357" s="30">
        <v>57.45</v>
      </c>
      <c r="H357" s="30">
        <v>97.56</v>
      </c>
      <c r="I357" s="51">
        <v>211.06</v>
      </c>
      <c r="J357" s="52">
        <v>46329</v>
      </c>
      <c r="K357" s="53">
        <v>4.3810000000000002</v>
      </c>
      <c r="L357" s="53">
        <v>29.993306</v>
      </c>
      <c r="M357" s="53">
        <v>2518.9841576000003</v>
      </c>
      <c r="N357" s="54">
        <v>7.399548758813785E-3</v>
      </c>
      <c r="O357" s="53">
        <v>-0.3483</v>
      </c>
      <c r="P357" s="30">
        <v>113.77</v>
      </c>
      <c r="Q357" s="30">
        <v>112.7</v>
      </c>
      <c r="R357" s="54">
        <v>9.4942324755988745E-3</v>
      </c>
    </row>
    <row r="358" spans="1:18" x14ac:dyDescent="0.15">
      <c r="A358" s="31">
        <v>357</v>
      </c>
      <c r="B358" s="30">
        <v>128108</v>
      </c>
      <c r="C358" s="30" t="s">
        <v>1971</v>
      </c>
      <c r="D358" s="30">
        <v>101.29</v>
      </c>
      <c r="E358" s="30">
        <v>0</v>
      </c>
      <c r="F358" s="30">
        <v>18.239999999999998</v>
      </c>
      <c r="G358" s="30">
        <v>51.26</v>
      </c>
      <c r="H358" s="30">
        <v>97.6</v>
      </c>
      <c r="I358" s="51">
        <v>198.89</v>
      </c>
      <c r="J358" s="52">
        <v>46170</v>
      </c>
      <c r="K358" s="53">
        <v>3.9449999999999998</v>
      </c>
      <c r="L358" s="53">
        <v>15.214682</v>
      </c>
      <c r="M358" s="53">
        <v>2211.7172155000003</v>
      </c>
      <c r="N358" s="54">
        <v>1.4351594255340624E-2</v>
      </c>
      <c r="O358" s="53">
        <v>2.6976</v>
      </c>
      <c r="P358" s="30">
        <v>101.46</v>
      </c>
      <c r="Q358" s="30">
        <v>101.154</v>
      </c>
      <c r="R358" s="54">
        <v>3.0250904561361625E-3</v>
      </c>
    </row>
    <row r="359" spans="1:18" x14ac:dyDescent="0.15">
      <c r="A359" s="31">
        <v>358</v>
      </c>
      <c r="B359" s="30">
        <v>123117</v>
      </c>
      <c r="C359" s="30" t="s">
        <v>147</v>
      </c>
      <c r="D359" s="30">
        <v>111.851</v>
      </c>
      <c r="E359" s="30">
        <v>0.49</v>
      </c>
      <c r="F359" s="30">
        <v>89.68</v>
      </c>
      <c r="G359" s="30">
        <v>56.28</v>
      </c>
      <c r="H359" s="30">
        <v>98.74</v>
      </c>
      <c r="I359" s="51">
        <v>210.59100000000001</v>
      </c>
      <c r="J359" s="52">
        <v>46561</v>
      </c>
      <c r="K359" s="53">
        <v>5.016</v>
      </c>
      <c r="L359" s="53">
        <v>9.9991240000000001</v>
      </c>
      <c r="M359" s="53">
        <v>702.39614389999997</v>
      </c>
      <c r="N359" s="54">
        <v>6.2802986043280556E-3</v>
      </c>
      <c r="O359" s="53">
        <v>0.5837</v>
      </c>
      <c r="P359" s="30">
        <v>111.90600000000001</v>
      </c>
      <c r="Q359" s="30">
        <v>111.2</v>
      </c>
      <c r="R359" s="54">
        <v>6.3489208633093798E-3</v>
      </c>
    </row>
    <row r="360" spans="1:18" x14ac:dyDescent="0.15">
      <c r="A360" s="31">
        <v>359</v>
      </c>
      <c r="B360" s="30">
        <v>113625</v>
      </c>
      <c r="C360" s="30" t="s">
        <v>151</v>
      </c>
      <c r="D360" s="30">
        <v>111.5</v>
      </c>
      <c r="E360" s="30">
        <v>0.96</v>
      </c>
      <c r="F360" s="30">
        <v>96.33</v>
      </c>
      <c r="G360" s="30">
        <v>55.75</v>
      </c>
      <c r="H360" s="30">
        <v>100</v>
      </c>
      <c r="I360" s="51">
        <v>211.5</v>
      </c>
      <c r="J360" s="52">
        <v>46549</v>
      </c>
      <c r="K360" s="53">
        <v>4.984</v>
      </c>
      <c r="L360" s="53">
        <v>5.8255499999999998</v>
      </c>
      <c r="M360" s="53">
        <v>2049.7948999999999</v>
      </c>
      <c r="N360" s="54">
        <v>3.1557210499149162E-2</v>
      </c>
      <c r="O360" s="53">
        <v>2.1267</v>
      </c>
      <c r="P360" s="30">
        <v>111.58</v>
      </c>
      <c r="Q360" s="30">
        <v>110.09</v>
      </c>
      <c r="R360" s="54">
        <v>1.3534380961031836E-2</v>
      </c>
    </row>
    <row r="361" spans="1:18" x14ac:dyDescent="0.15">
      <c r="A361" s="31">
        <v>360</v>
      </c>
      <c r="B361" s="30">
        <v>113595</v>
      </c>
      <c r="C361" s="30" t="s">
        <v>141</v>
      </c>
      <c r="D361" s="30">
        <v>108.78</v>
      </c>
      <c r="E361" s="30">
        <v>-0.2</v>
      </c>
      <c r="F361" s="30">
        <v>6.92</v>
      </c>
      <c r="G361" s="30">
        <v>54.19</v>
      </c>
      <c r="H361" s="30">
        <v>100.74</v>
      </c>
      <c r="I361" s="51">
        <v>209.51999999999998</v>
      </c>
      <c r="J361" s="52">
        <v>46224</v>
      </c>
      <c r="K361" s="53">
        <v>4.093</v>
      </c>
      <c r="L361" s="53">
        <v>3.2978900000000002</v>
      </c>
      <c r="M361" s="53">
        <v>12022.835499999999</v>
      </c>
      <c r="N361" s="54">
        <v>0.33513646521834001</v>
      </c>
      <c r="O361" s="53">
        <v>3.4961000000000002</v>
      </c>
      <c r="P361" s="30">
        <v>110</v>
      </c>
      <c r="Q361" s="30">
        <v>108.31</v>
      </c>
      <c r="R361" s="54">
        <v>1.5603360723848192E-2</v>
      </c>
    </row>
    <row r="362" spans="1:18" x14ac:dyDescent="0.15">
      <c r="A362" s="31">
        <v>361</v>
      </c>
      <c r="B362" s="30">
        <v>123126</v>
      </c>
      <c r="C362" s="30" t="s">
        <v>184</v>
      </c>
      <c r="D362" s="30">
        <v>113.949</v>
      </c>
      <c r="E362" s="30">
        <v>0.5</v>
      </c>
      <c r="F362" s="30">
        <v>17.8</v>
      </c>
      <c r="G362" s="30">
        <v>56.52</v>
      </c>
      <c r="H362" s="30">
        <v>101.61</v>
      </c>
      <c r="I362" s="51">
        <v>215.559</v>
      </c>
      <c r="J362" s="52">
        <v>46640</v>
      </c>
      <c r="K362" s="53">
        <v>5.2329999999999997</v>
      </c>
      <c r="L362" s="53">
        <v>3.399826</v>
      </c>
      <c r="M362" s="53">
        <v>1589.5727747999999</v>
      </c>
      <c r="N362" s="54">
        <v>4.1031104412750978E-2</v>
      </c>
      <c r="O362" s="53">
        <v>2.5703999999999998</v>
      </c>
      <c r="P362" s="30">
        <v>113.949</v>
      </c>
      <c r="Q362" s="30">
        <v>112.995</v>
      </c>
      <c r="R362" s="54">
        <v>8.4428514536040843E-3</v>
      </c>
    </row>
    <row r="363" spans="1:18" x14ac:dyDescent="0.15">
      <c r="A363" s="31">
        <v>362</v>
      </c>
      <c r="B363" s="30">
        <v>113622</v>
      </c>
      <c r="C363" s="30" t="s">
        <v>1959</v>
      </c>
      <c r="D363" s="30">
        <v>123.38</v>
      </c>
      <c r="E363" s="30">
        <v>0.51</v>
      </c>
      <c r="F363" s="30">
        <v>22.68</v>
      </c>
      <c r="G363" s="30">
        <v>61.16</v>
      </c>
      <c r="H363" s="30">
        <v>101.73</v>
      </c>
      <c r="I363" s="51">
        <v>225.11</v>
      </c>
      <c r="J363" s="52">
        <v>46471</v>
      </c>
      <c r="K363" s="53">
        <v>4.7699999999999996</v>
      </c>
      <c r="L363" s="53">
        <v>11.499700000000001</v>
      </c>
      <c r="M363" s="53">
        <v>6029.7843999999996</v>
      </c>
      <c r="N363" s="54">
        <v>4.2498197176816972E-2</v>
      </c>
      <c r="O363" s="53">
        <v>-1.9816</v>
      </c>
      <c r="P363" s="30">
        <v>123.6</v>
      </c>
      <c r="Q363" s="30">
        <v>122.1</v>
      </c>
      <c r="R363" s="54">
        <v>1.2285012285012286E-2</v>
      </c>
    </row>
    <row r="364" spans="1:18" x14ac:dyDescent="0.15">
      <c r="A364" s="31">
        <v>363</v>
      </c>
      <c r="B364" s="30">
        <v>128074</v>
      </c>
      <c r="C364" s="30" t="s">
        <v>208</v>
      </c>
      <c r="D364" s="30">
        <v>109.999</v>
      </c>
      <c r="E364" s="30">
        <v>0.28999999999999998</v>
      </c>
      <c r="F364" s="30">
        <v>16.97</v>
      </c>
      <c r="G364" s="30">
        <v>54.27</v>
      </c>
      <c r="H364" s="30">
        <v>102.69</v>
      </c>
      <c r="I364" s="51">
        <v>212.68899999999999</v>
      </c>
      <c r="J364" s="52">
        <v>45923</v>
      </c>
      <c r="K364" s="53">
        <v>3.2679999999999998</v>
      </c>
      <c r="L364" s="53">
        <v>6.824916</v>
      </c>
      <c r="M364" s="53">
        <v>961.48556420000011</v>
      </c>
      <c r="N364" s="54">
        <v>1.2807274578475249E-2</v>
      </c>
      <c r="O364" s="53">
        <v>2.5657000000000001</v>
      </c>
      <c r="P364" s="30">
        <v>110.199</v>
      </c>
      <c r="Q364" s="30">
        <v>109.42</v>
      </c>
      <c r="R364" s="54">
        <v>7.1193566075671393E-3</v>
      </c>
    </row>
    <row r="365" spans="1:18" x14ac:dyDescent="0.15">
      <c r="A365" s="31">
        <v>364</v>
      </c>
      <c r="B365" s="30">
        <v>127044</v>
      </c>
      <c r="C365" s="30" t="s">
        <v>1972</v>
      </c>
      <c r="D365" s="30">
        <v>107.309</v>
      </c>
      <c r="E365" s="30">
        <v>7.0000000000000007E-2</v>
      </c>
      <c r="F365" s="30">
        <v>26.92</v>
      </c>
      <c r="G365" s="30">
        <v>52.79</v>
      </c>
      <c r="H365" s="30">
        <v>103.28</v>
      </c>
      <c r="I365" s="51">
        <v>210.589</v>
      </c>
      <c r="J365" s="52">
        <v>46615</v>
      </c>
      <c r="K365" s="53">
        <v>5.1639999999999997</v>
      </c>
      <c r="L365" s="53">
        <v>11.688867</v>
      </c>
      <c r="M365" s="53">
        <v>5903.3195635000002</v>
      </c>
      <c r="N365" s="54">
        <v>4.7063880059621657E-2</v>
      </c>
      <c r="O365" s="53">
        <v>1.7377</v>
      </c>
      <c r="P365" s="30">
        <v>108.078</v>
      </c>
      <c r="Q365" s="30">
        <v>106.94</v>
      </c>
      <c r="R365" s="54">
        <v>1.0641481204413739E-2</v>
      </c>
    </row>
    <row r="366" spans="1:18" x14ac:dyDescent="0.15">
      <c r="A366" s="31">
        <v>365</v>
      </c>
      <c r="B366" s="30">
        <v>123018</v>
      </c>
      <c r="C366" s="30" t="s">
        <v>77</v>
      </c>
      <c r="D366" s="30">
        <v>242.62799999999999</v>
      </c>
      <c r="E366" s="30">
        <v>2.81</v>
      </c>
      <c r="F366" s="30">
        <v>8.15</v>
      </c>
      <c r="G366" s="30">
        <v>118.53</v>
      </c>
      <c r="H366" s="30">
        <v>104.7</v>
      </c>
      <c r="I366" s="51">
        <v>347.32799999999997</v>
      </c>
      <c r="J366" s="52">
        <v>45646</v>
      </c>
      <c r="K366" s="53">
        <v>2.5099999999999998</v>
      </c>
      <c r="L366" s="53">
        <v>0.54235200000000006</v>
      </c>
      <c r="M366" s="53">
        <v>232410.24732639999</v>
      </c>
      <c r="N366" s="54">
        <v>17.661724600597545</v>
      </c>
      <c r="O366" s="53">
        <v>-26.4512</v>
      </c>
      <c r="P366" s="30">
        <v>267.35899999999998</v>
      </c>
      <c r="Q366" s="30">
        <v>236.6</v>
      </c>
      <c r="R366" s="54">
        <v>0.13000422654268803</v>
      </c>
    </row>
    <row r="367" spans="1:18" x14ac:dyDescent="0.15">
      <c r="A367" s="31">
        <v>366</v>
      </c>
      <c r="B367" s="30">
        <v>123141</v>
      </c>
      <c r="C367" s="30" t="s">
        <v>790</v>
      </c>
      <c r="D367" s="30">
        <v>179.1</v>
      </c>
      <c r="E367" s="30">
        <v>2.74</v>
      </c>
      <c r="F367" s="30">
        <v>6.92</v>
      </c>
      <c r="G367" s="30">
        <v>87.28</v>
      </c>
      <c r="H367" s="30">
        <v>105.2</v>
      </c>
      <c r="I367" s="51">
        <v>284.3</v>
      </c>
      <c r="J367" s="52">
        <v>46827</v>
      </c>
      <c r="K367" s="53">
        <v>5.7450000000000001</v>
      </c>
      <c r="L367" s="53">
        <v>3.2126000000000001</v>
      </c>
      <c r="M367" s="53">
        <v>227649.1855467</v>
      </c>
      <c r="N367" s="54">
        <v>3.9565245059940386</v>
      </c>
      <c r="O367" s="53">
        <v>-6.6247999999999996</v>
      </c>
      <c r="P367" s="30">
        <v>195</v>
      </c>
      <c r="Q367" s="30">
        <v>173.68</v>
      </c>
      <c r="R367" s="54">
        <v>0.12275449101796403</v>
      </c>
    </row>
    <row r="368" spans="1:18" x14ac:dyDescent="0.15">
      <c r="A368" s="31">
        <v>367</v>
      </c>
      <c r="B368" s="30">
        <v>128070</v>
      </c>
      <c r="C368" s="30" t="s">
        <v>166</v>
      </c>
      <c r="D368" s="30">
        <v>132.928</v>
      </c>
      <c r="E368" s="30">
        <v>-3.27</v>
      </c>
      <c r="F368" s="30">
        <v>9.42</v>
      </c>
      <c r="G368" s="30">
        <v>63.8</v>
      </c>
      <c r="H368" s="30">
        <v>108.35</v>
      </c>
      <c r="I368" s="51">
        <v>241.27799999999999</v>
      </c>
      <c r="J368" s="52">
        <v>45840</v>
      </c>
      <c r="K368" s="53">
        <v>3.0409999999999999</v>
      </c>
      <c r="L368" s="53">
        <v>2.295741</v>
      </c>
      <c r="M368" s="53">
        <v>60851.771817999994</v>
      </c>
      <c r="N368" s="54">
        <v>1.9940400056083882</v>
      </c>
      <c r="O368" s="53">
        <v>-4.2591000000000001</v>
      </c>
      <c r="P368" s="30">
        <v>139.33000000000001</v>
      </c>
      <c r="Q368" s="30">
        <v>131.82499999999999</v>
      </c>
      <c r="R368" s="54">
        <v>5.69315380238955E-2</v>
      </c>
    </row>
    <row r="369" spans="1:18" x14ac:dyDescent="0.15">
      <c r="A369" s="31">
        <v>368</v>
      </c>
      <c r="B369" s="30">
        <v>123011</v>
      </c>
      <c r="C369" s="30" t="s">
        <v>172</v>
      </c>
      <c r="D369" s="30">
        <v>122</v>
      </c>
      <c r="E369" s="30">
        <v>4.3</v>
      </c>
      <c r="F369" s="30">
        <v>31.38</v>
      </c>
      <c r="G369" s="30">
        <v>58.44</v>
      </c>
      <c r="H369" s="30">
        <v>108.76</v>
      </c>
      <c r="I369" s="51">
        <v>230.76</v>
      </c>
      <c r="J369" s="52">
        <v>45491</v>
      </c>
      <c r="K369" s="53">
        <v>2.085</v>
      </c>
      <c r="L369" s="53">
        <v>2.5060280000000001</v>
      </c>
      <c r="M369" s="53">
        <v>18628.3377263</v>
      </c>
      <c r="N369" s="54">
        <v>0.60929603675028599</v>
      </c>
      <c r="O369" s="53">
        <v>-2.7218</v>
      </c>
      <c r="P369" s="30">
        <v>122.12</v>
      </c>
      <c r="Q369" s="30">
        <v>117</v>
      </c>
      <c r="R369" s="54">
        <v>4.3760683760683802E-2</v>
      </c>
    </row>
    <row r="370" spans="1:18" x14ac:dyDescent="0.15">
      <c r="A370" s="31">
        <v>369</v>
      </c>
      <c r="B370" s="30">
        <v>113624</v>
      </c>
      <c r="C370" s="30" t="s">
        <v>180</v>
      </c>
      <c r="D370" s="30">
        <v>109.15</v>
      </c>
      <c r="E370" s="30">
        <v>0.28999999999999998</v>
      </c>
      <c r="F370" s="30">
        <v>46.69</v>
      </c>
      <c r="G370" s="30">
        <v>51.57</v>
      </c>
      <c r="H370" s="30">
        <v>111.65</v>
      </c>
      <c r="I370" s="51">
        <v>220.8</v>
      </c>
      <c r="J370" s="52">
        <v>46505</v>
      </c>
      <c r="K370" s="53">
        <v>4.8630000000000004</v>
      </c>
      <c r="L370" s="53">
        <v>4.0492699999999999</v>
      </c>
      <c r="M370" s="53">
        <v>925.40260000000001</v>
      </c>
      <c r="N370" s="54">
        <v>2.0937761061247642E-2</v>
      </c>
      <c r="O370" s="53">
        <v>2.2063999999999999</v>
      </c>
      <c r="P370" s="30">
        <v>109.21</v>
      </c>
      <c r="Q370" s="30">
        <v>108.41</v>
      </c>
      <c r="R370" s="54">
        <v>7.3793930449220294E-3</v>
      </c>
    </row>
    <row r="371" spans="1:18" x14ac:dyDescent="0.15">
      <c r="A371" s="31">
        <v>370</v>
      </c>
      <c r="B371" s="30">
        <v>118007</v>
      </c>
      <c r="C371" s="30" t="s">
        <v>819</v>
      </c>
      <c r="D371" s="30">
        <v>178.57</v>
      </c>
      <c r="E371" s="30">
        <v>-1.64</v>
      </c>
      <c r="F371" s="30">
        <v>24.65</v>
      </c>
      <c r="G371" s="30">
        <v>83.53</v>
      </c>
      <c r="H371" s="30">
        <v>113.78</v>
      </c>
      <c r="I371" s="51">
        <v>292.35000000000002</v>
      </c>
      <c r="J371" s="52">
        <v>46834</v>
      </c>
      <c r="K371" s="53">
        <v>5.7640000000000002</v>
      </c>
      <c r="L371" s="53">
        <v>2.6743000000000001</v>
      </c>
      <c r="M371" s="53">
        <v>32495.732499999998</v>
      </c>
      <c r="N371" s="54">
        <v>0.68046800217052128</v>
      </c>
      <c r="O371" s="53">
        <v>-6.7026000000000003</v>
      </c>
      <c r="P371" s="30">
        <v>182.58</v>
      </c>
      <c r="Q371" s="30">
        <v>177.61</v>
      </c>
      <c r="R371" s="54">
        <v>2.7982658634085909E-2</v>
      </c>
    </row>
    <row r="372" spans="1:18" x14ac:dyDescent="0.15">
      <c r="A372" s="31">
        <v>371</v>
      </c>
      <c r="B372" s="30">
        <v>127052</v>
      </c>
      <c r="C372" s="30" t="s">
        <v>1975</v>
      </c>
      <c r="D372" s="30">
        <v>116</v>
      </c>
      <c r="E372" s="30">
        <v>0.01</v>
      </c>
      <c r="F372" s="30">
        <v>27.89</v>
      </c>
      <c r="G372" s="30">
        <v>53.6</v>
      </c>
      <c r="H372" s="30">
        <v>116.42</v>
      </c>
      <c r="I372" s="51">
        <v>232.42000000000002</v>
      </c>
      <c r="J372" s="52">
        <v>46745</v>
      </c>
      <c r="K372" s="53">
        <v>5.5209999999999999</v>
      </c>
      <c r="L372" s="53">
        <v>11.1</v>
      </c>
      <c r="M372" s="53">
        <v>5650.6733079000005</v>
      </c>
      <c r="N372" s="54">
        <v>4.3885316153308485E-2</v>
      </c>
      <c r="O372" s="53">
        <v>-0.14349999999999999</v>
      </c>
      <c r="P372" s="30">
        <v>118.2</v>
      </c>
      <c r="Q372" s="30">
        <v>115.5</v>
      </c>
      <c r="R372" s="54">
        <v>2.3376623376623402E-2</v>
      </c>
    </row>
    <row r="373" spans="1:18" x14ac:dyDescent="0.15">
      <c r="A373" s="31">
        <v>372</v>
      </c>
      <c r="B373" s="30">
        <v>113573</v>
      </c>
      <c r="C373" s="30" t="s">
        <v>145</v>
      </c>
      <c r="D373" s="30">
        <v>115.15</v>
      </c>
      <c r="E373" s="30">
        <v>0.28999999999999998</v>
      </c>
      <c r="F373" s="30">
        <v>18.78</v>
      </c>
      <c r="G373" s="30">
        <v>53.04</v>
      </c>
      <c r="H373" s="30">
        <v>117.1</v>
      </c>
      <c r="I373" s="51">
        <v>232.25</v>
      </c>
      <c r="J373" s="52">
        <v>46129</v>
      </c>
      <c r="K373" s="53">
        <v>3.8330000000000002</v>
      </c>
      <c r="L373" s="53">
        <v>2.6983299999999999</v>
      </c>
      <c r="M373" s="53">
        <v>1011.2206</v>
      </c>
      <c r="N373" s="54">
        <v>3.254519694969854E-2</v>
      </c>
      <c r="O373" s="53">
        <v>1.8815</v>
      </c>
      <c r="P373" s="30">
        <v>115.25</v>
      </c>
      <c r="Q373" s="30">
        <v>114.5</v>
      </c>
      <c r="R373" s="54">
        <v>6.5502183406113534E-3</v>
      </c>
    </row>
    <row r="374" spans="1:18" x14ac:dyDescent="0.15">
      <c r="A374" s="31">
        <v>373</v>
      </c>
      <c r="B374" s="30">
        <v>128125</v>
      </c>
      <c r="C374" s="30" t="s">
        <v>150</v>
      </c>
      <c r="D374" s="30">
        <v>108.761</v>
      </c>
      <c r="E374" s="30">
        <v>0.11</v>
      </c>
      <c r="F374" s="30">
        <v>25.09</v>
      </c>
      <c r="G374" s="30">
        <v>49.18</v>
      </c>
      <c r="H374" s="30">
        <v>121.15</v>
      </c>
      <c r="I374" s="51">
        <v>229.911</v>
      </c>
      <c r="J374" s="52">
        <v>46233</v>
      </c>
      <c r="K374" s="53">
        <v>4.1180000000000003</v>
      </c>
      <c r="L374" s="53">
        <v>4.4980339999999996</v>
      </c>
      <c r="M374" s="53">
        <v>525.06475980000005</v>
      </c>
      <c r="N374" s="54">
        <v>1.0732896596378338E-2</v>
      </c>
      <c r="O374" s="53">
        <v>2.0651000000000002</v>
      </c>
      <c r="P374" s="30">
        <v>108.887</v>
      </c>
      <c r="Q374" s="30">
        <v>108</v>
      </c>
      <c r="R374" s="54">
        <v>8.212962962962967E-3</v>
      </c>
    </row>
    <row r="375" spans="1:18" x14ac:dyDescent="0.15">
      <c r="A375" s="31">
        <v>374</v>
      </c>
      <c r="B375" s="30">
        <v>123076</v>
      </c>
      <c r="C375" s="30" t="s">
        <v>161</v>
      </c>
      <c r="D375" s="30">
        <v>106.20399999999999</v>
      </c>
      <c r="E375" s="30">
        <v>0.52</v>
      </c>
      <c r="F375" s="30">
        <v>18.899999999999999</v>
      </c>
      <c r="G375" s="30">
        <v>47.94</v>
      </c>
      <c r="H375" s="30">
        <v>121.54</v>
      </c>
      <c r="I375" s="51">
        <v>227.744</v>
      </c>
      <c r="J375" s="52">
        <v>46345</v>
      </c>
      <c r="K375" s="53">
        <v>4.4249999999999998</v>
      </c>
      <c r="L375" s="53">
        <v>8.4985610000000005</v>
      </c>
      <c r="M375" s="53">
        <v>497.48946459999996</v>
      </c>
      <c r="N375" s="54">
        <v>5.5118528924429384E-3</v>
      </c>
      <c r="O375" s="53">
        <v>2.4784999999999999</v>
      </c>
      <c r="P375" s="30">
        <v>106.36</v>
      </c>
      <c r="Q375" s="30">
        <v>105.7</v>
      </c>
      <c r="R375" s="54">
        <v>6.2440870387889934E-3</v>
      </c>
    </row>
    <row r="376" spans="1:18" x14ac:dyDescent="0.15">
      <c r="A376" s="31">
        <v>375</v>
      </c>
      <c r="B376" s="30">
        <v>127051</v>
      </c>
      <c r="C376" s="30" t="s">
        <v>255</v>
      </c>
      <c r="D376" s="30">
        <v>129.023</v>
      </c>
      <c r="E376" s="30">
        <v>-0.79</v>
      </c>
      <c r="F376" s="30">
        <v>61.82</v>
      </c>
      <c r="G376" s="30">
        <v>57.18</v>
      </c>
      <c r="H376" s="30">
        <v>125.64</v>
      </c>
      <c r="I376" s="51">
        <v>254.66300000000001</v>
      </c>
      <c r="J376" s="52">
        <v>46708</v>
      </c>
      <c r="K376" s="53">
        <v>5.4189999999999996</v>
      </c>
      <c r="L376" s="53">
        <v>5.259951</v>
      </c>
      <c r="M376" s="53">
        <v>804.28546249999999</v>
      </c>
      <c r="N376" s="54">
        <v>1.1851174277956697E-2</v>
      </c>
      <c r="O376" s="53">
        <v>-1.1852</v>
      </c>
      <c r="P376" s="30">
        <v>130.45699999999999</v>
      </c>
      <c r="Q376" s="30">
        <v>128.37200000000001</v>
      </c>
      <c r="R376" s="54">
        <v>1.624185959555027E-2</v>
      </c>
    </row>
    <row r="377" spans="1:18" x14ac:dyDescent="0.15">
      <c r="A377" s="31">
        <v>376</v>
      </c>
      <c r="B377" s="30">
        <v>113605</v>
      </c>
      <c r="C377" s="30" t="s">
        <v>1974</v>
      </c>
      <c r="D377" s="30">
        <v>109.53</v>
      </c>
      <c r="E377" s="30">
        <v>0.96</v>
      </c>
      <c r="F377" s="30">
        <v>57.13</v>
      </c>
      <c r="G377" s="30">
        <v>47.65</v>
      </c>
      <c r="H377" s="30">
        <v>129.86000000000001</v>
      </c>
      <c r="I377" s="51">
        <v>239.39000000000001</v>
      </c>
      <c r="J377" s="52">
        <v>46317</v>
      </c>
      <c r="K377" s="53">
        <v>4.3479999999999999</v>
      </c>
      <c r="L377" s="53">
        <v>14.049010000000001</v>
      </c>
      <c r="M377" s="53">
        <v>878.19140000000004</v>
      </c>
      <c r="N377" s="54">
        <v>5.7070328253994423E-3</v>
      </c>
      <c r="O377" s="53">
        <v>1.1296999999999999</v>
      </c>
      <c r="P377" s="30">
        <v>109.64</v>
      </c>
      <c r="Q377" s="30">
        <v>108.28</v>
      </c>
      <c r="R377" s="54">
        <v>1.2560029553010707E-2</v>
      </c>
    </row>
    <row r="378" spans="1:18" x14ac:dyDescent="0.15">
      <c r="A378" s="31">
        <v>377</v>
      </c>
      <c r="B378" s="30">
        <v>128118</v>
      </c>
      <c r="C378" s="30" t="s">
        <v>154</v>
      </c>
      <c r="D378" s="30">
        <v>110.72</v>
      </c>
      <c r="E378" s="30">
        <v>0.79</v>
      </c>
      <c r="F378" s="30">
        <v>21.35</v>
      </c>
      <c r="G378" s="30">
        <v>47.17</v>
      </c>
      <c r="H378" s="30">
        <v>134.72999999999999</v>
      </c>
      <c r="I378" s="51">
        <v>245.45</v>
      </c>
      <c r="J378" s="52">
        <v>46205</v>
      </c>
      <c r="K378" s="53">
        <v>4.0410000000000004</v>
      </c>
      <c r="L378" s="53">
        <v>2.9983399999999998</v>
      </c>
      <c r="M378" s="53">
        <v>754.89164640000001</v>
      </c>
      <c r="N378" s="54">
        <v>2.2739329972604107E-2</v>
      </c>
      <c r="O378" s="53">
        <v>2.4327000000000001</v>
      </c>
      <c r="P378" s="30">
        <v>110.8</v>
      </c>
      <c r="Q378" s="30">
        <v>109.83499999999999</v>
      </c>
      <c r="R378" s="54">
        <v>8.7859061319251926E-3</v>
      </c>
    </row>
    <row r="379" spans="1:18" x14ac:dyDescent="0.15">
      <c r="A379" s="31">
        <v>378</v>
      </c>
      <c r="B379" s="30">
        <v>123104</v>
      </c>
      <c r="C379" s="30" t="s">
        <v>179</v>
      </c>
      <c r="D379" s="30">
        <v>115.188</v>
      </c>
      <c r="E379" s="30">
        <v>-0.01</v>
      </c>
      <c r="F379" s="30">
        <v>17.739999999999998</v>
      </c>
      <c r="G379" s="30">
        <v>48.93</v>
      </c>
      <c r="H379" s="30">
        <v>135.41</v>
      </c>
      <c r="I379" s="51">
        <v>250.59800000000001</v>
      </c>
      <c r="J379" s="52">
        <v>46462</v>
      </c>
      <c r="K379" s="53">
        <v>4.7450000000000001</v>
      </c>
      <c r="L379" s="53">
        <v>9.7010769999999997</v>
      </c>
      <c r="M379" s="53">
        <v>748.395487</v>
      </c>
      <c r="N379" s="54">
        <v>6.6973650353378961E-3</v>
      </c>
      <c r="O379" s="53">
        <v>1.7319</v>
      </c>
      <c r="P379" s="30">
        <v>115.47</v>
      </c>
      <c r="Q379" s="30">
        <v>114.8</v>
      </c>
      <c r="R379" s="54">
        <v>5.8362369337979243E-3</v>
      </c>
    </row>
    <row r="380" spans="1:18" x14ac:dyDescent="0.15">
      <c r="A380" s="31">
        <v>379</v>
      </c>
      <c r="B380" s="30">
        <v>123113</v>
      </c>
      <c r="C380" s="30" t="s">
        <v>1977</v>
      </c>
      <c r="D380" s="30">
        <v>108.34</v>
      </c>
      <c r="E380" s="30">
        <v>0.65</v>
      </c>
      <c r="F380" s="30">
        <v>56.48</v>
      </c>
      <c r="G380" s="30">
        <v>45.95</v>
      </c>
      <c r="H380" s="30">
        <v>135.78</v>
      </c>
      <c r="I380" s="51">
        <v>244.12</v>
      </c>
      <c r="J380" s="52">
        <v>46496</v>
      </c>
      <c r="K380" s="53">
        <v>4.8380000000000001</v>
      </c>
      <c r="L380" s="53">
        <v>10.248582000000001</v>
      </c>
      <c r="M380" s="53">
        <v>466.82083399999999</v>
      </c>
      <c r="N380" s="54">
        <v>4.2043379569534885E-3</v>
      </c>
      <c r="O380" s="53">
        <v>1.8321000000000001</v>
      </c>
      <c r="P380" s="30">
        <v>108.4</v>
      </c>
      <c r="Q380" s="30">
        <v>107.381</v>
      </c>
      <c r="R380" s="54">
        <v>9.4895745057319777E-3</v>
      </c>
    </row>
    <row r="381" spans="1:18" x14ac:dyDescent="0.15">
      <c r="A381" s="31">
        <v>380</v>
      </c>
      <c r="B381" s="30">
        <v>111003</v>
      </c>
      <c r="C381" s="30" t="s">
        <v>821</v>
      </c>
      <c r="D381" s="30">
        <v>207.96</v>
      </c>
      <c r="E381" s="30">
        <v>-1.59</v>
      </c>
      <c r="F381" s="30">
        <v>14.42</v>
      </c>
      <c r="G381" s="30">
        <v>87.31</v>
      </c>
      <c r="H381" s="30">
        <v>138.19</v>
      </c>
      <c r="I381" s="51">
        <v>346.15</v>
      </c>
      <c r="J381" s="52">
        <v>46819</v>
      </c>
      <c r="K381" s="53">
        <v>5.7229999999999999</v>
      </c>
      <c r="L381" s="53">
        <v>2.04</v>
      </c>
      <c r="M381" s="53">
        <v>14395.317999999999</v>
      </c>
      <c r="N381" s="54">
        <v>0.33932142870612364</v>
      </c>
      <c r="O381" s="53">
        <v>-9.1677</v>
      </c>
      <c r="P381" s="30">
        <v>213.1</v>
      </c>
      <c r="Q381" s="30">
        <v>207.07</v>
      </c>
      <c r="R381" s="54">
        <v>2.9120587241029609E-2</v>
      </c>
    </row>
    <row r="382" spans="1:18" x14ac:dyDescent="0.15">
      <c r="A382" s="31">
        <v>381</v>
      </c>
      <c r="B382" s="30">
        <v>123039</v>
      </c>
      <c r="C382" s="30" t="s">
        <v>168</v>
      </c>
      <c r="D382" s="30">
        <v>130.19999999999999</v>
      </c>
      <c r="E382" s="30">
        <v>0.15</v>
      </c>
      <c r="F382" s="30">
        <v>29.82</v>
      </c>
      <c r="G382" s="30">
        <v>54.12</v>
      </c>
      <c r="H382" s="30">
        <v>140.58000000000001</v>
      </c>
      <c r="I382" s="51">
        <v>270.77999999999997</v>
      </c>
      <c r="J382" s="52">
        <v>46017</v>
      </c>
      <c r="K382" s="53">
        <v>3.5259999999999998</v>
      </c>
      <c r="L382" s="53">
        <v>2.2171210000000001</v>
      </c>
      <c r="M382" s="53">
        <v>62786.210903699997</v>
      </c>
      <c r="N382" s="54">
        <v>2.1750232052919496</v>
      </c>
      <c r="O382" s="53">
        <v>-2.2652000000000001</v>
      </c>
      <c r="P382" s="30">
        <v>134.30000000000001</v>
      </c>
      <c r="Q382" s="30">
        <v>129.01</v>
      </c>
      <c r="R382" s="54">
        <v>4.1004573288892496E-2</v>
      </c>
    </row>
    <row r="383" spans="1:18" x14ac:dyDescent="0.15">
      <c r="A383" s="31">
        <v>382</v>
      </c>
      <c r="B383" s="30">
        <v>123034</v>
      </c>
      <c r="C383" s="30" t="s">
        <v>1964</v>
      </c>
      <c r="D383" s="30">
        <v>262.10000000000002</v>
      </c>
      <c r="E383" s="30">
        <v>15.97</v>
      </c>
      <c r="F383" s="30">
        <v>7.95</v>
      </c>
      <c r="G383" s="30">
        <v>108.55</v>
      </c>
      <c r="H383" s="30">
        <v>141.46</v>
      </c>
      <c r="I383" s="51">
        <v>403.56000000000006</v>
      </c>
      <c r="J383" s="52">
        <v>45965</v>
      </c>
      <c r="K383" s="53">
        <v>3.3839999999999999</v>
      </c>
      <c r="L383" s="53">
        <v>0.77857100000000001</v>
      </c>
      <c r="M383" s="53">
        <v>620539.58532130008</v>
      </c>
      <c r="N383" s="54">
        <v>30.409147627807709</v>
      </c>
      <c r="O383" s="53">
        <v>-21.428599999999999</v>
      </c>
      <c r="P383" s="30">
        <v>266.697</v>
      </c>
      <c r="Q383" s="30">
        <v>226.16399999999999</v>
      </c>
      <c r="R383" s="54">
        <v>0.1792195044304134</v>
      </c>
    </row>
    <row r="384" spans="1:18" x14ac:dyDescent="0.15">
      <c r="A384" s="31">
        <v>383</v>
      </c>
      <c r="B384" s="30">
        <v>128124</v>
      </c>
      <c r="C384" s="30" t="s">
        <v>171</v>
      </c>
      <c r="D384" s="30">
        <v>100.49</v>
      </c>
      <c r="E384" s="30">
        <v>-0.15</v>
      </c>
      <c r="F384" s="30">
        <v>21.31</v>
      </c>
      <c r="G384" s="30">
        <v>40.450000000000003</v>
      </c>
      <c r="H384" s="30">
        <v>148.43</v>
      </c>
      <c r="I384" s="51">
        <v>248.92000000000002</v>
      </c>
      <c r="J384" s="52">
        <v>46231</v>
      </c>
      <c r="K384" s="53">
        <v>4.1120000000000001</v>
      </c>
      <c r="L384" s="53">
        <v>7.3764519999999996</v>
      </c>
      <c r="M384" s="53">
        <v>2016.0142006000001</v>
      </c>
      <c r="N384" s="54">
        <v>2.7197138942847955E-2</v>
      </c>
      <c r="O384" s="53">
        <v>2.2648999999999999</v>
      </c>
      <c r="P384" s="30">
        <v>100.749</v>
      </c>
      <c r="Q384" s="30">
        <v>100.18300000000001</v>
      </c>
      <c r="R384" s="54">
        <v>5.6496611201500083E-3</v>
      </c>
    </row>
    <row r="385" spans="1:18" x14ac:dyDescent="0.15">
      <c r="A385" s="31">
        <v>384</v>
      </c>
      <c r="B385" s="30">
        <v>113589</v>
      </c>
      <c r="C385" s="30" t="s">
        <v>146</v>
      </c>
      <c r="D385" s="30">
        <v>99.55</v>
      </c>
      <c r="E385" s="30">
        <v>-0.48</v>
      </c>
      <c r="F385" s="30">
        <v>12.29</v>
      </c>
      <c r="G385" s="30">
        <v>39.869999999999997</v>
      </c>
      <c r="H385" s="30">
        <v>149.69</v>
      </c>
      <c r="I385" s="51">
        <v>249.24</v>
      </c>
      <c r="J385" s="52">
        <v>46197</v>
      </c>
      <c r="K385" s="53">
        <v>4.0190000000000001</v>
      </c>
      <c r="L385" s="53">
        <v>5.9959100000000003</v>
      </c>
      <c r="M385" s="53">
        <v>3514.4153000000001</v>
      </c>
      <c r="N385" s="54">
        <v>5.8878496466067097E-2</v>
      </c>
      <c r="O385" s="53">
        <v>3.7174</v>
      </c>
      <c r="P385" s="30">
        <v>100.1</v>
      </c>
      <c r="Q385" s="30">
        <v>99.46</v>
      </c>
      <c r="R385" s="54">
        <v>6.4347476372411082E-3</v>
      </c>
    </row>
    <row r="386" spans="1:18" x14ac:dyDescent="0.15">
      <c r="A386" s="31">
        <v>385</v>
      </c>
      <c r="B386" s="30">
        <v>123101</v>
      </c>
      <c r="C386" s="30" t="s">
        <v>153</v>
      </c>
      <c r="D386" s="30">
        <v>108.202</v>
      </c>
      <c r="E386" s="30">
        <v>0.65</v>
      </c>
      <c r="F386" s="30">
        <v>26.18</v>
      </c>
      <c r="G386" s="30">
        <v>43.32</v>
      </c>
      <c r="H386" s="30">
        <v>149.77000000000001</v>
      </c>
      <c r="I386" s="51">
        <v>257.97199999999998</v>
      </c>
      <c r="J386" s="52">
        <v>46456</v>
      </c>
      <c r="K386" s="53">
        <v>4.7290000000000001</v>
      </c>
      <c r="L386" s="53">
        <v>6.6976259999999996</v>
      </c>
      <c r="M386" s="53">
        <v>846.89155110000002</v>
      </c>
      <c r="N386" s="54">
        <v>1.1686154381186519E-2</v>
      </c>
      <c r="O386" s="53">
        <v>1.2825</v>
      </c>
      <c r="P386" s="30">
        <v>108.423</v>
      </c>
      <c r="Q386" s="30">
        <v>107.39400000000001</v>
      </c>
      <c r="R386" s="54">
        <v>9.5815408682048929E-3</v>
      </c>
    </row>
    <row r="387" spans="1:18" x14ac:dyDescent="0.15">
      <c r="A387" s="31">
        <v>386</v>
      </c>
      <c r="B387" s="30">
        <v>123138</v>
      </c>
      <c r="C387" s="30" t="s">
        <v>789</v>
      </c>
      <c r="D387" s="30">
        <v>177.6</v>
      </c>
      <c r="E387" s="30">
        <v>-5.13</v>
      </c>
      <c r="F387" s="30">
        <v>26.61</v>
      </c>
      <c r="G387" s="30">
        <v>70.05</v>
      </c>
      <c r="H387" s="30">
        <v>153.53</v>
      </c>
      <c r="I387" s="51">
        <v>331.13</v>
      </c>
      <c r="J387" s="52">
        <v>46814</v>
      </c>
      <c r="K387" s="53">
        <v>5.71</v>
      </c>
      <c r="L387" s="53">
        <v>2.4</v>
      </c>
      <c r="M387" s="53">
        <v>153043.85614690001</v>
      </c>
      <c r="N387" s="54">
        <v>3.5905559343773468</v>
      </c>
      <c r="O387" s="53">
        <v>-6.5270000000000001</v>
      </c>
      <c r="P387" s="30">
        <v>188.88</v>
      </c>
      <c r="Q387" s="30">
        <v>175.10599999999999</v>
      </c>
      <c r="R387" s="54">
        <v>7.8660925382339847E-2</v>
      </c>
    </row>
    <row r="388" spans="1:18" x14ac:dyDescent="0.15">
      <c r="A388" s="31">
        <v>387</v>
      </c>
      <c r="B388" s="30">
        <v>128138</v>
      </c>
      <c r="C388" s="30" t="s">
        <v>148</v>
      </c>
      <c r="D388" s="30">
        <v>115.08199999999999</v>
      </c>
      <c r="E388" s="30">
        <v>0.18</v>
      </c>
      <c r="F388" s="30">
        <v>25.33</v>
      </c>
      <c r="G388" s="30">
        <v>45.32</v>
      </c>
      <c r="H388" s="30">
        <v>153.93</v>
      </c>
      <c r="I388" s="51">
        <v>269.012</v>
      </c>
      <c r="J388" s="52">
        <v>46343</v>
      </c>
      <c r="K388" s="53">
        <v>4.4189999999999996</v>
      </c>
      <c r="L388" s="53">
        <v>4.1991089999999991</v>
      </c>
      <c r="M388" s="53">
        <v>527.00429910000003</v>
      </c>
      <c r="N388" s="54">
        <v>1.0905601120451252E-2</v>
      </c>
      <c r="O388" s="53">
        <v>3.9498000000000002</v>
      </c>
      <c r="P388" s="30">
        <v>115.137</v>
      </c>
      <c r="Q388" s="30">
        <v>114.77200000000001</v>
      </c>
      <c r="R388" s="54">
        <v>3.1802181716794591E-3</v>
      </c>
    </row>
    <row r="389" spans="1:18" x14ac:dyDescent="0.15">
      <c r="A389" s="31">
        <v>388</v>
      </c>
      <c r="B389" s="30">
        <v>113569</v>
      </c>
      <c r="C389" s="30" t="s">
        <v>140</v>
      </c>
      <c r="D389" s="30">
        <v>104.85</v>
      </c>
      <c r="E389" s="30">
        <v>-0.03</v>
      </c>
      <c r="F389" s="30">
        <v>14.8</v>
      </c>
      <c r="G389" s="30">
        <v>39.119999999999997</v>
      </c>
      <c r="H389" s="30">
        <v>168.02</v>
      </c>
      <c r="I389" s="51">
        <v>272.87</v>
      </c>
      <c r="J389" s="52">
        <v>46090</v>
      </c>
      <c r="K389" s="53">
        <v>3.726</v>
      </c>
      <c r="L389" s="53">
        <v>5.1559499999999998</v>
      </c>
      <c r="M389" s="53">
        <v>817.48320000000001</v>
      </c>
      <c r="N389" s="54">
        <v>1.5121737832484078E-2</v>
      </c>
      <c r="O389" s="53">
        <v>3.6387</v>
      </c>
      <c r="P389" s="30">
        <v>104.91</v>
      </c>
      <c r="Q389" s="30">
        <v>104.51</v>
      </c>
      <c r="R389" s="54">
        <v>3.8273849392401822E-3</v>
      </c>
    </row>
    <row r="390" spans="1:18" x14ac:dyDescent="0.15">
      <c r="A390" s="31">
        <v>389</v>
      </c>
      <c r="B390" s="30">
        <v>123140</v>
      </c>
      <c r="C390" s="30" t="s">
        <v>791</v>
      </c>
      <c r="D390" s="30">
        <v>246.011</v>
      </c>
      <c r="E390" s="30">
        <v>-2.39</v>
      </c>
      <c r="F390" s="30">
        <v>12.47</v>
      </c>
      <c r="G390" s="30">
        <v>91.66</v>
      </c>
      <c r="H390" s="30">
        <v>168.4</v>
      </c>
      <c r="I390" s="51">
        <v>414.411</v>
      </c>
      <c r="J390" s="52">
        <v>46826</v>
      </c>
      <c r="K390" s="53">
        <v>5.742</v>
      </c>
      <c r="L390" s="53">
        <v>1.72</v>
      </c>
      <c r="M390" s="53">
        <v>86491.794712899995</v>
      </c>
      <c r="N390" s="54">
        <v>2.0440519797351659</v>
      </c>
      <c r="O390" s="53">
        <v>-12.159000000000001</v>
      </c>
      <c r="P390" s="30">
        <v>256</v>
      </c>
      <c r="Q390" s="30">
        <v>246.01</v>
      </c>
      <c r="R390" s="54">
        <v>4.0608105361570709E-2</v>
      </c>
    </row>
    <row r="391" spans="1:18" x14ac:dyDescent="0.15">
      <c r="A391" s="31">
        <v>390</v>
      </c>
      <c r="B391" s="30">
        <v>113627</v>
      </c>
      <c r="C391" s="30" t="s">
        <v>149</v>
      </c>
      <c r="D391" s="30">
        <v>109.6</v>
      </c>
      <c r="E391" s="30">
        <v>0.73</v>
      </c>
      <c r="F391" s="30">
        <v>49.72</v>
      </c>
      <c r="G391" s="30">
        <v>40.409999999999997</v>
      </c>
      <c r="H391" s="30">
        <v>171.22</v>
      </c>
      <c r="I391" s="51">
        <v>280.82</v>
      </c>
      <c r="J391" s="52">
        <v>46583</v>
      </c>
      <c r="K391" s="53">
        <v>5.077</v>
      </c>
      <c r="L391" s="53">
        <v>7.9998100000000001</v>
      </c>
      <c r="M391" s="53">
        <v>266.70940000000002</v>
      </c>
      <c r="N391" s="54">
        <v>3.0419221544102917E-3</v>
      </c>
      <c r="O391" s="53">
        <v>0.98809999999999998</v>
      </c>
      <c r="P391" s="30">
        <v>109.73</v>
      </c>
      <c r="Q391" s="30">
        <v>108.71</v>
      </c>
      <c r="R391" s="54">
        <v>9.3827614754853298E-3</v>
      </c>
    </row>
    <row r="392" spans="1:18" x14ac:dyDescent="0.15">
      <c r="A392" s="31">
        <v>391</v>
      </c>
      <c r="B392" s="30">
        <v>123093</v>
      </c>
      <c r="C392" s="30" t="s">
        <v>143</v>
      </c>
      <c r="D392" s="30">
        <v>143.744</v>
      </c>
      <c r="E392" s="30">
        <v>-0.55000000000000004</v>
      </c>
      <c r="F392" s="30">
        <v>49.09</v>
      </c>
      <c r="G392" s="30">
        <v>51.95</v>
      </c>
      <c r="H392" s="30">
        <v>176.7</v>
      </c>
      <c r="I392" s="51">
        <v>320.44399999999996</v>
      </c>
      <c r="J392" s="52">
        <v>46406</v>
      </c>
      <c r="K392" s="53">
        <v>4.5919999999999996</v>
      </c>
      <c r="L392" s="53">
        <v>2.4998309999999999</v>
      </c>
      <c r="M392" s="53">
        <v>28218.220430000001</v>
      </c>
      <c r="N392" s="54">
        <v>0.78528851599121441</v>
      </c>
      <c r="O392" s="53">
        <v>-2.4287000000000001</v>
      </c>
      <c r="P392" s="30">
        <v>145.78</v>
      </c>
      <c r="Q392" s="30">
        <v>142.31</v>
      </c>
      <c r="R392" s="54">
        <v>2.4383388377485764E-2</v>
      </c>
    </row>
    <row r="393" spans="1:18" x14ac:dyDescent="0.15">
      <c r="A393" s="31">
        <v>392</v>
      </c>
      <c r="B393" s="30">
        <v>113584</v>
      </c>
      <c r="C393" s="30" t="s">
        <v>1978</v>
      </c>
      <c r="D393" s="30">
        <v>103.65</v>
      </c>
      <c r="E393" s="30">
        <v>-0.03</v>
      </c>
      <c r="F393" s="30">
        <v>37.53</v>
      </c>
      <c r="G393" s="30">
        <v>36.340000000000003</v>
      </c>
      <c r="H393" s="30">
        <v>185.22</v>
      </c>
      <c r="I393" s="51">
        <v>288.87</v>
      </c>
      <c r="J393" s="52">
        <v>46178</v>
      </c>
      <c r="K393" s="53">
        <v>3.9670000000000001</v>
      </c>
      <c r="L393" s="53">
        <v>6.4491300000000003</v>
      </c>
      <c r="M393" s="53">
        <v>527.9502</v>
      </c>
      <c r="N393" s="54">
        <v>7.8980980490254843E-3</v>
      </c>
      <c r="O393" s="53">
        <v>2.5396999999999998</v>
      </c>
      <c r="P393" s="30">
        <v>103.81</v>
      </c>
      <c r="Q393" s="30">
        <v>103.5</v>
      </c>
      <c r="R393" s="54">
        <v>2.995169082125626E-3</v>
      </c>
    </row>
    <row r="394" spans="1:18" x14ac:dyDescent="0.15">
      <c r="A394" s="31">
        <v>393</v>
      </c>
      <c r="B394" s="30">
        <v>110044</v>
      </c>
      <c r="C394" s="30" t="s">
        <v>136</v>
      </c>
      <c r="D394" s="30">
        <v>244.25</v>
      </c>
      <c r="E394" s="30">
        <v>-3.75</v>
      </c>
      <c r="F394" s="30">
        <v>6.87</v>
      </c>
      <c r="G394" s="30">
        <v>85.44</v>
      </c>
      <c r="H394" s="30">
        <v>185.87</v>
      </c>
      <c r="I394" s="51">
        <v>430.12</v>
      </c>
      <c r="J394" s="52">
        <v>45470</v>
      </c>
      <c r="K394" s="53">
        <v>2.0270000000000001</v>
      </c>
      <c r="L394" s="53">
        <v>0.70747000000000004</v>
      </c>
      <c r="M394" s="53">
        <v>31777.322199999999</v>
      </c>
      <c r="N394" s="54">
        <v>1.8389702206830141</v>
      </c>
      <c r="O394" s="53">
        <v>-32.524299999999997</v>
      </c>
      <c r="P394" s="30">
        <v>255.29</v>
      </c>
      <c r="Q394" s="30">
        <v>242.5</v>
      </c>
      <c r="R394" s="54">
        <v>5.2742268041237078E-2</v>
      </c>
    </row>
    <row r="395" spans="1:18" x14ac:dyDescent="0.15">
      <c r="A395" s="31">
        <v>394</v>
      </c>
      <c r="B395" s="30">
        <v>123143</v>
      </c>
      <c r="C395" s="30" t="s">
        <v>820</v>
      </c>
      <c r="D395" s="30">
        <v>294.99900000000002</v>
      </c>
      <c r="E395" s="30">
        <v>-2.19</v>
      </c>
      <c r="F395" s="30">
        <v>23.33</v>
      </c>
      <c r="G395" s="30">
        <v>103.09</v>
      </c>
      <c r="H395" s="30">
        <v>186.16</v>
      </c>
      <c r="I395" s="51">
        <v>481.15899999999999</v>
      </c>
      <c r="J395" s="52">
        <v>46843</v>
      </c>
      <c r="K395" s="53">
        <v>5.7889999999999997</v>
      </c>
      <c r="L395" s="53">
        <v>3.3</v>
      </c>
      <c r="M395" s="53">
        <v>230781.05094619998</v>
      </c>
      <c r="N395" s="54">
        <v>2.3706403005392818</v>
      </c>
      <c r="O395" s="53">
        <v>-14.8972</v>
      </c>
      <c r="P395" s="30">
        <v>306.83300000000003</v>
      </c>
      <c r="Q395" s="30">
        <v>290.72000000000003</v>
      </c>
      <c r="R395" s="54">
        <v>5.542446340121078E-2</v>
      </c>
    </row>
    <row r="396" spans="1:18" x14ac:dyDescent="0.15">
      <c r="A396" s="31">
        <v>395</v>
      </c>
      <c r="B396" s="30">
        <v>127057</v>
      </c>
      <c r="C396" s="30" t="s">
        <v>780</v>
      </c>
      <c r="D396" s="30">
        <v>443.92</v>
      </c>
      <c r="E396" s="30">
        <v>-6.15</v>
      </c>
      <c r="F396" s="30">
        <v>26.41</v>
      </c>
      <c r="G396" s="30">
        <v>154.63999999999999</v>
      </c>
      <c r="H396" s="30">
        <v>187.07</v>
      </c>
      <c r="I396" s="51">
        <v>630.99</v>
      </c>
      <c r="J396" s="52">
        <v>46815</v>
      </c>
      <c r="K396" s="53">
        <v>5.7119999999999997</v>
      </c>
      <c r="L396" s="53">
        <v>2.76</v>
      </c>
      <c r="M396" s="53">
        <v>813577.23419969995</v>
      </c>
      <c r="N396" s="54">
        <v>6.6402586100487166</v>
      </c>
      <c r="O396" s="53">
        <v>-20.569900000000001</v>
      </c>
      <c r="P396" s="30">
        <v>491.60399999999998</v>
      </c>
      <c r="Q396" s="30">
        <v>443</v>
      </c>
      <c r="R396" s="54">
        <v>0.10971557562076746</v>
      </c>
    </row>
    <row r="397" spans="1:18" x14ac:dyDescent="0.15">
      <c r="A397" s="31">
        <v>396</v>
      </c>
      <c r="B397" s="30">
        <v>123065</v>
      </c>
      <c r="C397" s="30" t="s">
        <v>137</v>
      </c>
      <c r="D397" s="30">
        <v>120.2</v>
      </c>
      <c r="E397" s="30">
        <v>1.2</v>
      </c>
      <c r="F397" s="30">
        <v>36.630000000000003</v>
      </c>
      <c r="G397" s="30">
        <v>41.47</v>
      </c>
      <c r="H397" s="30">
        <v>189.85</v>
      </c>
      <c r="I397" s="51">
        <v>310.05</v>
      </c>
      <c r="J397" s="52">
        <v>46269</v>
      </c>
      <c r="K397" s="53">
        <v>4.2160000000000002</v>
      </c>
      <c r="L397" s="53">
        <v>2.1885789999999998</v>
      </c>
      <c r="M397" s="53">
        <v>5580.4750578000003</v>
      </c>
      <c r="N397" s="54">
        <v>0.21213116446653515</v>
      </c>
      <c r="O397" s="53">
        <v>0.16109999999999999</v>
      </c>
      <c r="P397" s="30">
        <v>120.96</v>
      </c>
      <c r="Q397" s="30">
        <v>118.7</v>
      </c>
      <c r="R397" s="54">
        <v>1.9039595619208011E-2</v>
      </c>
    </row>
    <row r="398" spans="1:18" x14ac:dyDescent="0.15">
      <c r="A398" s="31">
        <v>397</v>
      </c>
      <c r="B398" s="30">
        <v>113596</v>
      </c>
      <c r="C398" s="30" t="s">
        <v>1979</v>
      </c>
      <c r="D398" s="30">
        <v>97.3</v>
      </c>
      <c r="E398" s="30">
        <v>0.03</v>
      </c>
      <c r="F398" s="30">
        <v>24.26</v>
      </c>
      <c r="G398" s="30">
        <v>31.86</v>
      </c>
      <c r="H398" s="30">
        <v>205.4</v>
      </c>
      <c r="I398" s="51">
        <v>302.7</v>
      </c>
      <c r="J398" s="52">
        <v>46231</v>
      </c>
      <c r="K398" s="53">
        <v>4.1120000000000001</v>
      </c>
      <c r="L398" s="53">
        <v>11.987030000000001</v>
      </c>
      <c r="M398" s="53">
        <v>1398.7846</v>
      </c>
      <c r="N398" s="54">
        <v>1.1992960678751566E-2</v>
      </c>
      <c r="O398" s="53">
        <v>3.8153000000000001</v>
      </c>
      <c r="P398" s="30">
        <v>97.34</v>
      </c>
      <c r="Q398" s="30">
        <v>97.09</v>
      </c>
      <c r="R398" s="54">
        <v>2.5749304768771242E-3</v>
      </c>
    </row>
    <row r="399" spans="1:18" x14ac:dyDescent="0.15">
      <c r="A399" s="31">
        <v>398</v>
      </c>
      <c r="B399" s="30">
        <v>128062</v>
      </c>
      <c r="C399" s="30" t="s">
        <v>1980</v>
      </c>
      <c r="D399" s="30">
        <v>99.4</v>
      </c>
      <c r="E399" s="30">
        <v>-0.22</v>
      </c>
      <c r="F399" s="30">
        <v>16.25</v>
      </c>
      <c r="G399" s="30">
        <v>31.94</v>
      </c>
      <c r="H399" s="30">
        <v>211.21</v>
      </c>
      <c r="I399" s="51">
        <v>310.61</v>
      </c>
      <c r="J399" s="52">
        <v>45749</v>
      </c>
      <c r="K399" s="53">
        <v>2.7919999999999998</v>
      </c>
      <c r="L399" s="53">
        <v>9.6197140000000001</v>
      </c>
      <c r="M399" s="53">
        <v>1486.114286</v>
      </c>
      <c r="N399" s="54">
        <v>1.5541884039053672E-2</v>
      </c>
      <c r="O399" s="53">
        <v>6.5301</v>
      </c>
      <c r="P399" s="30">
        <v>99.61</v>
      </c>
      <c r="Q399" s="30">
        <v>99.361999999999995</v>
      </c>
      <c r="R399" s="54">
        <v>2.4959239950887125E-3</v>
      </c>
    </row>
    <row r="400" spans="1:18" x14ac:dyDescent="0.15">
      <c r="A400" s="31">
        <v>399</v>
      </c>
      <c r="B400" s="30">
        <v>128041</v>
      </c>
      <c r="C400" s="30" t="s">
        <v>135</v>
      </c>
      <c r="D400" s="30">
        <v>301.58</v>
      </c>
      <c r="E400" s="30">
        <v>-2.57</v>
      </c>
      <c r="F400" s="30">
        <v>6.82</v>
      </c>
      <c r="G400" s="30">
        <v>95.31</v>
      </c>
      <c r="H400" s="30">
        <v>216.42</v>
      </c>
      <c r="I400" s="51">
        <v>518</v>
      </c>
      <c r="J400" s="52">
        <v>45490</v>
      </c>
      <c r="K400" s="53">
        <v>2.0819999999999999</v>
      </c>
      <c r="L400" s="53">
        <v>0.52935699999999997</v>
      </c>
      <c r="M400" s="53">
        <v>87399.019896800004</v>
      </c>
      <c r="N400" s="54">
        <v>5.4746374655637169</v>
      </c>
      <c r="O400" s="53">
        <v>-37.898800000000001</v>
      </c>
      <c r="P400" s="30">
        <v>319.52999999999997</v>
      </c>
      <c r="Q400" s="30">
        <v>300</v>
      </c>
      <c r="R400" s="54">
        <v>6.5099999999999908E-2</v>
      </c>
    </row>
    <row r="401" spans="1:18" x14ac:dyDescent="0.15">
      <c r="A401" s="31">
        <v>400</v>
      </c>
      <c r="B401" s="30">
        <v>113576</v>
      </c>
      <c r="C401" s="30" t="s">
        <v>139</v>
      </c>
      <c r="D401" s="30">
        <v>123.32</v>
      </c>
      <c r="E401" s="30">
        <v>-2.92</v>
      </c>
      <c r="F401" s="30">
        <v>10.55</v>
      </c>
      <c r="G401" s="30">
        <v>35.64</v>
      </c>
      <c r="H401" s="30">
        <v>246.02</v>
      </c>
      <c r="I401" s="51">
        <v>369.34000000000003</v>
      </c>
      <c r="J401" s="52">
        <v>46122</v>
      </c>
      <c r="K401" s="53">
        <v>3.8140000000000001</v>
      </c>
      <c r="L401" s="53">
        <v>2.65808</v>
      </c>
      <c r="M401" s="53">
        <v>166610.50080000001</v>
      </c>
      <c r="N401" s="54">
        <v>5.0827740738736962</v>
      </c>
      <c r="O401" s="53">
        <v>-0.61719999999999997</v>
      </c>
      <c r="P401" s="30">
        <v>146</v>
      </c>
      <c r="Q401" s="30">
        <v>122.5</v>
      </c>
      <c r="R401" s="54">
        <v>0.19183673469387755</v>
      </c>
    </row>
    <row r="402" spans="1:18" x14ac:dyDescent="0.15">
      <c r="A402" s="31">
        <v>401</v>
      </c>
      <c r="B402" s="30">
        <v>127004</v>
      </c>
      <c r="C402" s="30" t="s">
        <v>138</v>
      </c>
      <c r="D402" s="30">
        <v>263.26799999999997</v>
      </c>
      <c r="E402" s="30">
        <v>11.54</v>
      </c>
      <c r="F402" s="30">
        <v>7.24</v>
      </c>
      <c r="G402" s="30">
        <v>75</v>
      </c>
      <c r="H402" s="30">
        <v>251.02</v>
      </c>
      <c r="I402" s="51">
        <v>514.28800000000001</v>
      </c>
      <c r="J402" s="52">
        <v>45079</v>
      </c>
      <c r="K402" s="53">
        <v>0.95599999999999996</v>
      </c>
      <c r="L402" s="53">
        <v>1.3110879999999998</v>
      </c>
      <c r="M402" s="53">
        <v>1196214.8789623</v>
      </c>
      <c r="N402" s="54">
        <v>34.656067704934109</v>
      </c>
      <c r="O402" s="53">
        <v>-59.751300000000001</v>
      </c>
      <c r="P402" s="30">
        <v>273</v>
      </c>
      <c r="Q402" s="30">
        <v>233.43299999999999</v>
      </c>
      <c r="R402" s="54">
        <v>0.1695004562336945</v>
      </c>
    </row>
    <row r="403" spans="1:18" x14ac:dyDescent="0.15">
      <c r="A403" s="31">
        <v>402</v>
      </c>
      <c r="B403" s="30">
        <v>123136</v>
      </c>
      <c r="C403" s="30" t="s">
        <v>274</v>
      </c>
      <c r="D403" s="30">
        <v>330.5</v>
      </c>
      <c r="E403" s="30">
        <v>-2.88</v>
      </c>
      <c r="F403" s="30">
        <v>17.440000000000001</v>
      </c>
      <c r="G403" s="30">
        <v>85.95</v>
      </c>
      <c r="H403" s="30">
        <v>284.52999999999997</v>
      </c>
      <c r="I403" s="51">
        <v>615.03</v>
      </c>
      <c r="J403" s="52">
        <v>46773</v>
      </c>
      <c r="K403" s="53">
        <v>5.5970000000000004</v>
      </c>
      <c r="L403" s="53">
        <v>4.5999999999999996</v>
      </c>
      <c r="M403" s="53">
        <v>65450.365749500001</v>
      </c>
      <c r="N403" s="54">
        <v>0.43050954252121293</v>
      </c>
      <c r="O403" s="53">
        <v>-16.671500000000002</v>
      </c>
      <c r="P403" s="30">
        <v>340.8</v>
      </c>
      <c r="Q403" s="30">
        <v>329.7</v>
      </c>
      <c r="R403" s="54">
        <v>3.3666969972702528E-2</v>
      </c>
    </row>
    <row r="404" spans="1:18" x14ac:dyDescent="0.15">
      <c r="A404" s="31">
        <v>403</v>
      </c>
      <c r="B404" s="30">
        <v>113574</v>
      </c>
      <c r="C404" s="30" t="s">
        <v>1981</v>
      </c>
      <c r="D404" s="30">
        <v>117.76</v>
      </c>
      <c r="E404" s="30">
        <v>0.9</v>
      </c>
      <c r="F404" s="30">
        <v>33.909999999999997</v>
      </c>
      <c r="G404" s="30">
        <v>30.35</v>
      </c>
      <c r="H404" s="30">
        <v>288.01</v>
      </c>
      <c r="I404" s="51">
        <v>405.77</v>
      </c>
      <c r="J404" s="52">
        <v>46112</v>
      </c>
      <c r="K404" s="53">
        <v>3.786</v>
      </c>
      <c r="L404" s="53">
        <v>2.0874100000000002</v>
      </c>
      <c r="M404" s="53">
        <v>1853.2827</v>
      </c>
      <c r="N404" s="54">
        <v>7.5393883650646309E-2</v>
      </c>
      <c r="O404" s="53">
        <v>-0.59099999999999997</v>
      </c>
      <c r="P404" s="30">
        <v>119.14</v>
      </c>
      <c r="Q404" s="30">
        <v>116.52</v>
      </c>
      <c r="R404" s="54">
        <v>2.2485410230003472E-2</v>
      </c>
    </row>
    <row r="405" spans="1:18" x14ac:dyDescent="0.15">
      <c r="A405" s="31">
        <v>404</v>
      </c>
      <c r="B405" s="30">
        <v>123072</v>
      </c>
      <c r="C405" s="30" t="s">
        <v>1983</v>
      </c>
      <c r="D405" s="30">
        <v>138.297</v>
      </c>
      <c r="E405" s="30">
        <v>-4.62</v>
      </c>
      <c r="F405" s="30">
        <v>48.98</v>
      </c>
      <c r="G405" s="30">
        <v>34.909999999999997</v>
      </c>
      <c r="H405" s="30">
        <v>296.14999999999998</v>
      </c>
      <c r="I405" s="51">
        <v>434.447</v>
      </c>
      <c r="J405" s="52">
        <v>46316</v>
      </c>
      <c r="K405" s="53">
        <v>4.3449999999999998</v>
      </c>
      <c r="L405" s="53">
        <v>1.419144</v>
      </c>
      <c r="M405" s="53">
        <v>53343.687036000003</v>
      </c>
      <c r="N405" s="54">
        <v>2.7179646594580729</v>
      </c>
      <c r="O405" s="53">
        <v>-1.6212</v>
      </c>
      <c r="P405" s="30">
        <v>153.44</v>
      </c>
      <c r="Q405" s="30">
        <v>137.12</v>
      </c>
      <c r="R405" s="54">
        <v>0.11901983663943985</v>
      </c>
    </row>
    <row r="406" spans="1:18" x14ac:dyDescent="0.15">
      <c r="A406" s="31">
        <v>405</v>
      </c>
      <c r="B406" s="30">
        <v>113646</v>
      </c>
      <c r="C406" s="30" t="s">
        <v>1982</v>
      </c>
      <c r="D406" s="30">
        <v>332.95</v>
      </c>
      <c r="E406" s="30">
        <v>-2.5099999999999998</v>
      </c>
      <c r="F406" s="30">
        <v>8.76</v>
      </c>
      <c r="G406" s="30">
        <v>82.76</v>
      </c>
      <c r="H406" s="30">
        <v>302.31</v>
      </c>
      <c r="I406" s="51">
        <v>635.26</v>
      </c>
      <c r="J406" s="52">
        <v>46857</v>
      </c>
      <c r="K406" s="53">
        <v>5.827</v>
      </c>
      <c r="L406" s="53">
        <v>1.45868</v>
      </c>
      <c r="M406" s="53">
        <v>25459.5664</v>
      </c>
      <c r="N406" s="54">
        <v>0.52421803158476077</v>
      </c>
      <c r="O406" s="53">
        <v>-17.077300000000001</v>
      </c>
      <c r="P406" s="30">
        <v>344</v>
      </c>
      <c r="Q406" s="30">
        <v>330.91</v>
      </c>
      <c r="R406" s="54">
        <v>3.9557583633011921E-2</v>
      </c>
    </row>
    <row r="407" spans="1:18" x14ac:dyDescent="0.15">
      <c r="A407" s="31">
        <v>406</v>
      </c>
      <c r="B407" s="30">
        <v>113575</v>
      </c>
      <c r="C407" s="30" t="s">
        <v>152</v>
      </c>
      <c r="D407" s="30">
        <v>213.04</v>
      </c>
      <c r="E407" s="30">
        <v>-9.58</v>
      </c>
      <c r="F407" s="30">
        <v>12.15</v>
      </c>
      <c r="G407" s="30">
        <v>49.71</v>
      </c>
      <c r="H407" s="30">
        <v>328.57</v>
      </c>
      <c r="I407" s="51">
        <v>541.61</v>
      </c>
      <c r="J407" s="52">
        <v>46121</v>
      </c>
      <c r="K407" s="53">
        <v>3.8109999999999999</v>
      </c>
      <c r="L407" s="53">
        <v>0.98397999999999997</v>
      </c>
      <c r="M407" s="53">
        <v>244955.55910000001</v>
      </c>
      <c r="N407" s="54">
        <v>11.685300232404304</v>
      </c>
      <c r="O407" s="53">
        <v>-15.6431</v>
      </c>
      <c r="P407" s="30">
        <v>242</v>
      </c>
      <c r="Q407" s="30">
        <v>210</v>
      </c>
      <c r="R407" s="54">
        <v>0.15238095238095239</v>
      </c>
    </row>
    <row r="408" spans="1:18" x14ac:dyDescent="0.15">
      <c r="A408" s="31">
        <v>407</v>
      </c>
      <c r="B408" s="30">
        <v>123134</v>
      </c>
      <c r="C408" s="30" t="s">
        <v>280</v>
      </c>
      <c r="D408" s="30">
        <v>425</v>
      </c>
      <c r="E408" s="30">
        <v>-1.85</v>
      </c>
      <c r="F408" s="30">
        <v>75.7</v>
      </c>
      <c r="G408" s="30">
        <v>97.83</v>
      </c>
      <c r="H408" s="30">
        <v>334.43</v>
      </c>
      <c r="I408" s="51">
        <v>759.43000000000006</v>
      </c>
      <c r="J408" s="52">
        <v>46748</v>
      </c>
      <c r="K408" s="53">
        <v>5.5289999999999999</v>
      </c>
      <c r="L408" s="53">
        <v>2.79</v>
      </c>
      <c r="M408" s="53">
        <v>135772.39116249999</v>
      </c>
      <c r="N408" s="54">
        <v>1.1450338702298124</v>
      </c>
      <c r="O408" s="53">
        <v>-20.581399999999999</v>
      </c>
      <c r="P408" s="30">
        <v>442.92099999999999</v>
      </c>
      <c r="Q408" s="30">
        <v>425</v>
      </c>
      <c r="R408" s="54">
        <v>4.2167058823529391E-2</v>
      </c>
    </row>
    <row r="409" spans="1:18" x14ac:dyDescent="0.15">
      <c r="A409" s="31">
        <v>408</v>
      </c>
      <c r="B409" s="30">
        <v>123135</v>
      </c>
      <c r="C409" s="30" t="s">
        <v>1984</v>
      </c>
      <c r="D409" s="30">
        <v>360.82100000000003</v>
      </c>
      <c r="E409" s="30">
        <v>-1.63</v>
      </c>
      <c r="F409" s="30">
        <v>54.43</v>
      </c>
      <c r="G409" s="30">
        <v>77.2</v>
      </c>
      <c r="H409" s="30">
        <v>367.38</v>
      </c>
      <c r="I409" s="51">
        <v>728.20100000000002</v>
      </c>
      <c r="J409" s="52">
        <v>46749</v>
      </c>
      <c r="K409" s="53">
        <v>5.532</v>
      </c>
      <c r="L409" s="53">
        <v>2.1</v>
      </c>
      <c r="M409" s="53">
        <v>106658.1896249</v>
      </c>
      <c r="N409" s="54">
        <v>1.4076124756346009</v>
      </c>
      <c r="O409" s="53">
        <v>-18.136700000000001</v>
      </c>
      <c r="P409" s="30">
        <v>378.6</v>
      </c>
      <c r="Q409" s="30">
        <v>360.06799999999998</v>
      </c>
      <c r="R409" s="54">
        <v>5.1468056033860385E-2</v>
      </c>
    </row>
    <row r="410" spans="1:18" x14ac:dyDescent="0.15">
      <c r="A410" s="31">
        <v>409</v>
      </c>
      <c r="B410" s="30">
        <v>123013</v>
      </c>
      <c r="C410" s="30" t="s">
        <v>1985</v>
      </c>
      <c r="D410" s="30">
        <v>510.99</v>
      </c>
      <c r="E410" s="30">
        <v>-2.61</v>
      </c>
      <c r="F410" s="30">
        <v>8.9600000000000009</v>
      </c>
      <c r="G410" s="30">
        <v>83.04</v>
      </c>
      <c r="H410" s="30">
        <v>515.35</v>
      </c>
      <c r="I410" s="51">
        <v>1026.3400000000001</v>
      </c>
      <c r="J410" s="52">
        <v>45499</v>
      </c>
      <c r="K410" s="53">
        <v>2.1070000000000002</v>
      </c>
      <c r="L410" s="53">
        <v>0.37926300000000002</v>
      </c>
      <c r="M410" s="53">
        <v>208754.36705610002</v>
      </c>
      <c r="N410" s="54">
        <v>10.771661378947559</v>
      </c>
      <c r="O410" s="53">
        <v>-51.405500000000004</v>
      </c>
      <c r="P410" s="30">
        <v>554.99800000000005</v>
      </c>
      <c r="Q410" s="30">
        <v>509.36</v>
      </c>
      <c r="R410" s="54">
        <v>8.9598712109313708E-2</v>
      </c>
    </row>
    <row r="411" spans="1:18" x14ac:dyDescent="0.15">
      <c r="A411" s="31">
        <v>410</v>
      </c>
      <c r="B411" s="30">
        <v>123015</v>
      </c>
      <c r="C411" s="30" t="s">
        <v>1986</v>
      </c>
      <c r="D411" s="30">
        <v>323.89999999999998</v>
      </c>
      <c r="E411" s="30">
        <v>-5.29</v>
      </c>
      <c r="F411" s="30">
        <v>5.79</v>
      </c>
      <c r="G411" s="30">
        <v>30.74</v>
      </c>
      <c r="H411" s="30">
        <v>953.68</v>
      </c>
      <c r="I411" s="51">
        <v>1277.58</v>
      </c>
      <c r="J411" s="52">
        <v>45517</v>
      </c>
      <c r="K411" s="53">
        <v>2.1560000000000001</v>
      </c>
      <c r="L411" s="53">
        <v>1.001309</v>
      </c>
      <c r="M411" s="53">
        <v>252430.53943899999</v>
      </c>
      <c r="N411" s="54">
        <v>7.7832831068959374</v>
      </c>
      <c r="O411" s="53">
        <v>-39.453699999999998</v>
      </c>
      <c r="P411" s="30">
        <v>351.58</v>
      </c>
      <c r="Q411" s="30">
        <v>319.11</v>
      </c>
      <c r="R411" s="54">
        <v>0.10175174704647291</v>
      </c>
    </row>
  </sheetData>
  <autoFilter ref="A1:R411"/>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12"/>
  <sheetViews>
    <sheetView zoomScaleNormal="100" workbookViewId="0">
      <pane ySplit="2" topLeftCell="A3" activePane="bottomLeft" state="frozen"/>
      <selection pane="bottomLeft" activeCell="M13" sqref="M13"/>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33" bestFit="1" customWidth="1"/>
    <col min="13" max="13" width="10.125" style="36"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281</v>
      </c>
      <c r="B1" s="8"/>
      <c r="D1" s="12"/>
      <c r="E1" s="12"/>
      <c r="I1" s="8" t="s">
        <v>1992</v>
      </c>
      <c r="J1" s="8"/>
      <c r="K1" s="37" t="s">
        <v>1993</v>
      </c>
      <c r="L1" s="38"/>
      <c r="M1" s="39"/>
      <c r="N1" s="37"/>
      <c r="O1" s="37"/>
      <c r="P1" s="37"/>
      <c r="R1" s="8" t="s">
        <v>815</v>
      </c>
    </row>
    <row r="2" spans="1:21" s="6" customFormat="1" x14ac:dyDescent="0.15">
      <c r="A2" s="6" t="s">
        <v>59</v>
      </c>
      <c r="B2" s="6" t="s">
        <v>58</v>
      </c>
      <c r="C2" s="6" t="s">
        <v>57</v>
      </c>
      <c r="D2" s="4" t="s">
        <v>272</v>
      </c>
      <c r="E2" s="4" t="s">
        <v>804</v>
      </c>
      <c r="H2" s="18"/>
      <c r="I2" s="6" t="s">
        <v>1987</v>
      </c>
      <c r="J2" s="6" t="s">
        <v>1988</v>
      </c>
      <c r="K2" s="6" t="s">
        <v>1813</v>
      </c>
      <c r="L2" s="34" t="s">
        <v>35</v>
      </c>
      <c r="M2" s="35" t="s">
        <v>1990</v>
      </c>
      <c r="N2" s="4" t="s">
        <v>256</v>
      </c>
      <c r="Q2" s="18"/>
      <c r="R2" s="6" t="s">
        <v>59</v>
      </c>
      <c r="S2" s="6" t="s">
        <v>58</v>
      </c>
      <c r="T2" s="6" t="s">
        <v>57</v>
      </c>
      <c r="U2" s="4" t="s">
        <v>256</v>
      </c>
    </row>
    <row r="3" spans="1:21" x14ac:dyDescent="0.15">
      <c r="A3" s="1">
        <v>123012</v>
      </c>
      <c r="B3" s="1" t="s">
        <v>56</v>
      </c>
      <c r="C3" s="7">
        <f>VLOOKUP(A3,$I$1:$K$1000,3,FALSE)</f>
        <v>197.79</v>
      </c>
      <c r="D3" s="5">
        <f>MATCH(A3,$I$1:$I$1000,0)-2</f>
        <v>80</v>
      </c>
      <c r="E3" s="5">
        <f t="shared" ref="E3:E40" si="0">MATCH(A3,$R$1:$R$200,0)-2</f>
        <v>1</v>
      </c>
      <c r="H3" s="17">
        <v>1</v>
      </c>
      <c r="I3">
        <v>113568</v>
      </c>
      <c r="J3" t="s">
        <v>132</v>
      </c>
      <c r="K3">
        <v>155.29</v>
      </c>
      <c r="L3" s="20">
        <v>-1.53</v>
      </c>
      <c r="M3" s="21">
        <v>2.8459999999999999E-2</v>
      </c>
      <c r="N3" s="5" t="str">
        <f>IF(ISNA(MATCH(I3,$A$3:$A$1000,0)),"未买","Yes")</f>
        <v>Yes</v>
      </c>
      <c r="Q3" s="17">
        <v>1</v>
      </c>
      <c r="R3" s="7">
        <v>123012</v>
      </c>
      <c r="S3" s="7" t="s">
        <v>56</v>
      </c>
      <c r="T3" s="7">
        <f>VLOOKUP(R3,$I$1:$K$1000,3,FALSE)</f>
        <v>197.79</v>
      </c>
      <c r="U3" s="5" t="str">
        <f t="shared" ref="U3:U34" si="1">IF(ISNA(MATCH(R3,$A$2:$A$301,0)),"未买","Yes")</f>
        <v>Yes</v>
      </c>
    </row>
    <row r="4" spans="1:21" x14ac:dyDescent="0.15">
      <c r="A4" s="1">
        <v>123045</v>
      </c>
      <c r="B4" s="1" t="s">
        <v>109</v>
      </c>
      <c r="C4" s="7">
        <f t="shared" ref="C4:C40" si="2">VLOOKUP(A4,$I$1:$K$1000,3,FALSE)</f>
        <v>145.48500000000001</v>
      </c>
      <c r="D4" s="5">
        <f t="shared" ref="D4:D40" si="3">MATCH(A4,$I$1:$I$1000,0)-2</f>
        <v>212</v>
      </c>
      <c r="E4" s="5">
        <f t="shared" si="0"/>
        <v>33</v>
      </c>
      <c r="H4" s="17">
        <v>2</v>
      </c>
      <c r="I4">
        <v>127040</v>
      </c>
      <c r="J4" t="s">
        <v>1825</v>
      </c>
      <c r="K4">
        <v>134.28100000000001</v>
      </c>
      <c r="L4" s="20">
        <v>-1.1200000000000001</v>
      </c>
      <c r="M4" s="21">
        <v>41.219786999999997</v>
      </c>
      <c r="N4" s="5" t="str">
        <f t="shared" ref="N4:N67" si="4">IF(ISNA(MATCH(I4,$A$3:$A$1000,0)),"未买","Yes")</f>
        <v>未买</v>
      </c>
      <c r="Q4" s="17">
        <v>2</v>
      </c>
      <c r="R4" s="7">
        <v>113541</v>
      </c>
      <c r="S4" s="7" t="s">
        <v>44</v>
      </c>
      <c r="T4" s="7">
        <f t="shared" ref="T4:T37" si="5">VLOOKUP(R4,$I$1:$K$1000,3,FALSE)</f>
        <v>128.36000000000001</v>
      </c>
      <c r="U4" s="5" t="str">
        <f t="shared" si="1"/>
        <v>Yes</v>
      </c>
    </row>
    <row r="5" spans="1:21" x14ac:dyDescent="0.15">
      <c r="A5" s="1">
        <v>123052</v>
      </c>
      <c r="B5" s="1" t="s">
        <v>794</v>
      </c>
      <c r="C5" s="7">
        <f t="shared" si="2"/>
        <v>149.298</v>
      </c>
      <c r="D5" s="5">
        <f t="shared" si="3"/>
        <v>179</v>
      </c>
      <c r="E5" s="5" t="e">
        <f t="shared" si="0"/>
        <v>#N/A</v>
      </c>
      <c r="H5" s="17">
        <v>3</v>
      </c>
      <c r="I5">
        <v>128046</v>
      </c>
      <c r="J5" t="s">
        <v>800</v>
      </c>
      <c r="K5">
        <v>198.797</v>
      </c>
      <c r="L5" s="20">
        <v>-0.76</v>
      </c>
      <c r="M5" s="21">
        <v>7.7484169999999999</v>
      </c>
      <c r="N5" s="5" t="str">
        <f t="shared" si="4"/>
        <v>Yes</v>
      </c>
      <c r="Q5" s="17">
        <v>3</v>
      </c>
      <c r="R5" s="7">
        <v>128100</v>
      </c>
      <c r="S5" s="7" t="s">
        <v>48</v>
      </c>
      <c r="T5" s="7">
        <f t="shared" si="5"/>
        <v>97.472999999999999</v>
      </c>
      <c r="U5" s="5" t="str">
        <f t="shared" si="1"/>
        <v>Yes</v>
      </c>
    </row>
    <row r="6" spans="1:21" x14ac:dyDescent="0.15">
      <c r="A6" s="1">
        <v>123057</v>
      </c>
      <c r="B6" s="1" t="s">
        <v>795</v>
      </c>
      <c r="C6" s="7">
        <f t="shared" si="2"/>
        <v>164.5</v>
      </c>
      <c r="D6" s="5">
        <f t="shared" si="3"/>
        <v>31</v>
      </c>
      <c r="E6" s="5">
        <f t="shared" si="0"/>
        <v>26</v>
      </c>
      <c r="H6" s="17">
        <v>4</v>
      </c>
      <c r="I6">
        <v>127013</v>
      </c>
      <c r="J6" t="s">
        <v>193</v>
      </c>
      <c r="K6">
        <v>157.01</v>
      </c>
      <c r="L6" s="20">
        <v>-0.63</v>
      </c>
      <c r="M6" s="21">
        <v>2.3781349999999999</v>
      </c>
      <c r="N6" s="5" t="str">
        <f t="shared" si="4"/>
        <v>未买</v>
      </c>
      <c r="Q6" s="17">
        <v>4</v>
      </c>
      <c r="R6" s="7">
        <v>128085</v>
      </c>
      <c r="S6" s="7" t="s">
        <v>801</v>
      </c>
      <c r="T6" s="7">
        <f t="shared" si="5"/>
        <v>118.762</v>
      </c>
      <c r="U6" s="5" t="str">
        <f t="shared" si="1"/>
        <v>Yes</v>
      </c>
    </row>
    <row r="7" spans="1:21" x14ac:dyDescent="0.15">
      <c r="A7" s="1">
        <v>123067</v>
      </c>
      <c r="B7" s="1" t="s">
        <v>796</v>
      </c>
      <c r="C7" s="7">
        <f t="shared" si="2"/>
        <v>201</v>
      </c>
      <c r="D7" s="5">
        <f t="shared" si="3"/>
        <v>67</v>
      </c>
      <c r="E7" s="5" t="e">
        <f t="shared" si="0"/>
        <v>#N/A</v>
      </c>
      <c r="H7" s="17">
        <v>5</v>
      </c>
      <c r="I7">
        <v>128111</v>
      </c>
      <c r="J7" t="s">
        <v>1819</v>
      </c>
      <c r="K7">
        <v>760.05</v>
      </c>
      <c r="L7" s="20">
        <v>-0.42</v>
      </c>
      <c r="M7" s="21">
        <v>1.340368</v>
      </c>
      <c r="N7" s="5" t="str">
        <f t="shared" si="4"/>
        <v>未买</v>
      </c>
      <c r="Q7" s="17">
        <v>5</v>
      </c>
      <c r="R7" s="7">
        <v>113567</v>
      </c>
      <c r="S7" s="7" t="s">
        <v>43</v>
      </c>
      <c r="T7" s="7">
        <f t="shared" si="5"/>
        <v>137.91999999999999</v>
      </c>
      <c r="U7" s="5" t="str">
        <f t="shared" si="1"/>
        <v>Yes</v>
      </c>
    </row>
    <row r="8" spans="1:21" x14ac:dyDescent="0.15">
      <c r="A8" s="1">
        <v>123073</v>
      </c>
      <c r="B8" s="1" t="s">
        <v>797</v>
      </c>
      <c r="C8" s="7">
        <f t="shared" si="2"/>
        <v>203.6</v>
      </c>
      <c r="D8" s="5">
        <f t="shared" si="3"/>
        <v>61</v>
      </c>
      <c r="E8" s="5" t="e">
        <f t="shared" si="0"/>
        <v>#N/A</v>
      </c>
      <c r="H8" s="17">
        <v>6</v>
      </c>
      <c r="I8">
        <v>113541</v>
      </c>
      <c r="J8" t="s">
        <v>1823</v>
      </c>
      <c r="K8">
        <v>128.36000000000001</v>
      </c>
      <c r="L8" s="20">
        <v>-0.26</v>
      </c>
      <c r="M8" s="21">
        <v>1.2318</v>
      </c>
      <c r="N8" s="5" t="str">
        <f t="shared" si="4"/>
        <v>Yes</v>
      </c>
      <c r="Q8" s="17">
        <v>6</v>
      </c>
      <c r="R8" s="7">
        <v>113525</v>
      </c>
      <c r="S8" s="7" t="s">
        <v>134</v>
      </c>
      <c r="T8" s="7">
        <f t="shared" si="5"/>
        <v>185.86</v>
      </c>
      <c r="U8" s="5" t="str">
        <f t="shared" si="1"/>
        <v>Yes</v>
      </c>
    </row>
    <row r="9" spans="1:21" x14ac:dyDescent="0.15">
      <c r="A9" s="1">
        <v>123080</v>
      </c>
      <c r="B9" s="1" t="s">
        <v>54</v>
      </c>
      <c r="C9" s="7">
        <f t="shared" si="2"/>
        <v>127.99</v>
      </c>
      <c r="D9" s="5">
        <f t="shared" si="3"/>
        <v>97</v>
      </c>
      <c r="E9" s="5" t="e">
        <f t="shared" si="0"/>
        <v>#N/A</v>
      </c>
      <c r="H9" s="17">
        <v>7</v>
      </c>
      <c r="I9">
        <v>128107</v>
      </c>
      <c r="J9" t="s">
        <v>1991</v>
      </c>
      <c r="K9">
        <v>135.911</v>
      </c>
      <c r="L9" s="20">
        <v>-0.23</v>
      </c>
      <c r="M9" s="21">
        <v>2.6659480000000002</v>
      </c>
      <c r="N9" s="5" t="str">
        <f t="shared" si="4"/>
        <v>未买</v>
      </c>
      <c r="Q9" s="17">
        <v>7</v>
      </c>
      <c r="R9" s="7">
        <v>113585</v>
      </c>
      <c r="S9" s="7" t="s">
        <v>809</v>
      </c>
      <c r="T9" s="7">
        <f t="shared" si="5"/>
        <v>204.18</v>
      </c>
      <c r="U9" s="5" t="str">
        <f t="shared" si="1"/>
        <v>Yes</v>
      </c>
    </row>
    <row r="10" spans="1:21" x14ac:dyDescent="0.15">
      <c r="A10" s="1">
        <v>123089</v>
      </c>
      <c r="B10" s="1" t="s">
        <v>798</v>
      </c>
      <c r="C10" s="7">
        <f t="shared" si="2"/>
        <v>144.19</v>
      </c>
      <c r="D10" s="5">
        <f t="shared" si="3"/>
        <v>56</v>
      </c>
      <c r="E10" s="5" t="e">
        <f t="shared" si="0"/>
        <v>#N/A</v>
      </c>
      <c r="H10" s="17">
        <v>8</v>
      </c>
      <c r="I10">
        <v>110071</v>
      </c>
      <c r="J10" t="s">
        <v>97</v>
      </c>
      <c r="K10">
        <v>135.72999999999999</v>
      </c>
      <c r="L10" s="20">
        <v>0.04</v>
      </c>
      <c r="M10" s="21">
        <v>3.6839300000000001</v>
      </c>
      <c r="N10" s="5" t="str">
        <f t="shared" si="4"/>
        <v>未买</v>
      </c>
      <c r="Q10" s="17">
        <v>8</v>
      </c>
      <c r="R10" s="7">
        <v>128040</v>
      </c>
      <c r="S10" s="7" t="s">
        <v>49</v>
      </c>
      <c r="T10" s="7">
        <f t="shared" si="5"/>
        <v>167.89</v>
      </c>
      <c r="U10" s="5" t="str">
        <f t="shared" si="1"/>
        <v>Yes</v>
      </c>
    </row>
    <row r="11" spans="1:21" x14ac:dyDescent="0.15">
      <c r="A11" s="1">
        <v>123137</v>
      </c>
      <c r="B11" s="1" t="s">
        <v>786</v>
      </c>
      <c r="C11" s="7">
        <f t="shared" si="2"/>
        <v>130.29900000000001</v>
      </c>
      <c r="D11" s="5">
        <f t="shared" si="3"/>
        <v>162</v>
      </c>
      <c r="E11" s="5" t="e">
        <f t="shared" si="0"/>
        <v>#N/A</v>
      </c>
      <c r="H11" s="17">
        <v>9</v>
      </c>
      <c r="I11">
        <v>123070</v>
      </c>
      <c r="J11" t="s">
        <v>1821</v>
      </c>
      <c r="K11">
        <v>255</v>
      </c>
      <c r="L11" s="20">
        <v>0.23</v>
      </c>
      <c r="M11" s="21">
        <v>4.176005</v>
      </c>
      <c r="N11" s="5" t="str">
        <f t="shared" si="4"/>
        <v>未买</v>
      </c>
      <c r="Q11" s="17">
        <v>9</v>
      </c>
      <c r="R11" s="7">
        <v>113537</v>
      </c>
      <c r="S11" s="7" t="s">
        <v>822</v>
      </c>
      <c r="T11" s="7">
        <f t="shared" si="5"/>
        <v>320.95</v>
      </c>
      <c r="U11" s="5" t="str">
        <f t="shared" si="1"/>
        <v>未买</v>
      </c>
    </row>
    <row r="12" spans="1:21" x14ac:dyDescent="0.15">
      <c r="A12" s="1">
        <v>127003</v>
      </c>
      <c r="B12" s="1" t="s">
        <v>53</v>
      </c>
      <c r="C12" s="7" t="e">
        <f t="shared" si="2"/>
        <v>#N/A</v>
      </c>
      <c r="D12" s="5" t="e">
        <f t="shared" si="3"/>
        <v>#N/A</v>
      </c>
      <c r="E12" s="5" t="e">
        <f t="shared" si="0"/>
        <v>#N/A</v>
      </c>
      <c r="H12" s="17">
        <v>10</v>
      </c>
      <c r="I12">
        <v>113599</v>
      </c>
      <c r="J12" t="s">
        <v>63</v>
      </c>
      <c r="K12">
        <v>129.13</v>
      </c>
      <c r="L12" s="20">
        <v>0.73</v>
      </c>
      <c r="M12" s="21">
        <v>7.0939699999999997</v>
      </c>
      <c r="N12" s="5" t="str">
        <f t="shared" si="4"/>
        <v>未买</v>
      </c>
      <c r="Q12" s="17">
        <v>10</v>
      </c>
      <c r="R12" s="7">
        <v>113027</v>
      </c>
      <c r="S12" s="7" t="s">
        <v>46</v>
      </c>
      <c r="T12" s="7">
        <f t="shared" si="5"/>
        <v>177.07</v>
      </c>
      <c r="U12" s="5" t="str">
        <f t="shared" si="1"/>
        <v>Yes</v>
      </c>
    </row>
    <row r="13" spans="1:21" x14ac:dyDescent="0.15">
      <c r="A13" s="1">
        <v>127007</v>
      </c>
      <c r="B13" s="1" t="s">
        <v>808</v>
      </c>
      <c r="C13" s="7">
        <f t="shared" si="2"/>
        <v>170.685</v>
      </c>
      <c r="D13" s="5">
        <f t="shared" si="3"/>
        <v>39</v>
      </c>
      <c r="E13" s="5">
        <f t="shared" si="0"/>
        <v>11</v>
      </c>
      <c r="H13" s="17">
        <v>11</v>
      </c>
      <c r="I13">
        <v>127043</v>
      </c>
      <c r="J13" t="s">
        <v>1822</v>
      </c>
      <c r="K13">
        <v>174.5</v>
      </c>
      <c r="L13" s="20">
        <v>1.07</v>
      </c>
      <c r="M13" s="21">
        <v>10.448248</v>
      </c>
      <c r="N13" s="5" t="str">
        <f t="shared" si="4"/>
        <v>未买</v>
      </c>
      <c r="Q13" s="17">
        <v>11</v>
      </c>
      <c r="R13" s="7">
        <v>127007</v>
      </c>
      <c r="S13" s="7" t="s">
        <v>808</v>
      </c>
      <c r="T13" s="7">
        <f t="shared" si="5"/>
        <v>170.685</v>
      </c>
      <c r="U13" s="5" t="str">
        <f t="shared" si="1"/>
        <v>Yes</v>
      </c>
    </row>
    <row r="14" spans="1:21" x14ac:dyDescent="0.15">
      <c r="A14" s="1">
        <v>127030</v>
      </c>
      <c r="B14" s="1" t="s">
        <v>783</v>
      </c>
      <c r="C14" s="7">
        <f t="shared" si="2"/>
        <v>150.58799999999999</v>
      </c>
      <c r="D14" s="5">
        <f t="shared" si="3"/>
        <v>53</v>
      </c>
      <c r="E14" s="5" t="e">
        <f t="shared" si="0"/>
        <v>#N/A</v>
      </c>
      <c r="H14" s="17">
        <v>12</v>
      </c>
      <c r="I14">
        <v>123086</v>
      </c>
      <c r="J14" t="s">
        <v>1816</v>
      </c>
      <c r="K14">
        <v>182.15899999999999</v>
      </c>
      <c r="L14" s="20">
        <v>1.24</v>
      </c>
      <c r="M14" s="21">
        <v>3.9790749999999999</v>
      </c>
      <c r="N14" s="5" t="str">
        <f t="shared" si="4"/>
        <v>未买</v>
      </c>
      <c r="Q14" s="17">
        <v>12</v>
      </c>
      <c r="R14" s="7">
        <v>113016</v>
      </c>
      <c r="S14" s="7" t="s">
        <v>129</v>
      </c>
      <c r="T14" s="7">
        <f t="shared" si="5"/>
        <v>559.84</v>
      </c>
      <c r="U14" s="5" t="str">
        <f t="shared" si="1"/>
        <v>未买</v>
      </c>
    </row>
    <row r="15" spans="1:21" x14ac:dyDescent="0.15">
      <c r="A15" s="1">
        <v>128013</v>
      </c>
      <c r="B15" s="1" t="s">
        <v>52</v>
      </c>
      <c r="C15" s="7">
        <f t="shared" si="2"/>
        <v>110.10599999999999</v>
      </c>
      <c r="D15" s="5">
        <f t="shared" si="3"/>
        <v>19</v>
      </c>
      <c r="E15" s="5">
        <f t="shared" si="0"/>
        <v>21</v>
      </c>
      <c r="H15" s="17">
        <v>13</v>
      </c>
      <c r="I15">
        <v>123092</v>
      </c>
      <c r="J15" t="s">
        <v>1817</v>
      </c>
      <c r="K15">
        <v>212.81100000000001</v>
      </c>
      <c r="L15" s="20">
        <v>1.28</v>
      </c>
      <c r="M15" s="21">
        <v>4.1420399999999997</v>
      </c>
      <c r="N15" s="5" t="str">
        <f t="shared" si="4"/>
        <v>未买</v>
      </c>
      <c r="Q15" s="17">
        <v>13</v>
      </c>
      <c r="R15" s="7">
        <v>113548</v>
      </c>
      <c r="S15" s="7" t="s">
        <v>823</v>
      </c>
      <c r="T15" s="7">
        <f t="shared" si="5"/>
        <v>784.49</v>
      </c>
      <c r="U15" s="5" t="str">
        <f t="shared" si="1"/>
        <v>未买</v>
      </c>
    </row>
    <row r="16" spans="1:21" x14ac:dyDescent="0.15">
      <c r="A16" s="1">
        <v>128025</v>
      </c>
      <c r="B16" s="1" t="s">
        <v>50</v>
      </c>
      <c r="C16" s="7">
        <f t="shared" si="2"/>
        <v>132.04599999999999</v>
      </c>
      <c r="D16" s="5">
        <f t="shared" si="3"/>
        <v>101</v>
      </c>
      <c r="E16" s="5" t="e">
        <f t="shared" si="0"/>
        <v>#N/A</v>
      </c>
      <c r="H16" s="17">
        <v>14</v>
      </c>
      <c r="I16">
        <v>127027</v>
      </c>
      <c r="J16" t="s">
        <v>1815</v>
      </c>
      <c r="K16">
        <v>150.25700000000001</v>
      </c>
      <c r="L16" s="20">
        <v>2.16</v>
      </c>
      <c r="M16" s="21">
        <v>19.474136999999999</v>
      </c>
      <c r="N16" s="5" t="str">
        <f t="shared" si="4"/>
        <v>未买</v>
      </c>
      <c r="Q16" s="17">
        <v>14</v>
      </c>
      <c r="R16" s="7">
        <v>123046</v>
      </c>
      <c r="S16" s="7" t="s">
        <v>824</v>
      </c>
      <c r="T16" s="7">
        <f t="shared" si="5"/>
        <v>334.02199999999999</v>
      </c>
      <c r="U16" s="5" t="str">
        <f t="shared" si="1"/>
        <v>未买</v>
      </c>
    </row>
    <row r="17" spans="1:21" x14ac:dyDescent="0.15">
      <c r="A17" s="1">
        <v>128029</v>
      </c>
      <c r="B17" s="1" t="s">
        <v>799</v>
      </c>
      <c r="C17" s="7">
        <f t="shared" si="2"/>
        <v>159.30000000000001</v>
      </c>
      <c r="D17" s="5">
        <f t="shared" si="3"/>
        <v>40</v>
      </c>
      <c r="E17" s="5">
        <f t="shared" si="0"/>
        <v>18</v>
      </c>
      <c r="H17" s="17">
        <v>15</v>
      </c>
      <c r="I17">
        <v>128114</v>
      </c>
      <c r="J17" t="s">
        <v>1843</v>
      </c>
      <c r="K17">
        <v>106.84099999999999</v>
      </c>
      <c r="L17" s="20">
        <v>2.78</v>
      </c>
      <c r="M17" s="21">
        <v>15.957808999999999</v>
      </c>
      <c r="N17" s="5" t="str">
        <f t="shared" si="4"/>
        <v>未买</v>
      </c>
      <c r="Q17" s="17">
        <v>15</v>
      </c>
      <c r="R17" s="7">
        <v>113568</v>
      </c>
      <c r="S17" s="7" t="s">
        <v>132</v>
      </c>
      <c r="T17" s="7">
        <f t="shared" si="5"/>
        <v>155.29</v>
      </c>
      <c r="U17" s="5" t="str">
        <f t="shared" si="1"/>
        <v>Yes</v>
      </c>
    </row>
    <row r="18" spans="1:21" x14ac:dyDescent="0.15">
      <c r="A18" s="1">
        <v>128036</v>
      </c>
      <c r="B18" s="1" t="s">
        <v>182</v>
      </c>
      <c r="C18" s="7">
        <f t="shared" si="2"/>
        <v>158.30000000000001</v>
      </c>
      <c r="D18" s="5">
        <f t="shared" si="3"/>
        <v>281</v>
      </c>
      <c r="E18" s="5">
        <f t="shared" si="0"/>
        <v>23</v>
      </c>
      <c r="H18" s="17">
        <v>16</v>
      </c>
      <c r="I18">
        <v>123083</v>
      </c>
      <c r="J18" t="s">
        <v>114</v>
      </c>
      <c r="K18">
        <v>195.5</v>
      </c>
      <c r="L18" s="20">
        <v>2.94</v>
      </c>
      <c r="M18" s="21">
        <v>5.4829610000000004</v>
      </c>
      <c r="N18" s="5" t="str">
        <f t="shared" si="4"/>
        <v>未买</v>
      </c>
      <c r="Q18" s="17">
        <v>16</v>
      </c>
      <c r="R18" s="7">
        <v>128106</v>
      </c>
      <c r="S18" s="7" t="s">
        <v>803</v>
      </c>
      <c r="T18" s="7">
        <f t="shared" si="5"/>
        <v>199.99</v>
      </c>
      <c r="U18" s="5" t="str">
        <f t="shared" si="1"/>
        <v>Yes</v>
      </c>
    </row>
    <row r="19" spans="1:21" x14ac:dyDescent="0.15">
      <c r="A19" s="1">
        <v>128037</v>
      </c>
      <c r="B19" s="1" t="s">
        <v>73</v>
      </c>
      <c r="C19" s="7">
        <f t="shared" si="2"/>
        <v>114.655</v>
      </c>
      <c r="D19" s="5">
        <f t="shared" si="3"/>
        <v>156</v>
      </c>
      <c r="E19" s="5" t="e">
        <f t="shared" si="0"/>
        <v>#N/A</v>
      </c>
      <c r="H19" s="17">
        <v>17</v>
      </c>
      <c r="I19">
        <v>113548</v>
      </c>
      <c r="J19" t="s">
        <v>1818</v>
      </c>
      <c r="K19">
        <v>784.49</v>
      </c>
      <c r="L19" s="20">
        <v>2.97</v>
      </c>
      <c r="M19" s="21">
        <v>0.71064000000000005</v>
      </c>
      <c r="N19" s="5" t="str">
        <f t="shared" si="4"/>
        <v>未买</v>
      </c>
      <c r="Q19" s="17">
        <v>17</v>
      </c>
      <c r="R19" s="7">
        <v>128091</v>
      </c>
      <c r="S19" s="7" t="s">
        <v>802</v>
      </c>
      <c r="T19" s="7">
        <f t="shared" si="5"/>
        <v>220.309</v>
      </c>
      <c r="U19" s="5" t="str">
        <f t="shared" si="1"/>
        <v>Yes</v>
      </c>
    </row>
    <row r="20" spans="1:21" x14ac:dyDescent="0.15">
      <c r="A20" s="1">
        <v>128040</v>
      </c>
      <c r="B20" s="1" t="s">
        <v>49</v>
      </c>
      <c r="C20" s="7">
        <f t="shared" si="2"/>
        <v>167.89</v>
      </c>
      <c r="D20" s="5">
        <f t="shared" si="3"/>
        <v>103</v>
      </c>
      <c r="E20" s="5">
        <f t="shared" si="0"/>
        <v>8</v>
      </c>
      <c r="H20" s="17">
        <v>18</v>
      </c>
      <c r="I20">
        <v>113630</v>
      </c>
      <c r="J20" t="s">
        <v>188</v>
      </c>
      <c r="K20">
        <v>145.41999999999999</v>
      </c>
      <c r="L20" s="20">
        <v>4</v>
      </c>
      <c r="M20" s="21">
        <v>6.9971800000000002</v>
      </c>
      <c r="N20" s="5" t="str">
        <f t="shared" si="4"/>
        <v>未买</v>
      </c>
      <c r="Q20" s="17">
        <v>18</v>
      </c>
      <c r="R20" s="7">
        <v>128029</v>
      </c>
      <c r="S20" s="7" t="s">
        <v>799</v>
      </c>
      <c r="T20" s="7">
        <f t="shared" si="5"/>
        <v>159.30000000000001</v>
      </c>
      <c r="U20" s="5" t="str">
        <f t="shared" si="1"/>
        <v>Yes</v>
      </c>
    </row>
    <row r="21" spans="1:21" x14ac:dyDescent="0.15">
      <c r="A21" s="1">
        <v>128046</v>
      </c>
      <c r="B21" s="1" t="s">
        <v>800</v>
      </c>
      <c r="C21" s="7">
        <f t="shared" si="2"/>
        <v>198.797</v>
      </c>
      <c r="D21" s="5">
        <f t="shared" si="3"/>
        <v>3</v>
      </c>
      <c r="E21" s="5">
        <f t="shared" si="0"/>
        <v>32</v>
      </c>
      <c r="H21" s="17">
        <v>19</v>
      </c>
      <c r="I21">
        <v>128013</v>
      </c>
      <c r="J21" t="s">
        <v>52</v>
      </c>
      <c r="K21">
        <v>110.10599999999999</v>
      </c>
      <c r="L21" s="20">
        <v>4.24</v>
      </c>
      <c r="M21" s="21">
        <v>7.7974889999999997</v>
      </c>
      <c r="N21" s="5" t="str">
        <f t="shared" si="4"/>
        <v>Yes</v>
      </c>
      <c r="Q21" s="17">
        <v>19</v>
      </c>
      <c r="R21" s="7">
        <v>113504</v>
      </c>
      <c r="S21" s="7" t="s">
        <v>128</v>
      </c>
      <c r="T21" s="7">
        <f t="shared" si="5"/>
        <v>148.56</v>
      </c>
      <c r="U21" s="5" t="str">
        <f t="shared" si="1"/>
        <v>Yes</v>
      </c>
    </row>
    <row r="22" spans="1:21" x14ac:dyDescent="0.15">
      <c r="A22" s="1">
        <v>128053</v>
      </c>
      <c r="B22" s="1" t="s">
        <v>61</v>
      </c>
      <c r="C22" s="7">
        <f t="shared" si="2"/>
        <v>141.45599999999999</v>
      </c>
      <c r="D22" s="5">
        <f t="shared" si="3"/>
        <v>272</v>
      </c>
      <c r="E22" s="5" t="e">
        <f t="shared" si="0"/>
        <v>#N/A</v>
      </c>
      <c r="H22" s="17">
        <v>20</v>
      </c>
      <c r="I22">
        <v>128106</v>
      </c>
      <c r="J22" t="s">
        <v>1828</v>
      </c>
      <c r="K22">
        <v>199.99</v>
      </c>
      <c r="L22" s="20">
        <v>4.63</v>
      </c>
      <c r="M22" s="21">
        <v>2.8922729999999999</v>
      </c>
      <c r="N22" s="5" t="str">
        <f t="shared" si="4"/>
        <v>Yes</v>
      </c>
      <c r="Q22" s="17">
        <v>20</v>
      </c>
      <c r="R22" s="7">
        <v>128111</v>
      </c>
      <c r="S22" s="7" t="s">
        <v>825</v>
      </c>
      <c r="T22" s="7">
        <f t="shared" si="5"/>
        <v>760.05</v>
      </c>
      <c r="U22" s="5" t="str">
        <f t="shared" si="1"/>
        <v>未买</v>
      </c>
    </row>
    <row r="23" spans="1:21" x14ac:dyDescent="0.15">
      <c r="A23" s="1">
        <v>128066</v>
      </c>
      <c r="B23" s="1" t="s">
        <v>99</v>
      </c>
      <c r="C23" s="7">
        <f t="shared" si="2"/>
        <v>116.895</v>
      </c>
      <c r="D23" s="5">
        <f t="shared" si="3"/>
        <v>124</v>
      </c>
      <c r="E23" s="5" t="e">
        <f t="shared" si="0"/>
        <v>#N/A</v>
      </c>
      <c r="H23" s="17">
        <v>21</v>
      </c>
      <c r="I23">
        <v>110084</v>
      </c>
      <c r="J23" t="s">
        <v>276</v>
      </c>
      <c r="K23">
        <v>125.41</v>
      </c>
      <c r="L23" s="20">
        <v>4.7</v>
      </c>
      <c r="M23" s="21">
        <v>10</v>
      </c>
      <c r="N23" s="5" t="str">
        <f t="shared" si="4"/>
        <v>未买</v>
      </c>
      <c r="Q23" s="17">
        <v>21</v>
      </c>
      <c r="R23" s="7">
        <v>128013</v>
      </c>
      <c r="S23" s="7" t="s">
        <v>52</v>
      </c>
      <c r="T23" s="7">
        <f t="shared" si="5"/>
        <v>110.10599999999999</v>
      </c>
      <c r="U23" s="5" t="str">
        <f t="shared" si="1"/>
        <v>Yes</v>
      </c>
    </row>
    <row r="24" spans="1:21" x14ac:dyDescent="0.15">
      <c r="A24" s="1">
        <v>128076</v>
      </c>
      <c r="B24" s="1" t="s">
        <v>130</v>
      </c>
      <c r="C24" s="7">
        <f t="shared" si="2"/>
        <v>125.8</v>
      </c>
      <c r="D24" s="5">
        <f t="shared" si="3"/>
        <v>192</v>
      </c>
      <c r="E24" s="5">
        <f t="shared" si="0"/>
        <v>34</v>
      </c>
      <c r="H24" s="17">
        <v>22</v>
      </c>
      <c r="I24">
        <v>110085</v>
      </c>
      <c r="J24" t="s">
        <v>1852</v>
      </c>
      <c r="K24">
        <v>148.96</v>
      </c>
      <c r="L24" s="20">
        <v>4.84</v>
      </c>
      <c r="M24" s="21">
        <v>120</v>
      </c>
      <c r="N24" s="5" t="str">
        <f t="shared" si="4"/>
        <v>未买</v>
      </c>
      <c r="Q24" s="17">
        <v>22</v>
      </c>
      <c r="R24" s="7">
        <v>113039</v>
      </c>
      <c r="S24" s="7" t="s">
        <v>45</v>
      </c>
      <c r="T24" s="7">
        <f t="shared" si="5"/>
        <v>139.36000000000001</v>
      </c>
      <c r="U24" s="5" t="str">
        <f t="shared" si="1"/>
        <v>Yes</v>
      </c>
    </row>
    <row r="25" spans="1:21" x14ac:dyDescent="0.15">
      <c r="A25" s="1">
        <v>128085</v>
      </c>
      <c r="B25" s="1" t="s">
        <v>801</v>
      </c>
      <c r="C25" s="7">
        <f t="shared" si="2"/>
        <v>118.762</v>
      </c>
      <c r="D25" s="5">
        <f t="shared" si="3"/>
        <v>122</v>
      </c>
      <c r="E25" s="5">
        <f t="shared" si="0"/>
        <v>4</v>
      </c>
      <c r="H25" s="17">
        <v>23</v>
      </c>
      <c r="I25">
        <v>123085</v>
      </c>
      <c r="J25" t="s">
        <v>1827</v>
      </c>
      <c r="K25">
        <v>150</v>
      </c>
      <c r="L25" s="20">
        <v>5.09</v>
      </c>
      <c r="M25" s="21">
        <v>8.4948669999999993</v>
      </c>
      <c r="N25" s="5" t="str">
        <f t="shared" si="4"/>
        <v>未买</v>
      </c>
      <c r="Q25" s="17">
        <v>23</v>
      </c>
      <c r="R25" s="7">
        <v>128036</v>
      </c>
      <c r="S25" s="7" t="s">
        <v>182</v>
      </c>
      <c r="T25" s="7">
        <f t="shared" si="5"/>
        <v>158.30000000000001</v>
      </c>
      <c r="U25" s="5" t="str">
        <f t="shared" si="1"/>
        <v>Yes</v>
      </c>
    </row>
    <row r="26" spans="1:21" x14ac:dyDescent="0.15">
      <c r="A26" s="1">
        <v>128091</v>
      </c>
      <c r="B26" s="1" t="s">
        <v>802</v>
      </c>
      <c r="C26" s="7">
        <f t="shared" si="2"/>
        <v>220.309</v>
      </c>
      <c r="D26" s="5">
        <f t="shared" si="3"/>
        <v>284</v>
      </c>
      <c r="E26" s="5">
        <f t="shared" si="0"/>
        <v>17</v>
      </c>
      <c r="H26" s="17">
        <v>24</v>
      </c>
      <c r="I26">
        <v>113615</v>
      </c>
      <c r="J26" t="s">
        <v>1820</v>
      </c>
      <c r="K26">
        <v>180.45</v>
      </c>
      <c r="L26" s="20">
        <v>5.0999999999999996</v>
      </c>
      <c r="M26" s="21">
        <v>8.4798799999999996</v>
      </c>
      <c r="N26" s="5" t="str">
        <f t="shared" si="4"/>
        <v>未买</v>
      </c>
      <c r="Q26" s="17">
        <v>24</v>
      </c>
      <c r="R26" s="7">
        <v>113570</v>
      </c>
      <c r="S26" s="7" t="s">
        <v>42</v>
      </c>
      <c r="T26" s="7">
        <f t="shared" si="5"/>
        <v>126.91</v>
      </c>
      <c r="U26" s="5" t="str">
        <f t="shared" si="1"/>
        <v>Yes</v>
      </c>
    </row>
    <row r="27" spans="1:21" x14ac:dyDescent="0.15">
      <c r="A27" s="1">
        <v>128100</v>
      </c>
      <c r="B27" s="1" t="s">
        <v>48</v>
      </c>
      <c r="C27" s="7">
        <f t="shared" si="2"/>
        <v>97.472999999999999</v>
      </c>
      <c r="D27" s="5">
        <f t="shared" si="3"/>
        <v>148</v>
      </c>
      <c r="E27" s="5">
        <f t="shared" si="0"/>
        <v>3</v>
      </c>
      <c r="H27" s="17">
        <v>25</v>
      </c>
      <c r="I27">
        <v>113620</v>
      </c>
      <c r="J27" t="s">
        <v>1864</v>
      </c>
      <c r="K27">
        <v>145.41999999999999</v>
      </c>
      <c r="L27" s="20">
        <v>5.12</v>
      </c>
      <c r="M27" s="21">
        <v>8.4636899999999997</v>
      </c>
      <c r="N27" s="5" t="str">
        <f t="shared" si="4"/>
        <v>未买</v>
      </c>
      <c r="Q27" s="17">
        <v>25</v>
      </c>
      <c r="R27" s="7">
        <v>128017</v>
      </c>
      <c r="S27" s="7" t="s">
        <v>826</v>
      </c>
      <c r="T27" s="7">
        <f t="shared" si="5"/>
        <v>212.88</v>
      </c>
      <c r="U27" s="5" t="str">
        <f t="shared" si="1"/>
        <v>未买</v>
      </c>
    </row>
    <row r="28" spans="1:21" x14ac:dyDescent="0.15">
      <c r="A28" s="1">
        <v>128106</v>
      </c>
      <c r="B28" s="1" t="s">
        <v>803</v>
      </c>
      <c r="C28" s="7">
        <f t="shared" si="2"/>
        <v>199.99</v>
      </c>
      <c r="D28" s="5">
        <f t="shared" si="3"/>
        <v>20</v>
      </c>
      <c r="E28" s="5">
        <f t="shared" si="0"/>
        <v>16</v>
      </c>
      <c r="H28" s="17">
        <v>26</v>
      </c>
      <c r="I28">
        <v>128141</v>
      </c>
      <c r="J28" t="s">
        <v>1826</v>
      </c>
      <c r="K28">
        <v>137.12200000000001</v>
      </c>
      <c r="L28" s="20">
        <v>7.87</v>
      </c>
      <c r="M28" s="21">
        <v>12.701738000000001</v>
      </c>
      <c r="N28" s="5" t="str">
        <f t="shared" si="4"/>
        <v>未买</v>
      </c>
      <c r="Q28" s="17">
        <v>26</v>
      </c>
      <c r="R28" s="7">
        <v>123057</v>
      </c>
      <c r="S28" s="7" t="s">
        <v>795</v>
      </c>
      <c r="T28" s="7">
        <f t="shared" si="5"/>
        <v>164.5</v>
      </c>
      <c r="U28" s="5" t="str">
        <f t="shared" si="1"/>
        <v>Yes</v>
      </c>
    </row>
    <row r="29" spans="1:21" x14ac:dyDescent="0.15">
      <c r="A29" s="1">
        <v>113027</v>
      </c>
      <c r="B29" s="1" t="s">
        <v>46</v>
      </c>
      <c r="C29" s="7">
        <f t="shared" si="2"/>
        <v>177.07</v>
      </c>
      <c r="D29" s="5">
        <f t="shared" si="3"/>
        <v>88</v>
      </c>
      <c r="E29" s="5">
        <f t="shared" si="0"/>
        <v>10</v>
      </c>
      <c r="H29" s="17">
        <v>27</v>
      </c>
      <c r="I29">
        <v>113626</v>
      </c>
      <c r="J29" t="s">
        <v>1836</v>
      </c>
      <c r="K29">
        <v>228.08</v>
      </c>
      <c r="L29" s="20">
        <v>8.25</v>
      </c>
      <c r="M29" s="21">
        <v>9.0145</v>
      </c>
      <c r="N29" s="5" t="str">
        <f t="shared" si="4"/>
        <v>未买</v>
      </c>
      <c r="Q29" s="17">
        <v>27</v>
      </c>
      <c r="R29" s="7">
        <v>113030</v>
      </c>
      <c r="S29" s="7" t="s">
        <v>96</v>
      </c>
      <c r="T29" s="7">
        <f t="shared" si="5"/>
        <v>125.79</v>
      </c>
      <c r="U29" s="5" t="str">
        <f t="shared" si="1"/>
        <v>未买</v>
      </c>
    </row>
    <row r="30" spans="1:21" x14ac:dyDescent="0.15">
      <c r="A30" s="1">
        <v>113039</v>
      </c>
      <c r="B30" s="1" t="s">
        <v>45</v>
      </c>
      <c r="C30" s="7">
        <f t="shared" si="2"/>
        <v>139.36000000000001</v>
      </c>
      <c r="D30" s="5">
        <f t="shared" si="3"/>
        <v>60</v>
      </c>
      <c r="E30" s="5">
        <f t="shared" si="0"/>
        <v>22</v>
      </c>
      <c r="H30" s="17">
        <v>28</v>
      </c>
      <c r="I30">
        <v>128128</v>
      </c>
      <c r="J30" t="s">
        <v>1830</v>
      </c>
      <c r="K30">
        <v>158.11500000000001</v>
      </c>
      <c r="L30" s="20">
        <v>8.26</v>
      </c>
      <c r="M30" s="21">
        <v>6.8042189999999998</v>
      </c>
      <c r="N30" s="5" t="str">
        <f t="shared" si="4"/>
        <v>未买</v>
      </c>
      <c r="Q30" s="17">
        <v>28</v>
      </c>
      <c r="R30" s="7">
        <v>123060</v>
      </c>
      <c r="S30" s="7" t="s">
        <v>827</v>
      </c>
      <c r="T30" s="7">
        <f t="shared" si="5"/>
        <v>187.1</v>
      </c>
      <c r="U30" s="5" t="str">
        <f t="shared" si="1"/>
        <v>未买</v>
      </c>
    </row>
    <row r="31" spans="1:21" x14ac:dyDescent="0.15">
      <c r="A31" s="1">
        <v>113504</v>
      </c>
      <c r="B31" s="1" t="s">
        <v>128</v>
      </c>
      <c r="C31" s="7">
        <f t="shared" si="2"/>
        <v>148.56</v>
      </c>
      <c r="D31" s="5">
        <f t="shared" si="3"/>
        <v>54</v>
      </c>
      <c r="E31" s="5">
        <f t="shared" si="0"/>
        <v>19</v>
      </c>
      <c r="H31" s="17">
        <v>29</v>
      </c>
      <c r="I31">
        <v>128081</v>
      </c>
      <c r="J31" t="s">
        <v>92</v>
      </c>
      <c r="K31">
        <v>128.001</v>
      </c>
      <c r="L31" s="20">
        <v>8.33</v>
      </c>
      <c r="M31" s="21">
        <v>30.054901000000001</v>
      </c>
      <c r="N31" s="5" t="str">
        <f t="shared" si="4"/>
        <v>未买</v>
      </c>
      <c r="Q31" s="17">
        <v>29</v>
      </c>
      <c r="R31" s="7">
        <v>123083</v>
      </c>
      <c r="S31" s="7" t="s">
        <v>114</v>
      </c>
      <c r="T31" s="7">
        <f t="shared" si="5"/>
        <v>195.5</v>
      </c>
      <c r="U31" s="5" t="str">
        <f t="shared" si="1"/>
        <v>未买</v>
      </c>
    </row>
    <row r="32" spans="1:21" x14ac:dyDescent="0.15">
      <c r="A32" s="1">
        <v>113525</v>
      </c>
      <c r="B32" s="1" t="s">
        <v>134</v>
      </c>
      <c r="C32" s="7">
        <f t="shared" si="2"/>
        <v>185.86</v>
      </c>
      <c r="D32" s="5">
        <f t="shared" si="3"/>
        <v>57</v>
      </c>
      <c r="E32" s="5">
        <f t="shared" si="0"/>
        <v>6</v>
      </c>
      <c r="H32" s="17">
        <v>30</v>
      </c>
      <c r="I32">
        <v>128095</v>
      </c>
      <c r="J32" t="s">
        <v>1841</v>
      </c>
      <c r="K32">
        <v>402.40600000000001</v>
      </c>
      <c r="L32" s="20">
        <v>8.39</v>
      </c>
      <c r="M32" s="21">
        <v>4.539485</v>
      </c>
      <c r="N32" s="5" t="str">
        <f t="shared" si="4"/>
        <v>未买</v>
      </c>
      <c r="Q32" s="17">
        <v>30</v>
      </c>
      <c r="R32" s="7">
        <v>113534</v>
      </c>
      <c r="S32" s="7" t="s">
        <v>828</v>
      </c>
      <c r="T32" s="7">
        <f t="shared" si="5"/>
        <v>273.58</v>
      </c>
      <c r="U32" s="5" t="str">
        <f t="shared" si="1"/>
        <v>未买</v>
      </c>
    </row>
    <row r="33" spans="1:21" x14ac:dyDescent="0.15">
      <c r="A33" s="1">
        <v>113526</v>
      </c>
      <c r="B33" s="1" t="s">
        <v>144</v>
      </c>
      <c r="C33" s="7">
        <f t="shared" si="2"/>
        <v>149.54</v>
      </c>
      <c r="D33" s="5">
        <f t="shared" si="3"/>
        <v>245</v>
      </c>
      <c r="E33" s="5" t="e">
        <f t="shared" si="0"/>
        <v>#N/A</v>
      </c>
      <c r="H33" s="17">
        <v>31</v>
      </c>
      <c r="I33">
        <v>123057</v>
      </c>
      <c r="J33" t="s">
        <v>1855</v>
      </c>
      <c r="K33">
        <v>164.5</v>
      </c>
      <c r="L33" s="20">
        <v>8.4499999999999993</v>
      </c>
      <c r="M33" s="21">
        <v>2.0650419999999996</v>
      </c>
      <c r="N33" s="5" t="str">
        <f t="shared" si="4"/>
        <v>Yes</v>
      </c>
      <c r="Q33" s="17">
        <v>31</v>
      </c>
      <c r="R33" s="7">
        <v>128128</v>
      </c>
      <c r="S33" s="7" t="s">
        <v>829</v>
      </c>
      <c r="T33" s="7">
        <f t="shared" si="5"/>
        <v>158.11500000000001</v>
      </c>
      <c r="U33" s="5" t="str">
        <f t="shared" si="1"/>
        <v>未买</v>
      </c>
    </row>
    <row r="34" spans="1:21" x14ac:dyDescent="0.15">
      <c r="A34" s="1">
        <v>113541</v>
      </c>
      <c r="B34" s="1" t="s">
        <v>44</v>
      </c>
      <c r="C34" s="7">
        <f t="shared" si="2"/>
        <v>128.36000000000001</v>
      </c>
      <c r="D34" s="5">
        <f t="shared" si="3"/>
        <v>6</v>
      </c>
      <c r="E34" s="5">
        <f t="shared" si="0"/>
        <v>2</v>
      </c>
      <c r="H34" s="17">
        <v>32</v>
      </c>
      <c r="I34">
        <v>110068</v>
      </c>
      <c r="J34" t="s">
        <v>1839</v>
      </c>
      <c r="K34">
        <v>133.08000000000001</v>
      </c>
      <c r="L34" s="20">
        <v>8.75</v>
      </c>
      <c r="M34" s="21">
        <v>19.99512</v>
      </c>
      <c r="N34" s="5" t="str">
        <f t="shared" si="4"/>
        <v>未买</v>
      </c>
      <c r="Q34" s="17">
        <v>32</v>
      </c>
      <c r="R34" s="7">
        <v>128046</v>
      </c>
      <c r="S34" s="7" t="s">
        <v>800</v>
      </c>
      <c r="T34" s="7">
        <f t="shared" si="5"/>
        <v>198.797</v>
      </c>
      <c r="U34" s="5" t="str">
        <f t="shared" si="1"/>
        <v>Yes</v>
      </c>
    </row>
    <row r="35" spans="1:21" x14ac:dyDescent="0.15">
      <c r="A35" s="1">
        <v>113565</v>
      </c>
      <c r="B35" s="1" t="s">
        <v>123</v>
      </c>
      <c r="C35" s="7">
        <f t="shared" si="2"/>
        <v>124.3</v>
      </c>
      <c r="D35" s="5">
        <f t="shared" si="3"/>
        <v>258</v>
      </c>
      <c r="E35" s="5" t="e">
        <f t="shared" si="0"/>
        <v>#N/A</v>
      </c>
      <c r="H35" s="17">
        <v>33</v>
      </c>
      <c r="I35">
        <v>113534</v>
      </c>
      <c r="J35" t="s">
        <v>828</v>
      </c>
      <c r="K35">
        <v>273.58</v>
      </c>
      <c r="L35" s="20">
        <v>8.86</v>
      </c>
      <c r="M35" s="21">
        <v>4.0373599999999996</v>
      </c>
      <c r="N35" s="5" t="str">
        <f t="shared" si="4"/>
        <v>未买</v>
      </c>
      <c r="Q35" s="17">
        <v>33</v>
      </c>
      <c r="R35" s="7">
        <v>123045</v>
      </c>
      <c r="S35" s="7" t="s">
        <v>109</v>
      </c>
      <c r="T35" s="7">
        <f t="shared" si="5"/>
        <v>145.48500000000001</v>
      </c>
      <c r="U35" s="5" t="str">
        <f t="shared" ref="U35:U37" si="6">IF(ISNA(MATCH(R35,$A$2:$A$301,0)),"未买","Yes")</f>
        <v>Yes</v>
      </c>
    </row>
    <row r="36" spans="1:21" x14ac:dyDescent="0.15">
      <c r="A36" s="1">
        <v>113567</v>
      </c>
      <c r="B36" s="1" t="s">
        <v>43</v>
      </c>
      <c r="C36" s="7">
        <f t="shared" si="2"/>
        <v>137.91999999999999</v>
      </c>
      <c r="D36" s="5">
        <f t="shared" si="3"/>
        <v>121</v>
      </c>
      <c r="E36" s="5">
        <f t="shared" si="0"/>
        <v>5</v>
      </c>
      <c r="H36" s="17">
        <v>34</v>
      </c>
      <c r="I36">
        <v>110061</v>
      </c>
      <c r="J36" t="s">
        <v>1831</v>
      </c>
      <c r="K36">
        <v>141.69999999999999</v>
      </c>
      <c r="L36" s="20">
        <v>9.5500000000000007</v>
      </c>
      <c r="M36" s="21">
        <v>39.615589999999997</v>
      </c>
      <c r="N36" s="5" t="str">
        <f t="shared" si="4"/>
        <v>未买</v>
      </c>
      <c r="Q36" s="17">
        <v>34</v>
      </c>
      <c r="R36" s="7">
        <v>128076</v>
      </c>
      <c r="S36" s="7" t="s">
        <v>130</v>
      </c>
      <c r="T36" s="7">
        <f t="shared" si="5"/>
        <v>125.8</v>
      </c>
      <c r="U36" s="5" t="str">
        <f t="shared" si="6"/>
        <v>Yes</v>
      </c>
    </row>
    <row r="37" spans="1:21" x14ac:dyDescent="0.15">
      <c r="A37" s="1">
        <v>113568</v>
      </c>
      <c r="B37" s="1" t="s">
        <v>132</v>
      </c>
      <c r="C37" s="7">
        <f t="shared" si="2"/>
        <v>155.29</v>
      </c>
      <c r="D37" s="5">
        <f t="shared" si="3"/>
        <v>1</v>
      </c>
      <c r="E37" s="5">
        <f t="shared" si="0"/>
        <v>15</v>
      </c>
      <c r="H37" s="17">
        <v>35</v>
      </c>
      <c r="I37">
        <v>110053</v>
      </c>
      <c r="J37" t="s">
        <v>1837</v>
      </c>
      <c r="K37">
        <v>123.03</v>
      </c>
      <c r="L37" s="20">
        <v>9.6199999999999992</v>
      </c>
      <c r="M37" s="21">
        <v>199.99203</v>
      </c>
      <c r="N37" s="5" t="str">
        <f t="shared" si="4"/>
        <v>未买</v>
      </c>
      <c r="Q37" s="17">
        <v>35</v>
      </c>
      <c r="R37" s="7">
        <v>110055</v>
      </c>
      <c r="S37" s="7" t="s">
        <v>830</v>
      </c>
      <c r="T37" s="7">
        <f t="shared" si="5"/>
        <v>210.94</v>
      </c>
      <c r="U37" s="5" t="str">
        <f t="shared" si="6"/>
        <v>未买</v>
      </c>
    </row>
    <row r="38" spans="1:21" x14ac:dyDescent="0.15">
      <c r="A38" s="1">
        <v>113570</v>
      </c>
      <c r="B38" s="1" t="s">
        <v>42</v>
      </c>
      <c r="C38" s="7">
        <f t="shared" si="2"/>
        <v>126.91</v>
      </c>
      <c r="D38" s="5">
        <f t="shared" si="3"/>
        <v>72</v>
      </c>
      <c r="E38" s="5">
        <f t="shared" si="0"/>
        <v>24</v>
      </c>
      <c r="H38" s="17">
        <v>36</v>
      </c>
      <c r="I38">
        <v>110077</v>
      </c>
      <c r="J38" t="s">
        <v>1835</v>
      </c>
      <c r="K38">
        <v>131</v>
      </c>
      <c r="L38" s="20">
        <v>9.8699999999999992</v>
      </c>
      <c r="M38" s="21">
        <v>17.676639999999999</v>
      </c>
      <c r="N38" s="5" t="str">
        <f t="shared" si="4"/>
        <v>未买</v>
      </c>
      <c r="Q38" s="17">
        <v>36</v>
      </c>
      <c r="U38" s="5"/>
    </row>
    <row r="39" spans="1:21" x14ac:dyDescent="0.15">
      <c r="A39" s="1">
        <v>113585</v>
      </c>
      <c r="B39" s="1" t="s">
        <v>809</v>
      </c>
      <c r="C39" s="7">
        <f t="shared" si="2"/>
        <v>204.18</v>
      </c>
      <c r="D39" s="5">
        <f t="shared" si="3"/>
        <v>42</v>
      </c>
      <c r="E39" s="5">
        <f t="shared" si="0"/>
        <v>7</v>
      </c>
      <c r="H39" s="17">
        <v>37</v>
      </c>
      <c r="I39">
        <v>113537</v>
      </c>
      <c r="J39" t="s">
        <v>1832</v>
      </c>
      <c r="K39">
        <v>320.95</v>
      </c>
      <c r="L39" s="20">
        <v>10.58</v>
      </c>
      <c r="M39" s="21">
        <v>1.40395</v>
      </c>
      <c r="N39" s="5" t="str">
        <f t="shared" si="4"/>
        <v>未买</v>
      </c>
      <c r="Q39" s="17">
        <v>37</v>
      </c>
      <c r="U39" s="5"/>
    </row>
    <row r="40" spans="1:21" x14ac:dyDescent="0.15">
      <c r="A40" s="1">
        <v>113591</v>
      </c>
      <c r="B40" s="1" t="s">
        <v>41</v>
      </c>
      <c r="C40" s="7">
        <f t="shared" si="2"/>
        <v>120.61</v>
      </c>
      <c r="D40" s="5">
        <f t="shared" si="3"/>
        <v>59</v>
      </c>
      <c r="E40" s="5" t="e">
        <f t="shared" si="0"/>
        <v>#N/A</v>
      </c>
      <c r="H40" s="17">
        <v>38</v>
      </c>
      <c r="I40">
        <v>113055</v>
      </c>
      <c r="J40" t="s">
        <v>1853</v>
      </c>
      <c r="K40">
        <v>128.19999999999999</v>
      </c>
      <c r="L40" s="20">
        <v>10.68</v>
      </c>
      <c r="M40" s="21">
        <v>80</v>
      </c>
      <c r="N40" s="5" t="str">
        <f t="shared" si="4"/>
        <v>未买</v>
      </c>
      <c r="Q40" s="17">
        <v>38</v>
      </c>
      <c r="U40" s="5"/>
    </row>
    <row r="41" spans="1:21" x14ac:dyDescent="0.15">
      <c r="D41" s="5"/>
      <c r="E41" s="5"/>
      <c r="H41" s="17">
        <v>39</v>
      </c>
      <c r="I41">
        <v>127007</v>
      </c>
      <c r="J41" t="s">
        <v>1834</v>
      </c>
      <c r="K41">
        <v>170.685</v>
      </c>
      <c r="L41" s="20">
        <v>11.14</v>
      </c>
      <c r="M41" s="21">
        <v>3.6974049999999998</v>
      </c>
      <c r="N41" s="5" t="str">
        <f t="shared" si="4"/>
        <v>Yes</v>
      </c>
      <c r="Q41" s="17">
        <v>39</v>
      </c>
      <c r="U41" s="5"/>
    </row>
    <row r="42" spans="1:21" x14ac:dyDescent="0.15">
      <c r="D42" s="5"/>
      <c r="E42" s="5"/>
      <c r="H42" s="17">
        <v>40</v>
      </c>
      <c r="I42">
        <v>128029</v>
      </c>
      <c r="J42" t="s">
        <v>1844</v>
      </c>
      <c r="K42">
        <v>159.30000000000001</v>
      </c>
      <c r="L42" s="20">
        <v>11.24</v>
      </c>
      <c r="M42" s="21">
        <v>9.0859769999999997</v>
      </c>
      <c r="N42" s="5" t="str">
        <f t="shared" si="4"/>
        <v>Yes</v>
      </c>
      <c r="Q42" s="17">
        <v>40</v>
      </c>
      <c r="U42" s="5"/>
    </row>
    <row r="43" spans="1:21" x14ac:dyDescent="0.15">
      <c r="D43" s="5"/>
      <c r="E43" s="5"/>
      <c r="H43" s="17">
        <v>41</v>
      </c>
      <c r="I43">
        <v>113025</v>
      </c>
      <c r="J43" t="s">
        <v>1824</v>
      </c>
      <c r="K43">
        <v>334.49</v>
      </c>
      <c r="L43" s="20">
        <v>11.26</v>
      </c>
      <c r="M43" s="21">
        <v>10.147880000000001</v>
      </c>
      <c r="N43" s="5" t="str">
        <f t="shared" si="4"/>
        <v>未买</v>
      </c>
      <c r="Q43" s="17">
        <v>41</v>
      </c>
    </row>
    <row r="44" spans="1:21" x14ac:dyDescent="0.15">
      <c r="D44" s="5"/>
      <c r="E44" s="5"/>
      <c r="H44" s="17">
        <v>42</v>
      </c>
      <c r="I44">
        <v>113585</v>
      </c>
      <c r="J44" t="s">
        <v>1829</v>
      </c>
      <c r="K44">
        <v>204.18</v>
      </c>
      <c r="L44" s="20">
        <v>11.41</v>
      </c>
      <c r="M44" s="21">
        <v>1.00258</v>
      </c>
      <c r="N44" s="5" t="str">
        <f t="shared" si="4"/>
        <v>Yes</v>
      </c>
      <c r="Q44" s="17">
        <v>42</v>
      </c>
    </row>
    <row r="45" spans="1:21" x14ac:dyDescent="0.15">
      <c r="D45" s="5"/>
      <c r="E45" s="5"/>
      <c r="H45" s="17">
        <v>43</v>
      </c>
      <c r="I45">
        <v>123063</v>
      </c>
      <c r="J45" t="s">
        <v>91</v>
      </c>
      <c r="K45">
        <v>133.15799999999999</v>
      </c>
      <c r="L45" s="20">
        <v>11.44</v>
      </c>
      <c r="M45" s="21">
        <v>6.3456590000000004</v>
      </c>
      <c r="N45" s="5" t="str">
        <f t="shared" si="4"/>
        <v>未买</v>
      </c>
      <c r="Q45" s="17">
        <v>43</v>
      </c>
    </row>
    <row r="46" spans="1:21" x14ac:dyDescent="0.15">
      <c r="D46" s="5"/>
      <c r="E46" s="5"/>
      <c r="H46" s="17">
        <v>44</v>
      </c>
      <c r="I46">
        <v>128139</v>
      </c>
      <c r="J46" t="s">
        <v>164</v>
      </c>
      <c r="K46">
        <v>134.999</v>
      </c>
      <c r="L46" s="20">
        <v>11.44</v>
      </c>
      <c r="M46" s="21">
        <v>6.4690849999999998</v>
      </c>
      <c r="N46" s="5" t="str">
        <f t="shared" si="4"/>
        <v>未买</v>
      </c>
      <c r="Q46" s="17">
        <v>44</v>
      </c>
    </row>
    <row r="47" spans="1:21" x14ac:dyDescent="0.15">
      <c r="D47" s="5"/>
      <c r="E47" s="5"/>
      <c r="H47" s="17">
        <v>45</v>
      </c>
      <c r="I47">
        <v>128130</v>
      </c>
      <c r="J47" t="s">
        <v>106</v>
      </c>
      <c r="K47">
        <v>123.831</v>
      </c>
      <c r="L47" s="20">
        <v>11.68</v>
      </c>
      <c r="M47" s="21">
        <v>9.9868059999999996</v>
      </c>
      <c r="N47" s="5" t="str">
        <f t="shared" si="4"/>
        <v>未买</v>
      </c>
      <c r="Q47" s="17">
        <v>45</v>
      </c>
    </row>
    <row r="48" spans="1:21" x14ac:dyDescent="0.15">
      <c r="D48" s="5"/>
      <c r="E48" s="5"/>
      <c r="H48" s="17">
        <v>46</v>
      </c>
      <c r="I48">
        <v>113050</v>
      </c>
      <c r="J48" t="s">
        <v>1840</v>
      </c>
      <c r="K48">
        <v>124.58</v>
      </c>
      <c r="L48" s="20">
        <v>11.72</v>
      </c>
      <c r="M48" s="21">
        <v>169.83022</v>
      </c>
      <c r="N48" s="5" t="str">
        <f t="shared" si="4"/>
        <v>未买</v>
      </c>
      <c r="Q48" s="17">
        <v>46</v>
      </c>
    </row>
    <row r="49" spans="4:17" x14ac:dyDescent="0.15">
      <c r="D49" s="5"/>
      <c r="E49" s="5"/>
      <c r="H49" s="17">
        <v>47</v>
      </c>
      <c r="I49">
        <v>128048</v>
      </c>
      <c r="J49" t="s">
        <v>1847</v>
      </c>
      <c r="K49">
        <v>126.529</v>
      </c>
      <c r="L49" s="20">
        <v>11.95</v>
      </c>
      <c r="M49" s="21">
        <v>24.970395</v>
      </c>
      <c r="N49" s="5" t="str">
        <f t="shared" si="4"/>
        <v>未买</v>
      </c>
      <c r="Q49" s="17">
        <v>47</v>
      </c>
    </row>
    <row r="50" spans="4:17" x14ac:dyDescent="0.15">
      <c r="D50" s="5"/>
      <c r="E50" s="5"/>
      <c r="H50" s="17">
        <v>48</v>
      </c>
      <c r="I50">
        <v>123107</v>
      </c>
      <c r="J50" t="s">
        <v>1876</v>
      </c>
      <c r="K50">
        <v>129.399</v>
      </c>
      <c r="L50" s="20">
        <v>11.99</v>
      </c>
      <c r="M50" s="21">
        <v>92.962683999999996</v>
      </c>
      <c r="N50" s="5" t="str">
        <f t="shared" si="4"/>
        <v>未买</v>
      </c>
      <c r="Q50" s="17">
        <v>48</v>
      </c>
    </row>
    <row r="51" spans="4:17" x14ac:dyDescent="0.15">
      <c r="D51" s="5"/>
      <c r="E51" s="5"/>
      <c r="H51" s="17">
        <v>49</v>
      </c>
      <c r="I51">
        <v>128021</v>
      </c>
      <c r="J51" t="s">
        <v>51</v>
      </c>
      <c r="K51">
        <v>141.72800000000001</v>
      </c>
      <c r="L51" s="20">
        <v>12.3</v>
      </c>
      <c r="M51" s="21">
        <v>2.6517419999999996</v>
      </c>
      <c r="N51" s="5" t="str">
        <f t="shared" si="4"/>
        <v>未买</v>
      </c>
      <c r="Q51" s="17">
        <v>49</v>
      </c>
    </row>
    <row r="52" spans="4:17" x14ac:dyDescent="0.15">
      <c r="D52" s="5"/>
      <c r="E52" s="5"/>
      <c r="H52" s="17">
        <v>50</v>
      </c>
      <c r="I52">
        <v>127058</v>
      </c>
      <c r="J52" t="s">
        <v>1859</v>
      </c>
      <c r="K52">
        <v>127.6</v>
      </c>
      <c r="L52" s="20">
        <v>12.56</v>
      </c>
      <c r="M52" s="21">
        <v>30</v>
      </c>
      <c r="N52" s="5" t="str">
        <f t="shared" si="4"/>
        <v>未买</v>
      </c>
      <c r="Q52" s="17">
        <v>50</v>
      </c>
    </row>
    <row r="53" spans="4:17" x14ac:dyDescent="0.15">
      <c r="D53" s="5"/>
      <c r="E53" s="5"/>
      <c r="H53" s="17">
        <v>51</v>
      </c>
      <c r="I53">
        <v>127045</v>
      </c>
      <c r="J53" t="s">
        <v>1872</v>
      </c>
      <c r="K53">
        <v>130.13999999999999</v>
      </c>
      <c r="L53" s="20">
        <v>12.61</v>
      </c>
      <c r="M53" s="21">
        <v>95.473815999999999</v>
      </c>
      <c r="N53" s="5" t="str">
        <f t="shared" si="4"/>
        <v>未买</v>
      </c>
      <c r="Q53" s="17">
        <v>51</v>
      </c>
    </row>
    <row r="54" spans="4:17" x14ac:dyDescent="0.15">
      <c r="D54" s="5"/>
      <c r="E54" s="5"/>
      <c r="H54" s="17">
        <v>52</v>
      </c>
      <c r="I54">
        <v>128017</v>
      </c>
      <c r="J54" t="s">
        <v>1846</v>
      </c>
      <c r="K54">
        <v>212.88</v>
      </c>
      <c r="L54" s="20">
        <v>12.67</v>
      </c>
      <c r="M54" s="21">
        <v>5.5181570000000004</v>
      </c>
      <c r="N54" s="5" t="str">
        <f t="shared" si="4"/>
        <v>未买</v>
      </c>
      <c r="Q54" s="17">
        <v>52</v>
      </c>
    </row>
    <row r="55" spans="4:17" x14ac:dyDescent="0.15">
      <c r="D55" s="5"/>
      <c r="E55" s="5"/>
      <c r="H55" s="17">
        <v>53</v>
      </c>
      <c r="I55">
        <v>127030</v>
      </c>
      <c r="J55" t="s">
        <v>783</v>
      </c>
      <c r="K55">
        <v>150.58799999999999</v>
      </c>
      <c r="L55" s="20">
        <v>12.88</v>
      </c>
      <c r="M55" s="21">
        <v>49.981955999999997</v>
      </c>
      <c r="N55" s="5" t="str">
        <f t="shared" si="4"/>
        <v>Yes</v>
      </c>
      <c r="Q55" s="17">
        <v>53</v>
      </c>
    </row>
    <row r="56" spans="4:17" x14ac:dyDescent="0.15">
      <c r="D56" s="5"/>
      <c r="E56" s="5"/>
      <c r="H56" s="17">
        <v>54</v>
      </c>
      <c r="I56">
        <v>113504</v>
      </c>
      <c r="J56" t="s">
        <v>128</v>
      </c>
      <c r="K56">
        <v>148.56</v>
      </c>
      <c r="L56" s="20">
        <v>13.12</v>
      </c>
      <c r="M56" s="21">
        <v>4.6275899999999996</v>
      </c>
      <c r="N56" s="5" t="str">
        <f t="shared" si="4"/>
        <v>Yes</v>
      </c>
      <c r="Q56" s="17">
        <v>54</v>
      </c>
    </row>
    <row r="57" spans="4:17" x14ac:dyDescent="0.15">
      <c r="D57" s="5"/>
      <c r="E57" s="5"/>
      <c r="H57" s="17">
        <v>55</v>
      </c>
      <c r="I57">
        <v>123121</v>
      </c>
      <c r="J57" t="s">
        <v>237</v>
      </c>
      <c r="K57">
        <v>151</v>
      </c>
      <c r="L57" s="20">
        <v>13.37</v>
      </c>
      <c r="M57" s="21">
        <v>8.3953559999999996</v>
      </c>
      <c r="N57" s="5" t="str">
        <f t="shared" si="4"/>
        <v>未买</v>
      </c>
      <c r="Q57" s="17">
        <v>55</v>
      </c>
    </row>
    <row r="58" spans="4:17" x14ac:dyDescent="0.15">
      <c r="D58" s="5"/>
      <c r="E58" s="5"/>
      <c r="H58" s="17">
        <v>56</v>
      </c>
      <c r="I58">
        <v>123089</v>
      </c>
      <c r="J58" t="s">
        <v>798</v>
      </c>
      <c r="K58">
        <v>144.19</v>
      </c>
      <c r="L58" s="20">
        <v>13.37</v>
      </c>
      <c r="M58" s="21">
        <v>3.0624180000000001</v>
      </c>
      <c r="N58" s="5" t="str">
        <f t="shared" si="4"/>
        <v>Yes</v>
      </c>
      <c r="Q58" s="17">
        <v>56</v>
      </c>
    </row>
    <row r="59" spans="4:17" x14ac:dyDescent="0.15">
      <c r="D59" s="5"/>
      <c r="E59" s="5"/>
      <c r="H59" s="17">
        <v>57</v>
      </c>
      <c r="I59">
        <v>113525</v>
      </c>
      <c r="J59" t="s">
        <v>1867</v>
      </c>
      <c r="K59">
        <v>185.86</v>
      </c>
      <c r="L59" s="20">
        <v>13.5</v>
      </c>
      <c r="M59" s="21">
        <v>1.8535699999999999</v>
      </c>
      <c r="N59" s="5" t="str">
        <f t="shared" si="4"/>
        <v>Yes</v>
      </c>
      <c r="Q59" s="17">
        <v>57</v>
      </c>
    </row>
    <row r="60" spans="4:17" x14ac:dyDescent="0.15">
      <c r="D60" s="5"/>
      <c r="E60" s="5"/>
      <c r="H60" s="17">
        <v>58</v>
      </c>
      <c r="I60">
        <v>123103</v>
      </c>
      <c r="J60" t="s">
        <v>818</v>
      </c>
      <c r="K60">
        <v>151.90100000000001</v>
      </c>
      <c r="L60" s="20">
        <v>13.6</v>
      </c>
      <c r="M60" s="21">
        <v>2.4949330000000005</v>
      </c>
      <c r="N60" s="5" t="str">
        <f t="shared" si="4"/>
        <v>未买</v>
      </c>
      <c r="Q60" s="17">
        <v>58</v>
      </c>
    </row>
    <row r="61" spans="4:17" x14ac:dyDescent="0.15">
      <c r="D61" s="5"/>
      <c r="E61" s="5"/>
      <c r="H61" s="17">
        <v>59</v>
      </c>
      <c r="I61">
        <v>113591</v>
      </c>
      <c r="J61" t="s">
        <v>41</v>
      </c>
      <c r="K61">
        <v>120.61</v>
      </c>
      <c r="L61" s="20">
        <v>14.2</v>
      </c>
      <c r="M61" s="21">
        <v>4.7749899999999998</v>
      </c>
      <c r="N61" s="5" t="str">
        <f t="shared" si="4"/>
        <v>Yes</v>
      </c>
      <c r="Q61" s="17">
        <v>59</v>
      </c>
    </row>
    <row r="62" spans="4:17" x14ac:dyDescent="0.15">
      <c r="D62" s="5"/>
      <c r="E62" s="5"/>
      <c r="H62" s="17">
        <v>60</v>
      </c>
      <c r="I62">
        <v>113039</v>
      </c>
      <c r="J62" t="s">
        <v>45</v>
      </c>
      <c r="K62">
        <v>139.36000000000001</v>
      </c>
      <c r="L62" s="20">
        <v>14.77</v>
      </c>
      <c r="M62" s="21">
        <v>2.88409</v>
      </c>
      <c r="N62" s="5" t="str">
        <f t="shared" si="4"/>
        <v>Yes</v>
      </c>
      <c r="Q62" s="17">
        <v>60</v>
      </c>
    </row>
    <row r="63" spans="4:17" x14ac:dyDescent="0.15">
      <c r="D63" s="5"/>
      <c r="E63" s="5"/>
      <c r="H63" s="17">
        <v>61</v>
      </c>
      <c r="I63">
        <v>123073</v>
      </c>
      <c r="J63" t="s">
        <v>1833</v>
      </c>
      <c r="K63">
        <v>203.6</v>
      </c>
      <c r="L63" s="20">
        <v>14.9</v>
      </c>
      <c r="M63" s="21">
        <v>2.5517530000000002</v>
      </c>
      <c r="N63" s="5" t="str">
        <f t="shared" si="4"/>
        <v>Yes</v>
      </c>
      <c r="Q63" s="17">
        <v>61</v>
      </c>
    </row>
    <row r="64" spans="4:17" x14ac:dyDescent="0.15">
      <c r="D64" s="5"/>
      <c r="E64" s="5"/>
      <c r="H64" s="17">
        <v>62</v>
      </c>
      <c r="I64">
        <v>113642</v>
      </c>
      <c r="J64" t="s">
        <v>1917</v>
      </c>
      <c r="K64">
        <v>149.16999999999999</v>
      </c>
      <c r="L64" s="20">
        <v>14.93</v>
      </c>
      <c r="M64" s="21">
        <v>24.7</v>
      </c>
      <c r="N64" s="5" t="str">
        <f t="shared" si="4"/>
        <v>未买</v>
      </c>
      <c r="Q64" s="17">
        <v>62</v>
      </c>
    </row>
    <row r="65" spans="4:17" x14ac:dyDescent="0.15">
      <c r="D65" s="5"/>
      <c r="E65" s="5"/>
      <c r="H65" s="17">
        <v>63</v>
      </c>
      <c r="I65">
        <v>128119</v>
      </c>
      <c r="J65" t="s">
        <v>246</v>
      </c>
      <c r="K65">
        <v>127.435</v>
      </c>
      <c r="L65" s="20">
        <v>14.93</v>
      </c>
      <c r="M65" s="21">
        <v>9.4607820000000018</v>
      </c>
      <c r="N65" s="5" t="str">
        <f t="shared" si="4"/>
        <v>未买</v>
      </c>
      <c r="Q65" s="17">
        <v>63</v>
      </c>
    </row>
    <row r="66" spans="4:17" x14ac:dyDescent="0.15">
      <c r="D66" s="5"/>
      <c r="E66" s="5"/>
      <c r="H66" s="17">
        <v>64</v>
      </c>
      <c r="I66">
        <v>123105</v>
      </c>
      <c r="J66" t="s">
        <v>234</v>
      </c>
      <c r="K66">
        <v>130.398</v>
      </c>
      <c r="L66" s="20">
        <v>14.97</v>
      </c>
      <c r="M66" s="21">
        <v>7.9986300000000004</v>
      </c>
      <c r="N66" s="5" t="str">
        <f t="shared" si="4"/>
        <v>未买</v>
      </c>
      <c r="Q66" s="17">
        <v>64</v>
      </c>
    </row>
    <row r="67" spans="4:17" x14ac:dyDescent="0.15">
      <c r="D67" s="5"/>
      <c r="E67" s="5"/>
      <c r="H67" s="17">
        <v>65</v>
      </c>
      <c r="I67">
        <v>127049</v>
      </c>
      <c r="J67" t="s">
        <v>1878</v>
      </c>
      <c r="K67">
        <v>124.4</v>
      </c>
      <c r="L67" s="20">
        <v>15.08</v>
      </c>
      <c r="M67" s="21">
        <v>81.493674999999996</v>
      </c>
      <c r="N67" s="5" t="str">
        <f t="shared" si="4"/>
        <v>未买</v>
      </c>
      <c r="Q67" s="17">
        <v>65</v>
      </c>
    </row>
    <row r="68" spans="4:17" x14ac:dyDescent="0.15">
      <c r="D68" s="5"/>
      <c r="E68" s="5"/>
      <c r="H68" s="17">
        <v>66</v>
      </c>
      <c r="I68">
        <v>110038</v>
      </c>
      <c r="J68" t="s">
        <v>102</v>
      </c>
      <c r="K68">
        <v>139.4</v>
      </c>
      <c r="L68" s="20">
        <v>15.17</v>
      </c>
      <c r="M68" s="21">
        <v>6.3023899999999999</v>
      </c>
      <c r="N68" s="5" t="str">
        <f t="shared" ref="N68:N131" si="7">IF(ISNA(MATCH(I68,$A$3:$A$1000,0)),"未买","Yes")</f>
        <v>未买</v>
      </c>
      <c r="Q68" s="17">
        <v>66</v>
      </c>
    </row>
    <row r="69" spans="4:17" x14ac:dyDescent="0.15">
      <c r="D69" s="5"/>
      <c r="E69" s="5"/>
      <c r="H69" s="17">
        <v>67</v>
      </c>
      <c r="I69">
        <v>123067</v>
      </c>
      <c r="J69" t="s">
        <v>796</v>
      </c>
      <c r="K69">
        <v>201</v>
      </c>
      <c r="L69" s="20">
        <v>15.28</v>
      </c>
      <c r="M69" s="21">
        <v>2.397748</v>
      </c>
      <c r="N69" s="5" t="str">
        <f t="shared" si="7"/>
        <v>Yes</v>
      </c>
      <c r="Q69" s="17">
        <v>67</v>
      </c>
    </row>
    <row r="70" spans="4:17" x14ac:dyDescent="0.15">
      <c r="D70" s="5"/>
      <c r="E70" s="5"/>
      <c r="H70" s="17">
        <v>68</v>
      </c>
      <c r="I70">
        <v>110074</v>
      </c>
      <c r="J70" t="s">
        <v>1866</v>
      </c>
      <c r="K70">
        <v>169.56</v>
      </c>
      <c r="L70" s="20">
        <v>15.32</v>
      </c>
      <c r="M70" s="21">
        <v>5.0958899999999998</v>
      </c>
      <c r="N70" s="5" t="str">
        <f t="shared" si="7"/>
        <v>未买</v>
      </c>
      <c r="Q70" s="17">
        <v>68</v>
      </c>
    </row>
    <row r="71" spans="4:17" x14ac:dyDescent="0.15">
      <c r="D71" s="5"/>
      <c r="E71" s="5"/>
      <c r="H71" s="17">
        <v>69</v>
      </c>
      <c r="I71">
        <v>128034</v>
      </c>
      <c r="J71" t="s">
        <v>1863</v>
      </c>
      <c r="K71">
        <v>121.5</v>
      </c>
      <c r="L71" s="20">
        <v>15.37</v>
      </c>
      <c r="M71" s="21">
        <v>17.579893999999999</v>
      </c>
      <c r="N71" s="5" t="str">
        <f t="shared" si="7"/>
        <v>未买</v>
      </c>
      <c r="Q71" s="17">
        <v>69</v>
      </c>
    </row>
    <row r="72" spans="4:17" x14ac:dyDescent="0.15">
      <c r="D72" s="5"/>
      <c r="E72" s="5"/>
      <c r="H72" s="17">
        <v>70</v>
      </c>
      <c r="I72">
        <v>128083</v>
      </c>
      <c r="J72" t="s">
        <v>190</v>
      </c>
      <c r="K72">
        <v>121.64400000000001</v>
      </c>
      <c r="L72" s="20">
        <v>16.39</v>
      </c>
      <c r="M72" s="21">
        <v>8.7687390000000001</v>
      </c>
      <c r="N72" s="5" t="str">
        <f t="shared" si="7"/>
        <v>未买</v>
      </c>
      <c r="Q72" s="17">
        <v>70</v>
      </c>
    </row>
    <row r="73" spans="4:17" x14ac:dyDescent="0.15">
      <c r="D73" s="5"/>
      <c r="E73" s="5"/>
      <c r="H73" s="17">
        <v>71</v>
      </c>
      <c r="I73">
        <v>110055</v>
      </c>
      <c r="J73" t="s">
        <v>1881</v>
      </c>
      <c r="K73">
        <v>210.94</v>
      </c>
      <c r="L73" s="20">
        <v>16.55</v>
      </c>
      <c r="M73" s="21">
        <v>2.4353500000000001</v>
      </c>
      <c r="N73" s="5" t="str">
        <f t="shared" si="7"/>
        <v>未买</v>
      </c>
      <c r="Q73" s="17">
        <v>71</v>
      </c>
    </row>
    <row r="74" spans="4:17" x14ac:dyDescent="0.15">
      <c r="D74" s="5"/>
      <c r="E74" s="5"/>
      <c r="H74" s="17">
        <v>72</v>
      </c>
      <c r="I74">
        <v>113570</v>
      </c>
      <c r="J74" t="s">
        <v>42</v>
      </c>
      <c r="K74">
        <v>126.91</v>
      </c>
      <c r="L74" s="20">
        <v>16.89</v>
      </c>
      <c r="M74" s="21">
        <v>2.7993199999999998</v>
      </c>
      <c r="N74" s="5" t="str">
        <f t="shared" si="7"/>
        <v>Yes</v>
      </c>
      <c r="Q74" s="17">
        <v>72</v>
      </c>
    </row>
    <row r="75" spans="4:17" x14ac:dyDescent="0.15">
      <c r="D75" s="5"/>
      <c r="E75" s="5"/>
      <c r="H75" s="17">
        <v>73</v>
      </c>
      <c r="I75">
        <v>123123</v>
      </c>
      <c r="J75" t="s">
        <v>196</v>
      </c>
      <c r="K75">
        <v>136.39599999999999</v>
      </c>
      <c r="L75" s="20">
        <v>16.93</v>
      </c>
      <c r="M75" s="21">
        <v>5.1604099999999997</v>
      </c>
      <c r="N75" s="5" t="str">
        <f t="shared" si="7"/>
        <v>未买</v>
      </c>
      <c r="Q75" s="17">
        <v>73</v>
      </c>
    </row>
    <row r="76" spans="4:17" x14ac:dyDescent="0.15">
      <c r="D76" s="5"/>
      <c r="E76" s="5"/>
      <c r="H76" s="17">
        <v>74</v>
      </c>
      <c r="I76">
        <v>127038</v>
      </c>
      <c r="J76" t="s">
        <v>1860</v>
      </c>
      <c r="K76">
        <v>167.602</v>
      </c>
      <c r="L76" s="20">
        <v>16.989999999999998</v>
      </c>
      <c r="M76" s="21">
        <v>14.938332000000001</v>
      </c>
      <c r="N76" s="5" t="str">
        <f t="shared" si="7"/>
        <v>未买</v>
      </c>
      <c r="Q76" s="17">
        <v>74</v>
      </c>
    </row>
    <row r="77" spans="4:17" x14ac:dyDescent="0.15">
      <c r="D77" s="5"/>
      <c r="E77" s="5"/>
      <c r="H77" s="17">
        <v>75</v>
      </c>
      <c r="I77">
        <v>123078</v>
      </c>
      <c r="J77" t="s">
        <v>1845</v>
      </c>
      <c r="K77">
        <v>165.601</v>
      </c>
      <c r="L77" s="20">
        <v>17.18</v>
      </c>
      <c r="M77" s="21">
        <v>6.1840570000000001</v>
      </c>
      <c r="N77" s="5" t="str">
        <f t="shared" si="7"/>
        <v>未买</v>
      </c>
      <c r="Q77" s="17">
        <v>75</v>
      </c>
    </row>
    <row r="78" spans="4:17" x14ac:dyDescent="0.15">
      <c r="D78" s="5"/>
      <c r="E78" s="5"/>
      <c r="H78" s="17">
        <v>76</v>
      </c>
      <c r="I78">
        <v>127029</v>
      </c>
      <c r="J78" t="s">
        <v>1851</v>
      </c>
      <c r="K78">
        <v>128</v>
      </c>
      <c r="L78" s="20">
        <v>17.190000000000001</v>
      </c>
      <c r="M78" s="21">
        <v>8.191396000000001</v>
      </c>
      <c r="N78" s="5" t="str">
        <f t="shared" si="7"/>
        <v>未买</v>
      </c>
      <c r="Q78" s="17">
        <v>76</v>
      </c>
    </row>
    <row r="79" spans="4:17" x14ac:dyDescent="0.15">
      <c r="D79" s="5"/>
      <c r="E79" s="5"/>
      <c r="H79" s="17">
        <v>77</v>
      </c>
      <c r="I79">
        <v>128087</v>
      </c>
      <c r="J79" t="s">
        <v>121</v>
      </c>
      <c r="K79">
        <v>119.203</v>
      </c>
      <c r="L79" s="20">
        <v>17.23</v>
      </c>
      <c r="M79" s="21">
        <v>6.4940579999999999</v>
      </c>
      <c r="N79" s="5" t="str">
        <f t="shared" si="7"/>
        <v>未买</v>
      </c>
      <c r="Q79" s="17">
        <v>77</v>
      </c>
    </row>
    <row r="80" spans="4:17" x14ac:dyDescent="0.15">
      <c r="D80" s="5"/>
      <c r="E80" s="5"/>
      <c r="H80" s="17">
        <v>78</v>
      </c>
      <c r="I80">
        <v>123060</v>
      </c>
      <c r="J80" t="s">
        <v>1849</v>
      </c>
      <c r="K80">
        <v>187.1</v>
      </c>
      <c r="L80" s="20">
        <v>17.260000000000002</v>
      </c>
      <c r="M80" s="21">
        <v>3.0963069999999999</v>
      </c>
      <c r="N80" s="5" t="str">
        <f t="shared" si="7"/>
        <v>未买</v>
      </c>
      <c r="Q80" s="17">
        <v>78</v>
      </c>
    </row>
    <row r="81" spans="4:17" x14ac:dyDescent="0.15">
      <c r="D81" s="5"/>
      <c r="E81" s="5"/>
      <c r="H81" s="17">
        <v>79</v>
      </c>
      <c r="I81">
        <v>110079</v>
      </c>
      <c r="J81" t="s">
        <v>1854</v>
      </c>
      <c r="K81">
        <v>123.04</v>
      </c>
      <c r="L81" s="20">
        <v>17.52</v>
      </c>
      <c r="M81" s="21">
        <v>149.99047999999999</v>
      </c>
      <c r="N81" s="5" t="str">
        <f t="shared" si="7"/>
        <v>未买</v>
      </c>
      <c r="Q81" s="17">
        <v>79</v>
      </c>
    </row>
    <row r="82" spans="4:17" x14ac:dyDescent="0.15">
      <c r="D82" s="5"/>
      <c r="E82" s="5"/>
      <c r="H82" s="17">
        <v>80</v>
      </c>
      <c r="I82">
        <v>123012</v>
      </c>
      <c r="J82" t="s">
        <v>1842</v>
      </c>
      <c r="K82">
        <v>197.79</v>
      </c>
      <c r="L82" s="20">
        <v>17.78</v>
      </c>
      <c r="M82" s="21">
        <v>1.223781</v>
      </c>
      <c r="N82" s="5" t="str">
        <f t="shared" si="7"/>
        <v>Yes</v>
      </c>
      <c r="Q82" s="17">
        <v>80</v>
      </c>
    </row>
    <row r="83" spans="4:17" x14ac:dyDescent="0.15">
      <c r="D83" s="5"/>
      <c r="E83" s="5"/>
      <c r="H83" s="17">
        <v>81</v>
      </c>
      <c r="I83">
        <v>113634</v>
      </c>
      <c r="J83" t="s">
        <v>252</v>
      </c>
      <c r="K83">
        <v>136.65</v>
      </c>
      <c r="L83" s="20">
        <v>17.88</v>
      </c>
      <c r="M83" s="21">
        <v>7.51553</v>
      </c>
      <c r="N83" s="5" t="str">
        <f t="shared" si="7"/>
        <v>未买</v>
      </c>
      <c r="Q83" s="17">
        <v>81</v>
      </c>
    </row>
    <row r="84" spans="4:17" x14ac:dyDescent="0.15">
      <c r="D84" s="5"/>
      <c r="E84" s="5"/>
      <c r="H84" s="17">
        <v>82</v>
      </c>
      <c r="I84">
        <v>113044</v>
      </c>
      <c r="J84" t="s">
        <v>1856</v>
      </c>
      <c r="K84">
        <v>109.38</v>
      </c>
      <c r="L84" s="20">
        <v>18.100000000000001</v>
      </c>
      <c r="M84" s="21">
        <v>319.98989999999998</v>
      </c>
      <c r="N84" s="5" t="str">
        <f t="shared" si="7"/>
        <v>未买</v>
      </c>
      <c r="Q84" s="17">
        <v>82</v>
      </c>
    </row>
    <row r="85" spans="4:17" x14ac:dyDescent="0.15">
      <c r="D85" s="5"/>
      <c r="E85" s="5"/>
      <c r="H85" s="17">
        <v>83</v>
      </c>
      <c r="I85">
        <v>110043</v>
      </c>
      <c r="J85" t="s">
        <v>1814</v>
      </c>
      <c r="K85">
        <v>118.51</v>
      </c>
      <c r="L85" s="20">
        <v>18.3</v>
      </c>
      <c r="M85" s="21">
        <v>29.2134</v>
      </c>
      <c r="N85" s="5" t="str">
        <f t="shared" si="7"/>
        <v>未买</v>
      </c>
      <c r="Q85" s="17">
        <v>83</v>
      </c>
    </row>
    <row r="86" spans="4:17" x14ac:dyDescent="0.15">
      <c r="D86" s="5"/>
      <c r="E86" s="5"/>
      <c r="H86" s="17">
        <v>84</v>
      </c>
      <c r="I86">
        <v>123091</v>
      </c>
      <c r="J86" t="s">
        <v>244</v>
      </c>
      <c r="K86">
        <v>131.9</v>
      </c>
      <c r="L86" s="20">
        <v>18.36</v>
      </c>
      <c r="M86" s="21">
        <v>5.4975870000000002</v>
      </c>
      <c r="N86" s="5" t="str">
        <f t="shared" si="7"/>
        <v>未买</v>
      </c>
      <c r="Q86" s="17">
        <v>84</v>
      </c>
    </row>
    <row r="87" spans="4:17" x14ac:dyDescent="0.15">
      <c r="D87" s="5"/>
      <c r="E87" s="5"/>
      <c r="H87" s="17">
        <v>85</v>
      </c>
      <c r="I87">
        <v>123023</v>
      </c>
      <c r="J87" t="s">
        <v>209</v>
      </c>
      <c r="K87">
        <v>120.298</v>
      </c>
      <c r="L87" s="20">
        <v>18.489999999999998</v>
      </c>
      <c r="M87" s="21">
        <v>5.2936360000000002</v>
      </c>
      <c r="N87" s="5" t="str">
        <f t="shared" si="7"/>
        <v>未买</v>
      </c>
      <c r="Q87" s="17">
        <v>85</v>
      </c>
    </row>
    <row r="88" spans="4:17" x14ac:dyDescent="0.15">
      <c r="D88" s="5"/>
      <c r="E88" s="5"/>
      <c r="H88" s="17">
        <v>86</v>
      </c>
      <c r="I88">
        <v>128140</v>
      </c>
      <c r="J88" t="s">
        <v>1877</v>
      </c>
      <c r="K88">
        <v>149.42400000000001</v>
      </c>
      <c r="L88" s="20">
        <v>18.5</v>
      </c>
      <c r="M88" s="21">
        <v>10.896400999999999</v>
      </c>
      <c r="N88" s="5" t="str">
        <f t="shared" si="7"/>
        <v>未买</v>
      </c>
      <c r="Q88" s="17">
        <v>86</v>
      </c>
    </row>
    <row r="89" spans="4:17" x14ac:dyDescent="0.15">
      <c r="D89" s="5"/>
      <c r="E89" s="5"/>
      <c r="H89" s="17">
        <v>87</v>
      </c>
      <c r="I89">
        <v>111004</v>
      </c>
      <c r="J89" t="s">
        <v>816</v>
      </c>
      <c r="K89">
        <v>143.22999999999999</v>
      </c>
      <c r="L89" s="20">
        <v>18.88</v>
      </c>
      <c r="M89" s="21">
        <v>6.73</v>
      </c>
      <c r="N89" s="5" t="str">
        <f t="shared" si="7"/>
        <v>未买</v>
      </c>
      <c r="Q89" s="17">
        <v>87</v>
      </c>
    </row>
    <row r="90" spans="4:17" x14ac:dyDescent="0.15">
      <c r="D90" s="5"/>
      <c r="E90" s="5"/>
      <c r="H90" s="17">
        <v>88</v>
      </c>
      <c r="I90">
        <v>113027</v>
      </c>
      <c r="J90" t="s">
        <v>1879</v>
      </c>
      <c r="K90">
        <v>177.07</v>
      </c>
      <c r="L90" s="20">
        <v>19.260000000000002</v>
      </c>
      <c r="M90" s="21">
        <v>2.3872300000000002</v>
      </c>
      <c r="N90" s="5" t="str">
        <f t="shared" si="7"/>
        <v>Yes</v>
      </c>
      <c r="Q90" s="17">
        <v>88</v>
      </c>
    </row>
    <row r="91" spans="4:17" x14ac:dyDescent="0.15">
      <c r="D91" s="5"/>
      <c r="E91" s="5"/>
      <c r="H91" s="17">
        <v>89</v>
      </c>
      <c r="I91">
        <v>110048</v>
      </c>
      <c r="J91" t="s">
        <v>1858</v>
      </c>
      <c r="K91">
        <v>193.97</v>
      </c>
      <c r="L91" s="20">
        <v>19.420000000000002</v>
      </c>
      <c r="M91" s="21">
        <v>12.761939999999999</v>
      </c>
      <c r="N91" s="5" t="str">
        <f t="shared" si="7"/>
        <v>未买</v>
      </c>
      <c r="Q91" s="17">
        <v>89</v>
      </c>
    </row>
    <row r="92" spans="4:17" x14ac:dyDescent="0.15">
      <c r="D92" s="5"/>
      <c r="E92" s="5"/>
      <c r="H92" s="17">
        <v>90</v>
      </c>
      <c r="I92">
        <v>113011</v>
      </c>
      <c r="J92" t="s">
        <v>1868</v>
      </c>
      <c r="K92">
        <v>107</v>
      </c>
      <c r="L92" s="20">
        <v>19.45</v>
      </c>
      <c r="M92" s="21">
        <v>241.98864</v>
      </c>
      <c r="N92" s="5" t="str">
        <f t="shared" si="7"/>
        <v>未买</v>
      </c>
      <c r="Q92" s="17">
        <v>90</v>
      </c>
    </row>
    <row r="93" spans="4:17" x14ac:dyDescent="0.15">
      <c r="D93" s="5"/>
      <c r="E93" s="5"/>
      <c r="H93" s="17">
        <v>91</v>
      </c>
      <c r="I93">
        <v>127020</v>
      </c>
      <c r="J93" t="s">
        <v>1887</v>
      </c>
      <c r="K93">
        <v>119.61</v>
      </c>
      <c r="L93" s="20">
        <v>19.61</v>
      </c>
      <c r="M93" s="21">
        <v>30.227986000000001</v>
      </c>
      <c r="N93" s="5" t="str">
        <f t="shared" si="7"/>
        <v>未买</v>
      </c>
      <c r="Q93" s="17">
        <v>91</v>
      </c>
    </row>
    <row r="94" spans="4:17" x14ac:dyDescent="0.15">
      <c r="D94" s="5"/>
      <c r="E94" s="5"/>
      <c r="H94" s="17">
        <v>92</v>
      </c>
      <c r="I94">
        <v>110083</v>
      </c>
      <c r="J94" t="s">
        <v>1871</v>
      </c>
      <c r="K94">
        <v>119.9</v>
      </c>
      <c r="L94" s="20">
        <v>19.66</v>
      </c>
      <c r="M94" s="21">
        <v>49.982379999999999</v>
      </c>
      <c r="N94" s="5" t="str">
        <f t="shared" si="7"/>
        <v>未买</v>
      </c>
      <c r="Q94" s="17">
        <v>92</v>
      </c>
    </row>
    <row r="95" spans="4:17" x14ac:dyDescent="0.15">
      <c r="D95" s="5"/>
      <c r="E95" s="5"/>
      <c r="H95" s="17">
        <v>93</v>
      </c>
      <c r="I95">
        <v>123144</v>
      </c>
      <c r="J95" t="s">
        <v>1926</v>
      </c>
      <c r="K95">
        <v>128.779</v>
      </c>
      <c r="L95" s="20">
        <v>19.690000000000001</v>
      </c>
      <c r="M95" s="21">
        <v>6</v>
      </c>
      <c r="N95" s="5" t="str">
        <f t="shared" si="7"/>
        <v>未买</v>
      </c>
      <c r="Q95" s="17">
        <v>93</v>
      </c>
    </row>
    <row r="96" spans="4:17" x14ac:dyDescent="0.15">
      <c r="D96" s="5"/>
      <c r="E96" s="5"/>
      <c r="H96" s="17">
        <v>94</v>
      </c>
      <c r="I96">
        <v>113051</v>
      </c>
      <c r="J96" t="s">
        <v>1869</v>
      </c>
      <c r="K96">
        <v>139.04</v>
      </c>
      <c r="L96" s="20">
        <v>19.86</v>
      </c>
      <c r="M96" s="21">
        <v>29.990659999999998</v>
      </c>
      <c r="N96" s="5" t="str">
        <f t="shared" si="7"/>
        <v>未买</v>
      </c>
      <c r="Q96" s="17">
        <v>94</v>
      </c>
    </row>
    <row r="97" spans="4:17" x14ac:dyDescent="0.15">
      <c r="D97" s="5"/>
      <c r="E97" s="5"/>
      <c r="H97" s="17">
        <v>95</v>
      </c>
      <c r="I97">
        <v>113582</v>
      </c>
      <c r="J97" t="s">
        <v>1862</v>
      </c>
      <c r="K97">
        <v>191.72</v>
      </c>
      <c r="L97" s="20">
        <v>19.88</v>
      </c>
      <c r="M97" s="21">
        <v>4.1769400000000001</v>
      </c>
      <c r="N97" s="5" t="str">
        <f t="shared" si="7"/>
        <v>未买</v>
      </c>
      <c r="Q97" s="17">
        <v>95</v>
      </c>
    </row>
    <row r="98" spans="4:17" x14ac:dyDescent="0.15">
      <c r="D98" s="5"/>
      <c r="E98" s="5"/>
      <c r="H98" s="17">
        <v>96</v>
      </c>
      <c r="I98">
        <v>123071</v>
      </c>
      <c r="J98" t="s">
        <v>1885</v>
      </c>
      <c r="K98">
        <v>157.18</v>
      </c>
      <c r="L98" s="20">
        <v>19.93</v>
      </c>
      <c r="M98" s="21">
        <v>6.9424029999999997</v>
      </c>
      <c r="N98" s="5" t="str">
        <f t="shared" si="7"/>
        <v>未买</v>
      </c>
      <c r="Q98" s="17">
        <v>96</v>
      </c>
    </row>
    <row r="99" spans="4:17" x14ac:dyDescent="0.15">
      <c r="D99" s="5"/>
      <c r="E99" s="5"/>
      <c r="H99" s="17">
        <v>97</v>
      </c>
      <c r="I99">
        <v>123080</v>
      </c>
      <c r="J99" t="s">
        <v>54</v>
      </c>
      <c r="K99">
        <v>127.99</v>
      </c>
      <c r="L99" s="20">
        <v>19.98</v>
      </c>
      <c r="M99" s="21">
        <v>2.4344640000000002</v>
      </c>
      <c r="N99" s="5" t="str">
        <f t="shared" si="7"/>
        <v>Yes</v>
      </c>
      <c r="Q99" s="17">
        <v>97</v>
      </c>
    </row>
    <row r="100" spans="4:17" x14ac:dyDescent="0.15">
      <c r="D100" s="5"/>
      <c r="E100" s="5"/>
      <c r="H100" s="17">
        <v>98</v>
      </c>
      <c r="I100">
        <v>113618</v>
      </c>
      <c r="J100" t="s">
        <v>1875</v>
      </c>
      <c r="K100">
        <v>141.72</v>
      </c>
      <c r="L100" s="20">
        <v>20.260000000000002</v>
      </c>
      <c r="M100" s="21">
        <v>4.7702799999999996</v>
      </c>
      <c r="N100" s="5" t="str">
        <f t="shared" si="7"/>
        <v>未买</v>
      </c>
      <c r="Q100" s="17">
        <v>98</v>
      </c>
    </row>
    <row r="101" spans="4:17" x14ac:dyDescent="0.15">
      <c r="D101" s="5"/>
      <c r="E101" s="5"/>
      <c r="H101" s="17">
        <v>99</v>
      </c>
      <c r="I101">
        <v>123114</v>
      </c>
      <c r="J101" t="s">
        <v>1861</v>
      </c>
      <c r="K101">
        <v>151.41</v>
      </c>
      <c r="L101" s="20">
        <v>20.260000000000002</v>
      </c>
      <c r="M101" s="21">
        <v>9.0089469999999992</v>
      </c>
      <c r="N101" s="5" t="str">
        <f t="shared" si="7"/>
        <v>未买</v>
      </c>
      <c r="Q101" s="17">
        <v>99</v>
      </c>
    </row>
    <row r="102" spans="4:17" x14ac:dyDescent="0.15">
      <c r="H102" s="17">
        <v>100</v>
      </c>
      <c r="I102">
        <v>110080</v>
      </c>
      <c r="J102" t="s">
        <v>232</v>
      </c>
      <c r="K102">
        <v>116.5</v>
      </c>
      <c r="L102" s="20">
        <v>20.49</v>
      </c>
      <c r="M102" s="21">
        <v>15.49118</v>
      </c>
      <c r="N102" s="5" t="str">
        <f t="shared" si="7"/>
        <v>未买</v>
      </c>
      <c r="Q102" s="17">
        <v>100</v>
      </c>
    </row>
    <row r="103" spans="4:17" x14ac:dyDescent="0.15">
      <c r="H103" s="17">
        <v>101</v>
      </c>
      <c r="I103">
        <v>128025</v>
      </c>
      <c r="J103" t="s">
        <v>50</v>
      </c>
      <c r="K103">
        <v>132.04599999999999</v>
      </c>
      <c r="L103" s="20">
        <v>20.5</v>
      </c>
      <c r="M103" s="21">
        <v>2.9767039999999998</v>
      </c>
      <c r="N103" s="5" t="str">
        <f t="shared" si="7"/>
        <v>Yes</v>
      </c>
      <c r="Q103" s="17">
        <v>101</v>
      </c>
    </row>
    <row r="104" spans="4:17" x14ac:dyDescent="0.15">
      <c r="H104" s="17">
        <v>102</v>
      </c>
      <c r="I104">
        <v>113641</v>
      </c>
      <c r="J104" t="s">
        <v>1922</v>
      </c>
      <c r="K104">
        <v>130.4</v>
      </c>
      <c r="L104" s="20">
        <v>20.55</v>
      </c>
      <c r="M104" s="21">
        <v>76</v>
      </c>
      <c r="N104" s="5" t="str">
        <f t="shared" si="7"/>
        <v>未买</v>
      </c>
      <c r="Q104" s="17">
        <v>102</v>
      </c>
    </row>
    <row r="105" spans="4:17" x14ac:dyDescent="0.15">
      <c r="H105" s="17">
        <v>103</v>
      </c>
      <c r="I105">
        <v>128040</v>
      </c>
      <c r="J105" t="s">
        <v>1850</v>
      </c>
      <c r="K105">
        <v>167.89</v>
      </c>
      <c r="L105" s="20">
        <v>20.83</v>
      </c>
      <c r="M105" s="21">
        <v>2.005312</v>
      </c>
      <c r="N105" s="5" t="str">
        <f t="shared" si="7"/>
        <v>Yes</v>
      </c>
      <c r="Q105" s="17">
        <v>103</v>
      </c>
    </row>
    <row r="106" spans="4:17" x14ac:dyDescent="0.15">
      <c r="H106" s="17">
        <v>104</v>
      </c>
      <c r="I106">
        <v>127036</v>
      </c>
      <c r="J106" t="s">
        <v>1939</v>
      </c>
      <c r="K106">
        <v>129.80000000000001</v>
      </c>
      <c r="L106" s="20">
        <v>20.98</v>
      </c>
      <c r="M106" s="21">
        <v>29.992529999999999</v>
      </c>
      <c r="N106" s="5" t="str">
        <f t="shared" si="7"/>
        <v>未买</v>
      </c>
      <c r="Q106" s="17">
        <v>104</v>
      </c>
    </row>
    <row r="107" spans="4:17" x14ac:dyDescent="0.15">
      <c r="H107" s="17">
        <v>105</v>
      </c>
      <c r="I107">
        <v>123027</v>
      </c>
      <c r="J107" t="s">
        <v>1924</v>
      </c>
      <c r="K107">
        <v>382.2</v>
      </c>
      <c r="L107" s="20">
        <v>21.17</v>
      </c>
      <c r="M107" s="21">
        <v>1.0667800000000001</v>
      </c>
      <c r="N107" s="5" t="str">
        <f t="shared" si="7"/>
        <v>未买</v>
      </c>
      <c r="Q107" s="17">
        <v>105</v>
      </c>
    </row>
    <row r="108" spans="4:17" x14ac:dyDescent="0.15">
      <c r="H108" s="17">
        <v>106</v>
      </c>
      <c r="I108">
        <v>123146</v>
      </c>
      <c r="J108" t="s">
        <v>1874</v>
      </c>
      <c r="K108">
        <v>116.724</v>
      </c>
      <c r="L108" s="20">
        <v>21.44</v>
      </c>
      <c r="M108" s="21">
        <v>8.64</v>
      </c>
      <c r="N108" s="5" t="str">
        <f t="shared" si="7"/>
        <v>未买</v>
      </c>
      <c r="Q108" s="17">
        <v>106</v>
      </c>
    </row>
    <row r="109" spans="4:17" x14ac:dyDescent="0.15">
      <c r="H109" s="17">
        <v>107</v>
      </c>
      <c r="I109">
        <v>123098</v>
      </c>
      <c r="J109" t="s">
        <v>1857</v>
      </c>
      <c r="K109">
        <v>130.751</v>
      </c>
      <c r="L109" s="20">
        <v>21.61</v>
      </c>
      <c r="M109" s="21">
        <v>4.2361170000000001</v>
      </c>
      <c r="N109" s="5" t="str">
        <f t="shared" si="7"/>
        <v>未买</v>
      </c>
      <c r="Q109" s="17">
        <v>107</v>
      </c>
    </row>
    <row r="110" spans="4:17" x14ac:dyDescent="0.15">
      <c r="H110" s="17">
        <v>108</v>
      </c>
      <c r="I110">
        <v>127022</v>
      </c>
      <c r="J110" t="s">
        <v>1909</v>
      </c>
      <c r="K110">
        <v>127.20099999999999</v>
      </c>
      <c r="L110" s="20">
        <v>21.67</v>
      </c>
      <c r="M110" s="21">
        <v>19.9983</v>
      </c>
      <c r="N110" s="5" t="str">
        <f t="shared" si="7"/>
        <v>未买</v>
      </c>
      <c r="Q110" s="17">
        <v>108</v>
      </c>
    </row>
    <row r="111" spans="4:17" x14ac:dyDescent="0.15">
      <c r="H111" s="17">
        <v>109</v>
      </c>
      <c r="I111">
        <v>113033</v>
      </c>
      <c r="J111" t="s">
        <v>90</v>
      </c>
      <c r="K111">
        <v>108.9</v>
      </c>
      <c r="L111" s="20">
        <v>21.76</v>
      </c>
      <c r="M111" s="21">
        <v>17.99794</v>
      </c>
      <c r="N111" s="5" t="str">
        <f t="shared" si="7"/>
        <v>未买</v>
      </c>
      <c r="Q111" s="17">
        <v>109</v>
      </c>
    </row>
    <row r="112" spans="4:17" x14ac:dyDescent="0.15">
      <c r="H112" s="17">
        <v>110</v>
      </c>
      <c r="I112">
        <v>128109</v>
      </c>
      <c r="J112" t="s">
        <v>1899</v>
      </c>
      <c r="K112">
        <v>129.19999999999999</v>
      </c>
      <c r="L112" s="20">
        <v>21.78</v>
      </c>
      <c r="M112" s="21">
        <v>18.225552</v>
      </c>
      <c r="N112" s="5" t="str">
        <f t="shared" si="7"/>
        <v>未买</v>
      </c>
      <c r="Q112" s="17">
        <v>110</v>
      </c>
    </row>
    <row r="113" spans="8:17" x14ac:dyDescent="0.15">
      <c r="H113" s="17">
        <v>111</v>
      </c>
      <c r="I113">
        <v>127018</v>
      </c>
      <c r="J113" t="s">
        <v>1884</v>
      </c>
      <c r="K113">
        <v>117.82299999999999</v>
      </c>
      <c r="L113" s="20">
        <v>21.83</v>
      </c>
      <c r="M113" s="21">
        <v>56.310654</v>
      </c>
      <c r="N113" s="5" t="str">
        <f t="shared" si="7"/>
        <v>未买</v>
      </c>
      <c r="Q113" s="17">
        <v>111</v>
      </c>
    </row>
    <row r="114" spans="8:17" x14ac:dyDescent="0.15">
      <c r="H114" s="17">
        <v>112</v>
      </c>
      <c r="I114">
        <v>128133</v>
      </c>
      <c r="J114" t="s">
        <v>226</v>
      </c>
      <c r="K114">
        <v>126.6</v>
      </c>
      <c r="L114" s="20">
        <v>22.21</v>
      </c>
      <c r="M114" s="21">
        <v>7.9943249999999999</v>
      </c>
      <c r="N114" s="5" t="str">
        <f t="shared" si="7"/>
        <v>未买</v>
      </c>
      <c r="Q114" s="17">
        <v>112</v>
      </c>
    </row>
    <row r="115" spans="8:17" x14ac:dyDescent="0.15">
      <c r="H115" s="17">
        <v>113</v>
      </c>
      <c r="I115">
        <v>113516</v>
      </c>
      <c r="J115" t="s">
        <v>1882</v>
      </c>
      <c r="K115">
        <v>119.16</v>
      </c>
      <c r="L115" s="20">
        <v>22.45</v>
      </c>
      <c r="M115" s="21">
        <v>12.886039999999999</v>
      </c>
      <c r="N115" s="5" t="str">
        <f t="shared" si="7"/>
        <v>未买</v>
      </c>
      <c r="Q115" s="17">
        <v>113</v>
      </c>
    </row>
    <row r="116" spans="8:17" x14ac:dyDescent="0.15">
      <c r="H116" s="17">
        <v>114</v>
      </c>
      <c r="I116">
        <v>110075</v>
      </c>
      <c r="J116" t="s">
        <v>1886</v>
      </c>
      <c r="K116">
        <v>128.01</v>
      </c>
      <c r="L116" s="20">
        <v>22.51</v>
      </c>
      <c r="M116" s="21">
        <v>58.964379999999998</v>
      </c>
      <c r="N116" s="5" t="str">
        <f t="shared" si="7"/>
        <v>未买</v>
      </c>
      <c r="Q116" s="17">
        <v>114</v>
      </c>
    </row>
    <row r="117" spans="8:17" x14ac:dyDescent="0.15">
      <c r="H117" s="17">
        <v>115</v>
      </c>
      <c r="I117">
        <v>113640</v>
      </c>
      <c r="J117" t="s">
        <v>784</v>
      </c>
      <c r="K117">
        <v>124.15</v>
      </c>
      <c r="L117" s="20">
        <v>22.59</v>
      </c>
      <c r="M117" s="21">
        <v>9.5721100000000003</v>
      </c>
      <c r="N117" s="5" t="str">
        <f t="shared" si="7"/>
        <v>未买</v>
      </c>
      <c r="Q117" s="17">
        <v>115</v>
      </c>
    </row>
    <row r="118" spans="8:17" x14ac:dyDescent="0.15">
      <c r="H118" s="17">
        <v>116</v>
      </c>
      <c r="I118">
        <v>128121</v>
      </c>
      <c r="J118" t="s">
        <v>47</v>
      </c>
      <c r="K118">
        <v>124.25</v>
      </c>
      <c r="L118" s="20">
        <v>23.25</v>
      </c>
      <c r="M118" s="21">
        <v>6.6985929999999989</v>
      </c>
      <c r="N118" s="5" t="str">
        <f t="shared" si="7"/>
        <v>未买</v>
      </c>
      <c r="Q118" s="17">
        <v>116</v>
      </c>
    </row>
    <row r="119" spans="8:17" x14ac:dyDescent="0.15">
      <c r="H119" s="17">
        <v>117</v>
      </c>
      <c r="I119">
        <v>128022</v>
      </c>
      <c r="J119" t="s">
        <v>159</v>
      </c>
      <c r="K119">
        <v>122.351</v>
      </c>
      <c r="L119" s="20">
        <v>23.39</v>
      </c>
      <c r="M119" s="21">
        <v>4.5522299999999998</v>
      </c>
      <c r="N119" s="5" t="str">
        <f t="shared" si="7"/>
        <v>未买</v>
      </c>
      <c r="Q119" s="17">
        <v>117</v>
      </c>
    </row>
    <row r="120" spans="8:17" x14ac:dyDescent="0.15">
      <c r="H120" s="17">
        <v>118</v>
      </c>
      <c r="I120">
        <v>113017</v>
      </c>
      <c r="J120" t="s">
        <v>110</v>
      </c>
      <c r="K120">
        <v>114.57</v>
      </c>
      <c r="L120" s="20">
        <v>23.42</v>
      </c>
      <c r="M120" s="21">
        <v>11.34999</v>
      </c>
      <c r="N120" s="5" t="str">
        <f t="shared" si="7"/>
        <v>未买</v>
      </c>
      <c r="Q120" s="17">
        <v>118</v>
      </c>
    </row>
    <row r="121" spans="8:17" x14ac:dyDescent="0.15">
      <c r="H121" s="17">
        <v>119</v>
      </c>
      <c r="I121">
        <v>113545</v>
      </c>
      <c r="J121" t="s">
        <v>85</v>
      </c>
      <c r="K121">
        <v>127.82</v>
      </c>
      <c r="L121" s="20">
        <v>23.56</v>
      </c>
      <c r="M121" s="21">
        <v>9.8657599999999999</v>
      </c>
      <c r="N121" s="5" t="str">
        <f t="shared" si="7"/>
        <v>未买</v>
      </c>
      <c r="Q121" s="17">
        <v>119</v>
      </c>
    </row>
    <row r="122" spans="8:17" x14ac:dyDescent="0.15">
      <c r="H122" s="17">
        <v>120</v>
      </c>
      <c r="I122">
        <v>123046</v>
      </c>
      <c r="J122" t="s">
        <v>1893</v>
      </c>
      <c r="K122">
        <v>334.02199999999999</v>
      </c>
      <c r="L122" s="20">
        <v>23.77</v>
      </c>
      <c r="M122" s="21">
        <v>0.58544499999999999</v>
      </c>
      <c r="N122" s="5" t="str">
        <f t="shared" si="7"/>
        <v>未买</v>
      </c>
      <c r="Q122" s="17">
        <v>120</v>
      </c>
    </row>
    <row r="123" spans="8:17" x14ac:dyDescent="0.15">
      <c r="H123" s="17">
        <v>121</v>
      </c>
      <c r="I123">
        <v>113567</v>
      </c>
      <c r="J123" t="s">
        <v>1838</v>
      </c>
      <c r="K123">
        <v>137.91999999999999</v>
      </c>
      <c r="L123" s="20">
        <v>23.79</v>
      </c>
      <c r="M123" s="21">
        <v>1.9354</v>
      </c>
      <c r="N123" s="5" t="str">
        <f t="shared" si="7"/>
        <v>Yes</v>
      </c>
      <c r="Q123" s="17">
        <v>121</v>
      </c>
    </row>
    <row r="124" spans="8:17" x14ac:dyDescent="0.15">
      <c r="H124" s="17">
        <v>122</v>
      </c>
      <c r="I124">
        <v>128085</v>
      </c>
      <c r="J124" t="s">
        <v>1883</v>
      </c>
      <c r="K124">
        <v>118.762</v>
      </c>
      <c r="L124" s="20">
        <v>23.83</v>
      </c>
      <c r="M124" s="21">
        <v>3.374628</v>
      </c>
      <c r="N124" s="5" t="str">
        <f t="shared" si="7"/>
        <v>Yes</v>
      </c>
      <c r="Q124" s="17">
        <v>122</v>
      </c>
    </row>
    <row r="125" spans="8:17" x14ac:dyDescent="0.15">
      <c r="H125" s="17">
        <v>123</v>
      </c>
      <c r="I125">
        <v>123127</v>
      </c>
      <c r="J125" t="s">
        <v>115</v>
      </c>
      <c r="K125">
        <v>126.498</v>
      </c>
      <c r="L125" s="20">
        <v>23.85</v>
      </c>
      <c r="M125" s="21">
        <v>3.9997519999999995</v>
      </c>
      <c r="N125" s="5" t="str">
        <f t="shared" si="7"/>
        <v>未买</v>
      </c>
      <c r="Q125" s="17">
        <v>123</v>
      </c>
    </row>
    <row r="126" spans="8:17" x14ac:dyDescent="0.15">
      <c r="H126" s="17">
        <v>124</v>
      </c>
      <c r="I126">
        <v>128066</v>
      </c>
      <c r="J126" t="s">
        <v>99</v>
      </c>
      <c r="K126">
        <v>116.895</v>
      </c>
      <c r="L126" s="20">
        <v>24.13</v>
      </c>
      <c r="M126" s="21">
        <v>4.6105919999999996</v>
      </c>
      <c r="N126" s="5" t="str">
        <f t="shared" si="7"/>
        <v>Yes</v>
      </c>
      <c r="Q126" s="17">
        <v>124</v>
      </c>
    </row>
    <row r="127" spans="8:17" x14ac:dyDescent="0.15">
      <c r="H127" s="17">
        <v>125</v>
      </c>
      <c r="I127">
        <v>118001</v>
      </c>
      <c r="J127" t="s">
        <v>243</v>
      </c>
      <c r="K127">
        <v>140.13999999999999</v>
      </c>
      <c r="L127" s="20">
        <v>24.19</v>
      </c>
      <c r="M127" s="21">
        <v>5.9984200000000003</v>
      </c>
      <c r="N127" s="5" t="str">
        <f t="shared" si="7"/>
        <v>未买</v>
      </c>
      <c r="Q127" s="17">
        <v>125</v>
      </c>
    </row>
    <row r="128" spans="8:17" x14ac:dyDescent="0.15">
      <c r="H128" s="17">
        <v>126</v>
      </c>
      <c r="I128">
        <v>127039</v>
      </c>
      <c r="J128" t="s">
        <v>1873</v>
      </c>
      <c r="K128">
        <v>124.15</v>
      </c>
      <c r="L128" s="20">
        <v>24.3</v>
      </c>
      <c r="M128" s="21">
        <v>17.631454000000002</v>
      </c>
      <c r="N128" s="5" t="str">
        <f t="shared" si="7"/>
        <v>未买</v>
      </c>
      <c r="Q128" s="17">
        <v>126</v>
      </c>
    </row>
    <row r="129" spans="8:17" x14ac:dyDescent="0.15">
      <c r="H129" s="17">
        <v>127</v>
      </c>
      <c r="I129">
        <v>113637</v>
      </c>
      <c r="J129" t="s">
        <v>273</v>
      </c>
      <c r="K129">
        <v>135.97</v>
      </c>
      <c r="L129" s="20">
        <v>24.56</v>
      </c>
      <c r="M129" s="21">
        <v>8</v>
      </c>
      <c r="N129" s="5" t="str">
        <f t="shared" si="7"/>
        <v>未买</v>
      </c>
      <c r="Q129" s="17">
        <v>127</v>
      </c>
    </row>
    <row r="130" spans="8:17" x14ac:dyDescent="0.15">
      <c r="H130" s="17">
        <v>128</v>
      </c>
      <c r="I130">
        <v>113053</v>
      </c>
      <c r="J130" t="s">
        <v>1904</v>
      </c>
      <c r="K130">
        <v>128.82</v>
      </c>
      <c r="L130" s="20">
        <v>24.58</v>
      </c>
      <c r="M130" s="21">
        <v>70</v>
      </c>
      <c r="N130" s="5" t="str">
        <f t="shared" si="7"/>
        <v>未买</v>
      </c>
      <c r="Q130" s="17">
        <v>128</v>
      </c>
    </row>
    <row r="131" spans="8:17" x14ac:dyDescent="0.15">
      <c r="H131" s="17">
        <v>129</v>
      </c>
      <c r="I131">
        <v>111000</v>
      </c>
      <c r="J131" t="s">
        <v>84</v>
      </c>
      <c r="K131">
        <v>129.08000000000001</v>
      </c>
      <c r="L131" s="20">
        <v>24.69</v>
      </c>
      <c r="M131" s="21">
        <v>9.9947700000000008</v>
      </c>
      <c r="N131" s="5" t="str">
        <f t="shared" si="7"/>
        <v>未买</v>
      </c>
      <c r="Q131" s="17">
        <v>129</v>
      </c>
    </row>
    <row r="132" spans="8:17" x14ac:dyDescent="0.15">
      <c r="H132" s="17">
        <v>130</v>
      </c>
      <c r="I132">
        <v>113631</v>
      </c>
      <c r="J132" t="s">
        <v>224</v>
      </c>
      <c r="K132">
        <v>115.63</v>
      </c>
      <c r="L132" s="20">
        <v>24.95</v>
      </c>
      <c r="M132" s="21">
        <v>9.2997599999999991</v>
      </c>
      <c r="N132" s="5" t="str">
        <f t="shared" ref="N132:N195" si="8">IF(ISNA(MATCH(I132,$A$3:$A$1000,0)),"未买","Yes")</f>
        <v>未买</v>
      </c>
      <c r="Q132" s="17">
        <v>130</v>
      </c>
    </row>
    <row r="133" spans="8:17" x14ac:dyDescent="0.15">
      <c r="H133" s="17">
        <v>131</v>
      </c>
      <c r="I133">
        <v>123112</v>
      </c>
      <c r="J133" t="s">
        <v>127</v>
      </c>
      <c r="K133">
        <v>131.40199999999999</v>
      </c>
      <c r="L133" s="20">
        <v>24.97</v>
      </c>
      <c r="M133" s="21">
        <v>2.4541909999999998</v>
      </c>
      <c r="N133" s="5" t="str">
        <f t="shared" si="8"/>
        <v>未买</v>
      </c>
      <c r="Q133" s="17">
        <v>131</v>
      </c>
    </row>
    <row r="134" spans="8:17" x14ac:dyDescent="0.15">
      <c r="H134" s="17">
        <v>132</v>
      </c>
      <c r="I134">
        <v>110064</v>
      </c>
      <c r="J134" t="s">
        <v>1848</v>
      </c>
      <c r="K134">
        <v>122.81</v>
      </c>
      <c r="L134" s="20">
        <v>25.02</v>
      </c>
      <c r="M134" s="21">
        <v>12.645960000000001</v>
      </c>
      <c r="N134" s="5" t="str">
        <f t="shared" si="8"/>
        <v>未买</v>
      </c>
      <c r="Q134" s="17">
        <v>132</v>
      </c>
    </row>
    <row r="135" spans="8:17" x14ac:dyDescent="0.15">
      <c r="H135" s="17">
        <v>133</v>
      </c>
      <c r="I135">
        <v>127028</v>
      </c>
      <c r="J135" t="s">
        <v>62</v>
      </c>
      <c r="K135">
        <v>119.623</v>
      </c>
      <c r="L135" s="20">
        <v>25.04</v>
      </c>
      <c r="M135" s="21">
        <v>5.9824770000000003</v>
      </c>
      <c r="N135" s="5" t="str">
        <f t="shared" si="8"/>
        <v>未买</v>
      </c>
      <c r="Q135" s="17">
        <v>133</v>
      </c>
    </row>
    <row r="136" spans="8:17" x14ac:dyDescent="0.15">
      <c r="H136" s="17">
        <v>134</v>
      </c>
      <c r="I136">
        <v>123097</v>
      </c>
      <c r="J136" t="s">
        <v>126</v>
      </c>
      <c r="K136">
        <v>129.21799999999999</v>
      </c>
      <c r="L136" s="20">
        <v>25.17</v>
      </c>
      <c r="M136" s="21">
        <v>2.9987979999999999</v>
      </c>
      <c r="N136" s="5" t="str">
        <f t="shared" si="8"/>
        <v>未买</v>
      </c>
      <c r="Q136" s="17">
        <v>134</v>
      </c>
    </row>
    <row r="137" spans="8:17" x14ac:dyDescent="0.15">
      <c r="H137" s="17">
        <v>135</v>
      </c>
      <c r="I137">
        <v>127012</v>
      </c>
      <c r="J137" t="s">
        <v>1891</v>
      </c>
      <c r="K137">
        <v>115.2</v>
      </c>
      <c r="L137" s="20">
        <v>25.22</v>
      </c>
      <c r="M137" s="21">
        <v>49.998221000000001</v>
      </c>
      <c r="N137" s="5" t="str">
        <f t="shared" si="8"/>
        <v>未买</v>
      </c>
      <c r="Q137" s="17">
        <v>135</v>
      </c>
    </row>
    <row r="138" spans="8:17" x14ac:dyDescent="0.15">
      <c r="H138" s="17">
        <v>136</v>
      </c>
      <c r="I138">
        <v>113629</v>
      </c>
      <c r="J138" t="s">
        <v>80</v>
      </c>
      <c r="K138">
        <v>143.38999999999999</v>
      </c>
      <c r="L138" s="20">
        <v>25.32</v>
      </c>
      <c r="M138" s="21">
        <v>6.1969399999999997</v>
      </c>
      <c r="N138" s="5" t="str">
        <f t="shared" si="8"/>
        <v>未买</v>
      </c>
      <c r="Q138" s="17">
        <v>136</v>
      </c>
    </row>
    <row r="139" spans="8:17" x14ac:dyDescent="0.15">
      <c r="H139" s="17">
        <v>137</v>
      </c>
      <c r="I139">
        <v>110057</v>
      </c>
      <c r="J139" t="s">
        <v>1880</v>
      </c>
      <c r="K139">
        <v>115.75</v>
      </c>
      <c r="L139" s="20">
        <v>25.49</v>
      </c>
      <c r="M139" s="21">
        <v>16.155080000000002</v>
      </c>
      <c r="N139" s="5" t="str">
        <f t="shared" si="8"/>
        <v>未买</v>
      </c>
      <c r="Q139" s="17">
        <v>137</v>
      </c>
    </row>
    <row r="140" spans="8:17" x14ac:dyDescent="0.15">
      <c r="H140" s="17">
        <v>138</v>
      </c>
      <c r="I140">
        <v>113057</v>
      </c>
      <c r="J140" t="s">
        <v>1894</v>
      </c>
      <c r="K140">
        <v>118.65</v>
      </c>
      <c r="L140" s="20">
        <v>25.52</v>
      </c>
      <c r="M140" s="21">
        <v>78</v>
      </c>
      <c r="N140" s="5" t="str">
        <f t="shared" si="8"/>
        <v>未买</v>
      </c>
      <c r="Q140" s="17">
        <v>138</v>
      </c>
    </row>
    <row r="141" spans="8:17" x14ac:dyDescent="0.15">
      <c r="H141" s="17">
        <v>139</v>
      </c>
      <c r="I141">
        <v>128145</v>
      </c>
      <c r="J141" t="s">
        <v>105</v>
      </c>
      <c r="K141">
        <v>127.229</v>
      </c>
      <c r="L141" s="20">
        <v>25.55</v>
      </c>
      <c r="M141" s="21">
        <v>3.7962730000000007</v>
      </c>
      <c r="N141" s="5" t="str">
        <f t="shared" si="8"/>
        <v>未买</v>
      </c>
      <c r="Q141" s="17">
        <v>139</v>
      </c>
    </row>
    <row r="142" spans="8:17" x14ac:dyDescent="0.15">
      <c r="H142" s="17">
        <v>140</v>
      </c>
      <c r="I142">
        <v>123129</v>
      </c>
      <c r="J142" t="s">
        <v>247</v>
      </c>
      <c r="K142">
        <v>114.9</v>
      </c>
      <c r="L142" s="20">
        <v>25.57</v>
      </c>
      <c r="M142" s="21">
        <v>5.9999149999999997</v>
      </c>
      <c r="N142" s="5" t="str">
        <f t="shared" si="8"/>
        <v>未买</v>
      </c>
      <c r="Q142" s="17">
        <v>140</v>
      </c>
    </row>
    <row r="143" spans="8:17" x14ac:dyDescent="0.15">
      <c r="H143" s="17">
        <v>141</v>
      </c>
      <c r="I143">
        <v>127031</v>
      </c>
      <c r="J143" t="s">
        <v>187</v>
      </c>
      <c r="K143">
        <v>127.6</v>
      </c>
      <c r="L143" s="20">
        <v>25.74</v>
      </c>
      <c r="M143" s="21">
        <v>9.9994130000000006</v>
      </c>
      <c r="N143" s="5" t="str">
        <f t="shared" si="8"/>
        <v>未买</v>
      </c>
      <c r="Q143" s="17">
        <v>141</v>
      </c>
    </row>
    <row r="144" spans="8:17" x14ac:dyDescent="0.15">
      <c r="H144" s="17">
        <v>142</v>
      </c>
      <c r="I144">
        <v>113598</v>
      </c>
      <c r="J144" t="s">
        <v>101</v>
      </c>
      <c r="K144">
        <v>126.09</v>
      </c>
      <c r="L144" s="20">
        <v>25.96</v>
      </c>
      <c r="M144" s="21">
        <v>2.7526000000000002</v>
      </c>
      <c r="N144" s="5" t="str">
        <f t="shared" si="8"/>
        <v>未买</v>
      </c>
      <c r="Q144" s="17">
        <v>142</v>
      </c>
    </row>
    <row r="145" spans="8:17" x14ac:dyDescent="0.15">
      <c r="H145" s="17">
        <v>143</v>
      </c>
      <c r="I145">
        <v>128075</v>
      </c>
      <c r="J145" t="s">
        <v>125</v>
      </c>
      <c r="K145">
        <v>121.7</v>
      </c>
      <c r="L145" s="20">
        <v>25.98</v>
      </c>
      <c r="M145" s="21">
        <v>5.4375109999999998</v>
      </c>
      <c r="N145" s="5" t="str">
        <f t="shared" si="8"/>
        <v>未买</v>
      </c>
      <c r="Q145" s="17">
        <v>143</v>
      </c>
    </row>
    <row r="146" spans="8:17" x14ac:dyDescent="0.15">
      <c r="H146" s="17">
        <v>144</v>
      </c>
      <c r="I146">
        <v>113636</v>
      </c>
      <c r="J146" t="s">
        <v>251</v>
      </c>
      <c r="K146">
        <v>127.25</v>
      </c>
      <c r="L146" s="20">
        <v>26.09</v>
      </c>
      <c r="M146" s="21">
        <v>9.99986</v>
      </c>
      <c r="N146" s="5" t="str">
        <f t="shared" si="8"/>
        <v>未买</v>
      </c>
      <c r="Q146" s="17">
        <v>144</v>
      </c>
    </row>
    <row r="147" spans="8:17" x14ac:dyDescent="0.15">
      <c r="H147" s="17">
        <v>145</v>
      </c>
      <c r="I147">
        <v>127014</v>
      </c>
      <c r="J147" t="s">
        <v>231</v>
      </c>
      <c r="K147">
        <v>134.5</v>
      </c>
      <c r="L147" s="20">
        <v>26.15</v>
      </c>
      <c r="M147" s="21">
        <v>5.3444160000000007</v>
      </c>
      <c r="N147" s="5" t="str">
        <f t="shared" si="8"/>
        <v>未买</v>
      </c>
      <c r="Q147" s="17">
        <v>145</v>
      </c>
    </row>
    <row r="148" spans="8:17" x14ac:dyDescent="0.15">
      <c r="H148" s="17">
        <v>146</v>
      </c>
      <c r="I148">
        <v>113049</v>
      </c>
      <c r="J148" t="s">
        <v>1902</v>
      </c>
      <c r="K148">
        <v>130.94999999999999</v>
      </c>
      <c r="L148" s="20">
        <v>26.9</v>
      </c>
      <c r="M148" s="21">
        <v>34.987200000000001</v>
      </c>
      <c r="N148" s="5" t="str">
        <f t="shared" si="8"/>
        <v>未买</v>
      </c>
      <c r="Q148" s="17">
        <v>146</v>
      </c>
    </row>
    <row r="149" spans="8:17" x14ac:dyDescent="0.15">
      <c r="H149" s="17">
        <v>147</v>
      </c>
      <c r="I149">
        <v>113048</v>
      </c>
      <c r="J149" t="s">
        <v>1897</v>
      </c>
      <c r="K149">
        <v>128.57</v>
      </c>
      <c r="L149" s="20">
        <v>27.17</v>
      </c>
      <c r="M149" s="21">
        <v>22.965109999999999</v>
      </c>
      <c r="N149" s="5" t="str">
        <f t="shared" si="8"/>
        <v>未买</v>
      </c>
      <c r="Q149" s="17">
        <v>147</v>
      </c>
    </row>
    <row r="150" spans="8:17" x14ac:dyDescent="0.15">
      <c r="H150" s="17">
        <v>148</v>
      </c>
      <c r="I150">
        <v>128100</v>
      </c>
      <c r="J150" t="s">
        <v>48</v>
      </c>
      <c r="K150">
        <v>97.472999999999999</v>
      </c>
      <c r="L150" s="20">
        <v>27.35</v>
      </c>
      <c r="M150" s="21">
        <v>7.9819829999999996</v>
      </c>
      <c r="N150" s="5" t="str">
        <f t="shared" si="8"/>
        <v>Yes</v>
      </c>
      <c r="Q150" s="17">
        <v>148</v>
      </c>
    </row>
    <row r="151" spans="8:17" x14ac:dyDescent="0.15">
      <c r="H151" s="17">
        <v>149</v>
      </c>
      <c r="I151">
        <v>123120</v>
      </c>
      <c r="J151" t="s">
        <v>239</v>
      </c>
      <c r="K151">
        <v>131.81200000000001</v>
      </c>
      <c r="L151" s="20">
        <v>27.37</v>
      </c>
      <c r="M151" s="21">
        <v>7.9851729999999996</v>
      </c>
      <c r="N151" s="5" t="str">
        <f t="shared" si="8"/>
        <v>未买</v>
      </c>
      <c r="Q151" s="17">
        <v>149</v>
      </c>
    </row>
    <row r="152" spans="8:17" x14ac:dyDescent="0.15">
      <c r="H152" s="17">
        <v>150</v>
      </c>
      <c r="I152">
        <v>113016</v>
      </c>
      <c r="J152" t="s">
        <v>1890</v>
      </c>
      <c r="K152">
        <v>559.84</v>
      </c>
      <c r="L152" s="20">
        <v>27.62</v>
      </c>
      <c r="M152" s="21">
        <v>2.06542</v>
      </c>
      <c r="N152" s="5" t="str">
        <f t="shared" si="8"/>
        <v>未买</v>
      </c>
      <c r="Q152" s="17">
        <v>150</v>
      </c>
    </row>
    <row r="153" spans="8:17" x14ac:dyDescent="0.15">
      <c r="H153" s="17">
        <v>151</v>
      </c>
      <c r="I153">
        <v>128042</v>
      </c>
      <c r="J153" t="s">
        <v>207</v>
      </c>
      <c r="K153">
        <v>121.104</v>
      </c>
      <c r="L153" s="20">
        <v>27.69</v>
      </c>
      <c r="M153" s="21">
        <v>4.1551119999999999</v>
      </c>
      <c r="N153" s="5" t="str">
        <f t="shared" si="8"/>
        <v>未买</v>
      </c>
      <c r="Q153" s="17">
        <v>151</v>
      </c>
    </row>
    <row r="154" spans="8:17" x14ac:dyDescent="0.15">
      <c r="H154" s="17">
        <v>152</v>
      </c>
      <c r="I154">
        <v>118000</v>
      </c>
      <c r="J154" t="s">
        <v>1908</v>
      </c>
      <c r="K154">
        <v>139.02000000000001</v>
      </c>
      <c r="L154" s="20">
        <v>28.22</v>
      </c>
      <c r="M154" s="21">
        <v>9.7853200000000005</v>
      </c>
      <c r="N154" s="5" t="str">
        <f t="shared" si="8"/>
        <v>未买</v>
      </c>
      <c r="Q154" s="17">
        <v>152</v>
      </c>
    </row>
    <row r="155" spans="8:17" x14ac:dyDescent="0.15">
      <c r="H155" s="17">
        <v>153</v>
      </c>
      <c r="I155">
        <v>110063</v>
      </c>
      <c r="J155" t="s">
        <v>1892</v>
      </c>
      <c r="K155">
        <v>114.06</v>
      </c>
      <c r="L155" s="20">
        <v>28.32</v>
      </c>
      <c r="M155" s="21">
        <v>18.444659999999999</v>
      </c>
      <c r="N155" s="5" t="str">
        <f t="shared" si="8"/>
        <v>未买</v>
      </c>
      <c r="Q155" s="17">
        <v>153</v>
      </c>
    </row>
    <row r="156" spans="8:17" x14ac:dyDescent="0.15">
      <c r="H156" s="17">
        <v>154</v>
      </c>
      <c r="I156">
        <v>128073</v>
      </c>
      <c r="J156" t="s">
        <v>98</v>
      </c>
      <c r="K156">
        <v>127.178</v>
      </c>
      <c r="L156" s="20">
        <v>28.33</v>
      </c>
      <c r="M156" s="21">
        <v>2.9874689999999999</v>
      </c>
      <c r="N156" s="5" t="str">
        <f t="shared" si="8"/>
        <v>未买</v>
      </c>
      <c r="Q156" s="17">
        <v>154</v>
      </c>
    </row>
    <row r="157" spans="8:17" x14ac:dyDescent="0.15">
      <c r="H157" s="17">
        <v>155</v>
      </c>
      <c r="I157">
        <v>110070</v>
      </c>
      <c r="J157" t="s">
        <v>89</v>
      </c>
      <c r="K157">
        <v>126.29</v>
      </c>
      <c r="L157" s="20">
        <v>28.78</v>
      </c>
      <c r="M157" s="21">
        <v>2.17075</v>
      </c>
      <c r="N157" s="5" t="str">
        <f t="shared" si="8"/>
        <v>未买</v>
      </c>
      <c r="Q157" s="17">
        <v>155</v>
      </c>
    </row>
    <row r="158" spans="8:17" x14ac:dyDescent="0.15">
      <c r="H158" s="17">
        <v>156</v>
      </c>
      <c r="I158">
        <v>128037</v>
      </c>
      <c r="J158" t="s">
        <v>73</v>
      </c>
      <c r="K158">
        <v>114.655</v>
      </c>
      <c r="L158" s="20">
        <v>28.78</v>
      </c>
      <c r="M158" s="21">
        <v>6.0227560000000002</v>
      </c>
      <c r="N158" s="5" t="str">
        <f t="shared" si="8"/>
        <v>Yes</v>
      </c>
      <c r="Q158" s="17">
        <v>156</v>
      </c>
    </row>
    <row r="159" spans="8:17" x14ac:dyDescent="0.15">
      <c r="H159" s="17">
        <v>157</v>
      </c>
      <c r="I159">
        <v>113648</v>
      </c>
      <c r="J159" t="s">
        <v>1937</v>
      </c>
      <c r="K159">
        <v>129.72</v>
      </c>
      <c r="L159" s="20">
        <v>28.81</v>
      </c>
      <c r="M159" s="21">
        <v>10</v>
      </c>
      <c r="N159" s="5" t="str">
        <f t="shared" si="8"/>
        <v>未买</v>
      </c>
      <c r="Q159" s="17">
        <v>157</v>
      </c>
    </row>
    <row r="160" spans="8:17" x14ac:dyDescent="0.15">
      <c r="H160" s="17">
        <v>158</v>
      </c>
      <c r="I160">
        <v>113502</v>
      </c>
      <c r="J160" t="s">
        <v>133</v>
      </c>
      <c r="K160">
        <v>140.38999999999999</v>
      </c>
      <c r="L160" s="20">
        <v>29.5</v>
      </c>
      <c r="M160" s="21">
        <v>1.8425100000000001</v>
      </c>
      <c r="N160" s="5" t="str">
        <f t="shared" si="8"/>
        <v>未买</v>
      </c>
      <c r="Q160" s="17">
        <v>158</v>
      </c>
    </row>
    <row r="161" spans="8:17" x14ac:dyDescent="0.15">
      <c r="H161" s="17">
        <v>159</v>
      </c>
      <c r="I161">
        <v>110047</v>
      </c>
      <c r="J161" t="s">
        <v>1898</v>
      </c>
      <c r="K161">
        <v>113.98</v>
      </c>
      <c r="L161" s="20">
        <v>29.86</v>
      </c>
      <c r="M161" s="21">
        <v>22.461320000000001</v>
      </c>
      <c r="N161" s="5" t="str">
        <f t="shared" si="8"/>
        <v>未买</v>
      </c>
      <c r="Q161" s="17">
        <v>159</v>
      </c>
    </row>
    <row r="162" spans="8:17" x14ac:dyDescent="0.15">
      <c r="H162" s="17">
        <v>160</v>
      </c>
      <c r="I162">
        <v>123087</v>
      </c>
      <c r="J162" t="s">
        <v>72</v>
      </c>
      <c r="K162">
        <v>122.5</v>
      </c>
      <c r="L162" s="20">
        <v>30.03</v>
      </c>
      <c r="M162" s="21">
        <v>4.1892620000000003</v>
      </c>
      <c r="N162" s="5" t="str">
        <f t="shared" si="8"/>
        <v>未买</v>
      </c>
      <c r="Q162" s="17">
        <v>160</v>
      </c>
    </row>
    <row r="163" spans="8:17" x14ac:dyDescent="0.15">
      <c r="H163" s="17">
        <v>161</v>
      </c>
      <c r="I163">
        <v>127035</v>
      </c>
      <c r="J163" t="s">
        <v>228</v>
      </c>
      <c r="K163">
        <v>116.98099999999999</v>
      </c>
      <c r="L163" s="20">
        <v>30.53</v>
      </c>
      <c r="M163" s="21">
        <v>6.2622609999999996</v>
      </c>
      <c r="N163" s="5" t="str">
        <f t="shared" si="8"/>
        <v>未买</v>
      </c>
      <c r="Q163" s="17">
        <v>161</v>
      </c>
    </row>
    <row r="164" spans="8:17" x14ac:dyDescent="0.15">
      <c r="H164" s="17">
        <v>162</v>
      </c>
      <c r="I164">
        <v>123137</v>
      </c>
      <c r="J164" t="s">
        <v>786</v>
      </c>
      <c r="K164">
        <v>130.29900000000001</v>
      </c>
      <c r="L164" s="20">
        <v>30.57</v>
      </c>
      <c r="M164" s="21">
        <v>8.9700000000000006</v>
      </c>
      <c r="N164" s="5" t="str">
        <f t="shared" si="8"/>
        <v>Yes</v>
      </c>
      <c r="Q164" s="17">
        <v>162</v>
      </c>
    </row>
    <row r="165" spans="8:17" x14ac:dyDescent="0.15">
      <c r="H165" s="17">
        <v>163</v>
      </c>
      <c r="I165">
        <v>123145</v>
      </c>
      <c r="J165" t="s">
        <v>1918</v>
      </c>
      <c r="K165">
        <v>131.12</v>
      </c>
      <c r="L165" s="20">
        <v>30.68</v>
      </c>
      <c r="M165" s="21">
        <v>11.5</v>
      </c>
      <c r="N165" s="5" t="str">
        <f t="shared" si="8"/>
        <v>未买</v>
      </c>
      <c r="Q165" s="17">
        <v>163</v>
      </c>
    </row>
    <row r="166" spans="8:17" x14ac:dyDescent="0.15">
      <c r="H166" s="17">
        <v>164</v>
      </c>
      <c r="I166">
        <v>128134</v>
      </c>
      <c r="J166" t="s">
        <v>1901</v>
      </c>
      <c r="K166">
        <v>125.51</v>
      </c>
      <c r="L166" s="20">
        <v>30.86</v>
      </c>
      <c r="M166" s="21">
        <v>15.728194999999999</v>
      </c>
      <c r="N166" s="5" t="str">
        <f t="shared" si="8"/>
        <v>未买</v>
      </c>
      <c r="Q166" s="17">
        <v>164</v>
      </c>
    </row>
    <row r="167" spans="8:17" x14ac:dyDescent="0.15">
      <c r="H167" s="17">
        <v>165</v>
      </c>
      <c r="I167">
        <v>113532</v>
      </c>
      <c r="J167" t="s">
        <v>202</v>
      </c>
      <c r="K167">
        <v>115.98</v>
      </c>
      <c r="L167" s="20">
        <v>30.87</v>
      </c>
      <c r="M167" s="21">
        <v>4.5855300000000003</v>
      </c>
      <c r="N167" s="5" t="str">
        <f t="shared" si="8"/>
        <v>未买</v>
      </c>
      <c r="Q167" s="17">
        <v>165</v>
      </c>
    </row>
    <row r="168" spans="8:17" x14ac:dyDescent="0.15">
      <c r="H168" s="17">
        <v>166</v>
      </c>
      <c r="I168">
        <v>127042</v>
      </c>
      <c r="J168" t="s">
        <v>93</v>
      </c>
      <c r="K168">
        <v>113.502</v>
      </c>
      <c r="L168" s="20">
        <v>31.34</v>
      </c>
      <c r="M168" s="21">
        <v>7.4982559999999996</v>
      </c>
      <c r="N168" s="5" t="str">
        <f t="shared" si="8"/>
        <v>未买</v>
      </c>
      <c r="Q168" s="17">
        <v>166</v>
      </c>
    </row>
    <row r="169" spans="8:17" x14ac:dyDescent="0.15">
      <c r="H169" s="17">
        <v>167</v>
      </c>
      <c r="I169">
        <v>128129</v>
      </c>
      <c r="J169" t="s">
        <v>1912</v>
      </c>
      <c r="K169">
        <v>104.48</v>
      </c>
      <c r="L169" s="20">
        <v>31.59</v>
      </c>
      <c r="M169" s="21">
        <v>49.997466000000003</v>
      </c>
      <c r="N169" s="5" t="str">
        <f t="shared" si="8"/>
        <v>未买</v>
      </c>
      <c r="Q169" s="17">
        <v>167</v>
      </c>
    </row>
    <row r="170" spans="8:17" x14ac:dyDescent="0.15">
      <c r="H170" s="17">
        <v>168</v>
      </c>
      <c r="I170">
        <v>123110</v>
      </c>
      <c r="J170" t="s">
        <v>107</v>
      </c>
      <c r="K170">
        <v>131.9</v>
      </c>
      <c r="L170" s="20">
        <v>32.11</v>
      </c>
      <c r="M170" s="21">
        <v>2.6979679999999999</v>
      </c>
      <c r="N170" s="5" t="str">
        <f t="shared" si="8"/>
        <v>未买</v>
      </c>
      <c r="Q170" s="17">
        <v>168</v>
      </c>
    </row>
    <row r="171" spans="8:17" x14ac:dyDescent="0.15">
      <c r="H171" s="17">
        <v>169</v>
      </c>
      <c r="I171">
        <v>127021</v>
      </c>
      <c r="J171" t="s">
        <v>220</v>
      </c>
      <c r="K171">
        <v>120.95099999999999</v>
      </c>
      <c r="L171" s="20">
        <v>32.130000000000003</v>
      </c>
      <c r="M171" s="21">
        <v>4.1596060000000001</v>
      </c>
      <c r="N171" s="5" t="str">
        <f t="shared" si="8"/>
        <v>未买</v>
      </c>
      <c r="Q171" s="17">
        <v>169</v>
      </c>
    </row>
    <row r="172" spans="8:17" x14ac:dyDescent="0.15">
      <c r="H172" s="17">
        <v>170</v>
      </c>
      <c r="I172">
        <v>111001</v>
      </c>
      <c r="J172" t="s">
        <v>223</v>
      </c>
      <c r="K172">
        <v>124.04</v>
      </c>
      <c r="L172" s="20">
        <v>32.200000000000003</v>
      </c>
      <c r="M172" s="21">
        <v>5.9994699999999996</v>
      </c>
      <c r="N172" s="5" t="str">
        <f t="shared" si="8"/>
        <v>未买</v>
      </c>
      <c r="Q172" s="17">
        <v>170</v>
      </c>
    </row>
    <row r="173" spans="8:17" x14ac:dyDescent="0.15">
      <c r="H173" s="17">
        <v>171</v>
      </c>
      <c r="I173">
        <v>127050</v>
      </c>
      <c r="J173" t="s">
        <v>1940</v>
      </c>
      <c r="K173">
        <v>128.76599999999999</v>
      </c>
      <c r="L173" s="20">
        <v>32.31</v>
      </c>
      <c r="M173" s="21">
        <v>21.989139000000002</v>
      </c>
      <c r="N173" s="5" t="str">
        <f t="shared" si="8"/>
        <v>未买</v>
      </c>
      <c r="Q173" s="17">
        <v>171</v>
      </c>
    </row>
    <row r="174" spans="8:17" x14ac:dyDescent="0.15">
      <c r="H174" s="17">
        <v>172</v>
      </c>
      <c r="I174">
        <v>128144</v>
      </c>
      <c r="J174" t="s">
        <v>227</v>
      </c>
      <c r="K174">
        <v>121.36</v>
      </c>
      <c r="L174" s="20">
        <v>32.6</v>
      </c>
      <c r="M174" s="21">
        <v>9.7941780000000005</v>
      </c>
      <c r="N174" s="5" t="str">
        <f t="shared" si="8"/>
        <v>未买</v>
      </c>
      <c r="Q174" s="17">
        <v>172</v>
      </c>
    </row>
    <row r="175" spans="8:17" x14ac:dyDescent="0.15">
      <c r="H175" s="17">
        <v>173</v>
      </c>
      <c r="I175">
        <v>128135</v>
      </c>
      <c r="J175" t="s">
        <v>1907</v>
      </c>
      <c r="K175">
        <v>125</v>
      </c>
      <c r="L175" s="20">
        <v>32.67</v>
      </c>
      <c r="M175" s="21">
        <v>13.398632999999998</v>
      </c>
      <c r="N175" s="5" t="str">
        <f t="shared" si="8"/>
        <v>未买</v>
      </c>
      <c r="Q175" s="17">
        <v>173</v>
      </c>
    </row>
    <row r="176" spans="8:17" x14ac:dyDescent="0.15">
      <c r="H176" s="17">
        <v>174</v>
      </c>
      <c r="I176">
        <v>123130</v>
      </c>
      <c r="J176" t="s">
        <v>71</v>
      </c>
      <c r="K176">
        <v>149</v>
      </c>
      <c r="L176" s="20">
        <v>32.89</v>
      </c>
      <c r="M176" s="21">
        <v>3.7562310000000001</v>
      </c>
      <c r="N176" s="5" t="str">
        <f t="shared" si="8"/>
        <v>未买</v>
      </c>
      <c r="Q176" s="17">
        <v>174</v>
      </c>
    </row>
    <row r="177" spans="8:17" x14ac:dyDescent="0.15">
      <c r="H177" s="17">
        <v>175</v>
      </c>
      <c r="I177">
        <v>127032</v>
      </c>
      <c r="J177" t="s">
        <v>1900</v>
      </c>
      <c r="K177">
        <v>114.288</v>
      </c>
      <c r="L177" s="20">
        <v>32.99</v>
      </c>
      <c r="M177" s="21">
        <v>49.995682000000002</v>
      </c>
      <c r="N177" s="5" t="str">
        <f t="shared" si="8"/>
        <v>未买</v>
      </c>
      <c r="Q177" s="17">
        <v>175</v>
      </c>
    </row>
    <row r="178" spans="8:17" x14ac:dyDescent="0.15">
      <c r="H178" s="17">
        <v>176</v>
      </c>
      <c r="I178">
        <v>128044</v>
      </c>
      <c r="J178" t="s">
        <v>131</v>
      </c>
      <c r="K178">
        <v>115.26</v>
      </c>
      <c r="L178" s="20">
        <v>33.11</v>
      </c>
      <c r="M178" s="21">
        <v>6.5742089999999997</v>
      </c>
      <c r="N178" s="5" t="str">
        <f t="shared" si="8"/>
        <v>未买</v>
      </c>
      <c r="Q178" s="17">
        <v>176</v>
      </c>
    </row>
    <row r="179" spans="8:17" x14ac:dyDescent="0.15">
      <c r="H179" s="17">
        <v>177</v>
      </c>
      <c r="I179">
        <v>118005</v>
      </c>
      <c r="J179" t="s">
        <v>787</v>
      </c>
      <c r="K179">
        <v>132.54</v>
      </c>
      <c r="L179" s="20">
        <v>33.21</v>
      </c>
      <c r="M179" s="21">
        <v>8.3000000000000007</v>
      </c>
      <c r="N179" s="5" t="str">
        <f t="shared" si="8"/>
        <v>未买</v>
      </c>
      <c r="Q179" s="17">
        <v>177</v>
      </c>
    </row>
    <row r="180" spans="8:17" x14ac:dyDescent="0.15">
      <c r="H180" s="17">
        <v>178</v>
      </c>
      <c r="I180">
        <v>113549</v>
      </c>
      <c r="J180" t="s">
        <v>100</v>
      </c>
      <c r="K180">
        <v>117.78</v>
      </c>
      <c r="L180" s="20">
        <v>33.549999999999997</v>
      </c>
      <c r="M180" s="21">
        <v>8.0473300000000005</v>
      </c>
      <c r="N180" s="5" t="str">
        <f t="shared" si="8"/>
        <v>未买</v>
      </c>
      <c r="Q180" s="17">
        <v>178</v>
      </c>
    </row>
    <row r="181" spans="8:17" x14ac:dyDescent="0.15">
      <c r="H181" s="17">
        <v>179</v>
      </c>
      <c r="I181">
        <v>123052</v>
      </c>
      <c r="J181" t="s">
        <v>1888</v>
      </c>
      <c r="K181">
        <v>149.298</v>
      </c>
      <c r="L181" s="20">
        <v>33.58</v>
      </c>
      <c r="M181" s="21">
        <v>1.503663</v>
      </c>
      <c r="N181" s="5" t="str">
        <f t="shared" si="8"/>
        <v>Yes</v>
      </c>
      <c r="Q181" s="17">
        <v>179</v>
      </c>
    </row>
    <row r="182" spans="8:17" x14ac:dyDescent="0.15">
      <c r="H182" s="17">
        <v>180</v>
      </c>
      <c r="I182">
        <v>113047</v>
      </c>
      <c r="J182" t="s">
        <v>1910</v>
      </c>
      <c r="K182">
        <v>131.36000000000001</v>
      </c>
      <c r="L182" s="20">
        <v>33.590000000000003</v>
      </c>
      <c r="M182" s="21">
        <v>14.98789</v>
      </c>
      <c r="N182" s="5" t="str">
        <f t="shared" si="8"/>
        <v>未买</v>
      </c>
      <c r="Q182" s="17">
        <v>180</v>
      </c>
    </row>
    <row r="183" spans="8:17" x14ac:dyDescent="0.15">
      <c r="H183" s="17">
        <v>181</v>
      </c>
      <c r="I183">
        <v>123084</v>
      </c>
      <c r="J183" t="s">
        <v>113</v>
      </c>
      <c r="K183">
        <v>173.49600000000001</v>
      </c>
      <c r="L183" s="20">
        <v>33.729999999999997</v>
      </c>
      <c r="M183" s="21">
        <v>2.5422899999999999</v>
      </c>
      <c r="N183" s="5" t="str">
        <f t="shared" si="8"/>
        <v>未买</v>
      </c>
      <c r="Q183" s="17">
        <v>181</v>
      </c>
    </row>
    <row r="184" spans="8:17" x14ac:dyDescent="0.15">
      <c r="H184" s="17">
        <v>182</v>
      </c>
      <c r="I184">
        <v>113579</v>
      </c>
      <c r="J184" t="s">
        <v>108</v>
      </c>
      <c r="K184">
        <v>127.04</v>
      </c>
      <c r="L184" s="20">
        <v>33.81</v>
      </c>
      <c r="M184" s="21">
        <v>5.0250199999999996</v>
      </c>
      <c r="N184" s="5" t="str">
        <f t="shared" si="8"/>
        <v>未买</v>
      </c>
      <c r="Q184" s="17">
        <v>182</v>
      </c>
    </row>
    <row r="185" spans="8:17" x14ac:dyDescent="0.15">
      <c r="H185" s="17">
        <v>183</v>
      </c>
      <c r="I185">
        <v>123022</v>
      </c>
      <c r="J185" t="s">
        <v>1915</v>
      </c>
      <c r="K185">
        <v>159.06299999999999</v>
      </c>
      <c r="L185" s="20">
        <v>34.04</v>
      </c>
      <c r="M185" s="21">
        <v>2.5627759999999995</v>
      </c>
      <c r="N185" s="5" t="str">
        <f t="shared" si="8"/>
        <v>未买</v>
      </c>
      <c r="Q185" s="17">
        <v>183</v>
      </c>
    </row>
    <row r="186" spans="8:17" x14ac:dyDescent="0.15">
      <c r="H186" s="17">
        <v>184</v>
      </c>
      <c r="I186">
        <v>110056</v>
      </c>
      <c r="J186" t="s">
        <v>1932</v>
      </c>
      <c r="K186">
        <v>127</v>
      </c>
      <c r="L186" s="20">
        <v>34.36</v>
      </c>
      <c r="M186" s="21">
        <v>17.100950000000001</v>
      </c>
      <c r="N186" s="5" t="str">
        <f t="shared" si="8"/>
        <v>未买</v>
      </c>
      <c r="Q186" s="17">
        <v>184</v>
      </c>
    </row>
    <row r="187" spans="8:17" x14ac:dyDescent="0.15">
      <c r="H187" s="17">
        <v>185</v>
      </c>
      <c r="I187">
        <v>118003</v>
      </c>
      <c r="J187" t="s">
        <v>253</v>
      </c>
      <c r="K187">
        <v>126.06</v>
      </c>
      <c r="L187" s="20">
        <v>34.71</v>
      </c>
      <c r="M187" s="21">
        <v>7.9993499999999997</v>
      </c>
      <c r="N187" s="5" t="str">
        <f t="shared" si="8"/>
        <v>未买</v>
      </c>
      <c r="Q187" s="17">
        <v>185</v>
      </c>
    </row>
    <row r="188" spans="8:17" x14ac:dyDescent="0.15">
      <c r="H188" s="17">
        <v>186</v>
      </c>
      <c r="I188">
        <v>113030</v>
      </c>
      <c r="J188" t="s">
        <v>96</v>
      </c>
      <c r="K188">
        <v>125.79</v>
      </c>
      <c r="L188" s="20">
        <v>34.75</v>
      </c>
      <c r="M188" s="21">
        <v>2.9510800000000001</v>
      </c>
      <c r="N188" s="5" t="str">
        <f t="shared" si="8"/>
        <v>未买</v>
      </c>
      <c r="Q188" s="17">
        <v>186</v>
      </c>
    </row>
    <row r="189" spans="8:17" x14ac:dyDescent="0.15">
      <c r="H189" s="17">
        <v>187</v>
      </c>
      <c r="I189">
        <v>113024</v>
      </c>
      <c r="J189" t="s">
        <v>1906</v>
      </c>
      <c r="K189">
        <v>118.83</v>
      </c>
      <c r="L189" s="20">
        <v>34.82</v>
      </c>
      <c r="M189" s="21">
        <v>29.953800000000001</v>
      </c>
      <c r="N189" s="5" t="str">
        <f t="shared" si="8"/>
        <v>未买</v>
      </c>
      <c r="Q189" s="17">
        <v>187</v>
      </c>
    </row>
    <row r="190" spans="8:17" x14ac:dyDescent="0.15">
      <c r="H190" s="17">
        <v>188</v>
      </c>
      <c r="I190">
        <v>113647</v>
      </c>
      <c r="J190" t="s">
        <v>1911</v>
      </c>
      <c r="K190">
        <v>122.11</v>
      </c>
      <c r="L190" s="20">
        <v>35.21</v>
      </c>
      <c r="M190" s="21">
        <v>15</v>
      </c>
      <c r="N190" s="5" t="str">
        <f t="shared" si="8"/>
        <v>未买</v>
      </c>
      <c r="Q190" s="17">
        <v>188</v>
      </c>
    </row>
    <row r="191" spans="8:17" x14ac:dyDescent="0.15">
      <c r="H191" s="17">
        <v>189</v>
      </c>
      <c r="I191">
        <v>110052</v>
      </c>
      <c r="J191" t="s">
        <v>1889</v>
      </c>
      <c r="K191">
        <v>115.3</v>
      </c>
      <c r="L191" s="20">
        <v>35.229999999999997</v>
      </c>
      <c r="M191" s="21">
        <v>14.217930000000001</v>
      </c>
      <c r="N191" s="5" t="str">
        <f t="shared" si="8"/>
        <v>未买</v>
      </c>
      <c r="Q191" s="17">
        <v>189</v>
      </c>
    </row>
    <row r="192" spans="8:17" x14ac:dyDescent="0.15">
      <c r="H192" s="17">
        <v>190</v>
      </c>
      <c r="I192">
        <v>113058</v>
      </c>
      <c r="J192" t="s">
        <v>1903</v>
      </c>
      <c r="K192">
        <v>117.43</v>
      </c>
      <c r="L192" s="20">
        <v>35.299999999999997</v>
      </c>
      <c r="M192" s="21">
        <v>20</v>
      </c>
      <c r="N192" s="5" t="str">
        <f t="shared" si="8"/>
        <v>未买</v>
      </c>
      <c r="Q192" s="17">
        <v>190</v>
      </c>
    </row>
    <row r="193" spans="8:17" x14ac:dyDescent="0.15">
      <c r="H193" s="17">
        <v>191</v>
      </c>
      <c r="I193">
        <v>127019</v>
      </c>
      <c r="J193" t="s">
        <v>176</v>
      </c>
      <c r="K193">
        <v>113.98099999999999</v>
      </c>
      <c r="L193" s="20">
        <v>35.31</v>
      </c>
      <c r="M193" s="21">
        <v>8.4978960000000008</v>
      </c>
      <c r="N193" s="5" t="str">
        <f t="shared" si="8"/>
        <v>未买</v>
      </c>
      <c r="Q193" s="17">
        <v>191</v>
      </c>
    </row>
    <row r="194" spans="8:17" x14ac:dyDescent="0.15">
      <c r="H194" s="17">
        <v>192</v>
      </c>
      <c r="I194">
        <v>128076</v>
      </c>
      <c r="J194" t="s">
        <v>130</v>
      </c>
      <c r="K194">
        <v>125.8</v>
      </c>
      <c r="L194" s="20">
        <v>36</v>
      </c>
      <c r="M194" s="21">
        <v>2.1374019999999998</v>
      </c>
      <c r="N194" s="5" t="str">
        <f t="shared" si="8"/>
        <v>Yes</v>
      </c>
      <c r="Q194" s="17">
        <v>192</v>
      </c>
    </row>
    <row r="195" spans="8:17" x14ac:dyDescent="0.15">
      <c r="H195" s="17">
        <v>193</v>
      </c>
      <c r="I195">
        <v>128127</v>
      </c>
      <c r="J195" t="s">
        <v>218</v>
      </c>
      <c r="K195">
        <v>110.752</v>
      </c>
      <c r="L195" s="20">
        <v>36.14</v>
      </c>
      <c r="M195" s="21">
        <v>9.4930299999999992</v>
      </c>
      <c r="N195" s="5" t="str">
        <f t="shared" si="8"/>
        <v>未买</v>
      </c>
      <c r="Q195" s="17">
        <v>193</v>
      </c>
    </row>
    <row r="196" spans="8:17" x14ac:dyDescent="0.15">
      <c r="H196" s="17">
        <v>194</v>
      </c>
      <c r="I196">
        <v>113505</v>
      </c>
      <c r="J196" t="s">
        <v>242</v>
      </c>
      <c r="K196">
        <v>118.13</v>
      </c>
      <c r="L196" s="20">
        <v>36.14</v>
      </c>
      <c r="M196" s="21">
        <v>7.4973799999999997</v>
      </c>
      <c r="N196" s="5" t="str">
        <f t="shared" ref="N196:N259" si="9">IF(ISNA(MATCH(I196,$A$3:$A$1000,0)),"未买","Yes")</f>
        <v>未买</v>
      </c>
      <c r="Q196" s="17">
        <v>194</v>
      </c>
    </row>
    <row r="197" spans="8:17" x14ac:dyDescent="0.15">
      <c r="H197" s="17">
        <v>195</v>
      </c>
      <c r="I197">
        <v>123031</v>
      </c>
      <c r="J197" t="s">
        <v>1934</v>
      </c>
      <c r="K197">
        <v>378.5</v>
      </c>
      <c r="L197" s="20">
        <v>36.270000000000003</v>
      </c>
      <c r="M197" s="21">
        <v>0.52995999999999999</v>
      </c>
      <c r="N197" s="5" t="str">
        <f t="shared" si="9"/>
        <v>未买</v>
      </c>
      <c r="Q197" s="17">
        <v>195</v>
      </c>
    </row>
    <row r="198" spans="8:17" x14ac:dyDescent="0.15">
      <c r="H198" s="17">
        <v>196</v>
      </c>
      <c r="I198">
        <v>128082</v>
      </c>
      <c r="J198" t="s">
        <v>1865</v>
      </c>
      <c r="K198">
        <v>204.5</v>
      </c>
      <c r="L198" s="20">
        <v>36.58</v>
      </c>
      <c r="M198" s="21">
        <v>2.0328339999999998</v>
      </c>
      <c r="N198" s="5" t="str">
        <f t="shared" si="9"/>
        <v>未买</v>
      </c>
      <c r="Q198" s="17">
        <v>196</v>
      </c>
    </row>
    <row r="199" spans="8:17" x14ac:dyDescent="0.15">
      <c r="H199" s="17">
        <v>197</v>
      </c>
      <c r="I199">
        <v>127005</v>
      </c>
      <c r="J199" t="s">
        <v>1916</v>
      </c>
      <c r="K199">
        <v>116.51</v>
      </c>
      <c r="L199" s="20">
        <v>36.64</v>
      </c>
      <c r="M199" s="21">
        <v>49.964184000000003</v>
      </c>
      <c r="N199" s="5" t="str">
        <f t="shared" si="9"/>
        <v>未买</v>
      </c>
      <c r="Q199" s="17">
        <v>197</v>
      </c>
    </row>
    <row r="200" spans="8:17" x14ac:dyDescent="0.15">
      <c r="H200" s="17">
        <v>198</v>
      </c>
      <c r="I200">
        <v>123077</v>
      </c>
      <c r="J200" t="s">
        <v>216</v>
      </c>
      <c r="K200">
        <v>127</v>
      </c>
      <c r="L200" s="20">
        <v>36.74</v>
      </c>
      <c r="M200" s="21">
        <v>9.3675669999999993</v>
      </c>
      <c r="N200" s="5" t="str">
        <f t="shared" si="9"/>
        <v>未买</v>
      </c>
      <c r="Q200" s="17">
        <v>198</v>
      </c>
    </row>
    <row r="201" spans="8:17" x14ac:dyDescent="0.15">
      <c r="H201" s="17">
        <v>199</v>
      </c>
      <c r="I201">
        <v>123035</v>
      </c>
      <c r="J201" t="s">
        <v>124</v>
      </c>
      <c r="K201">
        <v>126.294</v>
      </c>
      <c r="L201" s="20">
        <v>36.79</v>
      </c>
      <c r="M201" s="21">
        <v>7.9877429999999991</v>
      </c>
      <c r="N201" s="5" t="str">
        <f t="shared" si="9"/>
        <v>未买</v>
      </c>
      <c r="Q201" s="17">
        <v>199</v>
      </c>
    </row>
    <row r="202" spans="8:17" x14ac:dyDescent="0.15">
      <c r="H202" s="17">
        <v>200</v>
      </c>
      <c r="I202">
        <v>113609</v>
      </c>
      <c r="J202" t="s">
        <v>83</v>
      </c>
      <c r="K202">
        <v>110.15</v>
      </c>
      <c r="L202" s="20">
        <v>37</v>
      </c>
      <c r="M202" s="21">
        <v>7.3419100000000004</v>
      </c>
      <c r="N202" s="5" t="str">
        <f t="shared" si="9"/>
        <v>未买</v>
      </c>
      <c r="Q202" s="17">
        <v>200</v>
      </c>
    </row>
    <row r="203" spans="8:17" x14ac:dyDescent="0.15">
      <c r="H203" s="17">
        <v>201</v>
      </c>
      <c r="I203">
        <v>113013</v>
      </c>
      <c r="J203" t="s">
        <v>1913</v>
      </c>
      <c r="K203">
        <v>113.25</v>
      </c>
      <c r="L203" s="20">
        <v>37.82</v>
      </c>
      <c r="M203" s="21">
        <v>69.901759999999996</v>
      </c>
      <c r="N203" s="5" t="str">
        <f t="shared" si="9"/>
        <v>未买</v>
      </c>
      <c r="Q203" s="17">
        <v>201</v>
      </c>
    </row>
    <row r="204" spans="8:17" x14ac:dyDescent="0.15">
      <c r="H204" s="17">
        <v>202</v>
      </c>
      <c r="I204">
        <v>128137</v>
      </c>
      <c r="J204" t="s">
        <v>1923</v>
      </c>
      <c r="K204">
        <v>122</v>
      </c>
      <c r="L204" s="20">
        <v>38.4</v>
      </c>
      <c r="M204" s="21">
        <v>5.9940730000000002</v>
      </c>
      <c r="N204" s="5" t="str">
        <f t="shared" si="9"/>
        <v>未买</v>
      </c>
      <c r="Q204" s="17">
        <v>202</v>
      </c>
    </row>
    <row r="205" spans="8:17" x14ac:dyDescent="0.15">
      <c r="H205" s="17">
        <v>203</v>
      </c>
      <c r="I205">
        <v>113644</v>
      </c>
      <c r="J205" t="s">
        <v>1938</v>
      </c>
      <c r="K205">
        <v>114.63</v>
      </c>
      <c r="L205" s="20">
        <v>38.51</v>
      </c>
      <c r="M205" s="21">
        <v>10</v>
      </c>
      <c r="N205" s="5" t="str">
        <f t="shared" si="9"/>
        <v>未买</v>
      </c>
      <c r="Q205" s="17">
        <v>203</v>
      </c>
    </row>
    <row r="206" spans="8:17" x14ac:dyDescent="0.15">
      <c r="H206" s="17">
        <v>204</v>
      </c>
      <c r="I206">
        <v>110086</v>
      </c>
      <c r="J206" t="s">
        <v>1896</v>
      </c>
      <c r="K206">
        <v>117.45</v>
      </c>
      <c r="L206" s="20">
        <v>38.83</v>
      </c>
      <c r="M206" s="21">
        <v>20</v>
      </c>
      <c r="N206" s="5" t="str">
        <f t="shared" si="9"/>
        <v>未买</v>
      </c>
      <c r="Q206" s="17">
        <v>204</v>
      </c>
    </row>
    <row r="207" spans="8:17" x14ac:dyDescent="0.15">
      <c r="H207" s="17">
        <v>205</v>
      </c>
      <c r="I207">
        <v>123125</v>
      </c>
      <c r="J207" t="s">
        <v>225</v>
      </c>
      <c r="K207">
        <v>116.3</v>
      </c>
      <c r="L207" s="20">
        <v>38.950000000000003</v>
      </c>
      <c r="M207" s="21">
        <v>8.9997000000000007</v>
      </c>
      <c r="N207" s="5" t="str">
        <f t="shared" si="9"/>
        <v>未买</v>
      </c>
      <c r="Q207" s="17">
        <v>205</v>
      </c>
    </row>
    <row r="208" spans="8:17" x14ac:dyDescent="0.15">
      <c r="H208" s="17">
        <v>206</v>
      </c>
      <c r="I208">
        <v>113052</v>
      </c>
      <c r="J208" t="s">
        <v>1914</v>
      </c>
      <c r="K208">
        <v>110.11</v>
      </c>
      <c r="L208" s="20">
        <v>39.01</v>
      </c>
      <c r="M208" s="21">
        <v>500</v>
      </c>
      <c r="N208" s="5" t="str">
        <f t="shared" si="9"/>
        <v>未买</v>
      </c>
      <c r="Q208" s="17">
        <v>206</v>
      </c>
    </row>
    <row r="209" spans="8:17" x14ac:dyDescent="0.15">
      <c r="H209" s="17">
        <v>207</v>
      </c>
      <c r="I209">
        <v>127037</v>
      </c>
      <c r="J209" t="s">
        <v>233</v>
      </c>
      <c r="K209">
        <v>133</v>
      </c>
      <c r="L209" s="20">
        <v>39.06</v>
      </c>
      <c r="M209" s="21">
        <v>6.9975529999999999</v>
      </c>
      <c r="N209" s="5" t="str">
        <f t="shared" si="9"/>
        <v>未买</v>
      </c>
      <c r="Q209" s="17">
        <v>207</v>
      </c>
    </row>
    <row r="210" spans="8:17" x14ac:dyDescent="0.15">
      <c r="H210" s="17">
        <v>208</v>
      </c>
      <c r="I210">
        <v>123082</v>
      </c>
      <c r="J210" t="s">
        <v>75</v>
      </c>
      <c r="K210">
        <v>115.929</v>
      </c>
      <c r="L210" s="20">
        <v>39.17</v>
      </c>
      <c r="M210" s="21">
        <v>4.9930149999999998</v>
      </c>
      <c r="N210" s="5" t="str">
        <f t="shared" si="9"/>
        <v>未买</v>
      </c>
      <c r="Q210" s="17">
        <v>208</v>
      </c>
    </row>
    <row r="211" spans="8:17" x14ac:dyDescent="0.15">
      <c r="H211" s="17">
        <v>209</v>
      </c>
      <c r="I211">
        <v>113602</v>
      </c>
      <c r="J211" t="s">
        <v>1921</v>
      </c>
      <c r="K211">
        <v>121.09</v>
      </c>
      <c r="L211" s="20">
        <v>39.17</v>
      </c>
      <c r="M211" s="21">
        <v>17.798739999999999</v>
      </c>
      <c r="N211" s="5" t="str">
        <f t="shared" si="9"/>
        <v>未买</v>
      </c>
      <c r="Q211" s="17">
        <v>209</v>
      </c>
    </row>
    <row r="212" spans="8:17" x14ac:dyDescent="0.15">
      <c r="H212" s="17">
        <v>210</v>
      </c>
      <c r="I212">
        <v>127033</v>
      </c>
      <c r="J212" t="s">
        <v>1895</v>
      </c>
      <c r="K212">
        <v>115.5</v>
      </c>
      <c r="L212" s="20">
        <v>39.61</v>
      </c>
      <c r="M212" s="21">
        <v>11.594339</v>
      </c>
      <c r="N212" s="5" t="str">
        <f t="shared" si="9"/>
        <v>未买</v>
      </c>
      <c r="Q212" s="17">
        <v>210</v>
      </c>
    </row>
    <row r="213" spans="8:17" x14ac:dyDescent="0.15">
      <c r="H213" s="17">
        <v>211</v>
      </c>
      <c r="I213">
        <v>128097</v>
      </c>
      <c r="J213" t="s">
        <v>111</v>
      </c>
      <c r="K213">
        <v>120.48</v>
      </c>
      <c r="L213" s="20">
        <v>39.74</v>
      </c>
      <c r="M213" s="21">
        <v>4.5856839999999996</v>
      </c>
      <c r="N213" s="5" t="str">
        <f t="shared" si="9"/>
        <v>未买</v>
      </c>
      <c r="Q213" s="17">
        <v>211</v>
      </c>
    </row>
    <row r="214" spans="8:17" x14ac:dyDescent="0.15">
      <c r="H214" s="17">
        <v>212</v>
      </c>
      <c r="I214">
        <v>123045</v>
      </c>
      <c r="J214" t="s">
        <v>109</v>
      </c>
      <c r="K214">
        <v>145.48500000000001</v>
      </c>
      <c r="L214" s="20">
        <v>40.33</v>
      </c>
      <c r="M214" s="21">
        <v>1.6599440000000001</v>
      </c>
      <c r="N214" s="5" t="str">
        <f t="shared" si="9"/>
        <v>Yes</v>
      </c>
      <c r="Q214" s="17">
        <v>212</v>
      </c>
    </row>
    <row r="215" spans="8:17" x14ac:dyDescent="0.15">
      <c r="H215" s="17">
        <v>213</v>
      </c>
      <c r="I215">
        <v>111002</v>
      </c>
      <c r="J215" t="s">
        <v>249</v>
      </c>
      <c r="K215">
        <v>133.96</v>
      </c>
      <c r="L215" s="20">
        <v>40.33</v>
      </c>
      <c r="M215" s="21">
        <v>6.6999399999999998</v>
      </c>
      <c r="N215" s="5" t="str">
        <f t="shared" si="9"/>
        <v>未买</v>
      </c>
      <c r="Q215" s="17">
        <v>213</v>
      </c>
    </row>
    <row r="216" spans="8:17" x14ac:dyDescent="0.15">
      <c r="H216" s="17">
        <v>214</v>
      </c>
      <c r="I216">
        <v>127016</v>
      </c>
      <c r="J216" t="s">
        <v>1905</v>
      </c>
      <c r="K216">
        <v>114.5</v>
      </c>
      <c r="L216" s="20">
        <v>40.369999999999997</v>
      </c>
      <c r="M216" s="21">
        <v>13.998544000000001</v>
      </c>
      <c r="N216" s="5" t="str">
        <f t="shared" si="9"/>
        <v>未买</v>
      </c>
      <c r="Q216" s="17">
        <v>214</v>
      </c>
    </row>
    <row r="217" spans="8:17" x14ac:dyDescent="0.15">
      <c r="H217" s="17">
        <v>215</v>
      </c>
      <c r="I217">
        <v>127025</v>
      </c>
      <c r="J217" t="s">
        <v>1919</v>
      </c>
      <c r="K217">
        <v>112.252</v>
      </c>
      <c r="L217" s="20">
        <v>40.42</v>
      </c>
      <c r="M217" s="21">
        <v>17.76455</v>
      </c>
      <c r="N217" s="5" t="str">
        <f t="shared" si="9"/>
        <v>未买</v>
      </c>
      <c r="Q217" s="17">
        <v>215</v>
      </c>
    </row>
    <row r="218" spans="8:17" x14ac:dyDescent="0.15">
      <c r="H218" s="17">
        <v>216</v>
      </c>
      <c r="I218">
        <v>110060</v>
      </c>
      <c r="J218" t="s">
        <v>215</v>
      </c>
      <c r="K218">
        <v>115.81</v>
      </c>
      <c r="L218" s="20">
        <v>40.65</v>
      </c>
      <c r="M218" s="21">
        <v>7.0625299999999998</v>
      </c>
      <c r="N218" s="5" t="str">
        <f t="shared" si="9"/>
        <v>未买</v>
      </c>
      <c r="Q218" s="17">
        <v>216</v>
      </c>
    </row>
    <row r="219" spans="8:17" x14ac:dyDescent="0.15">
      <c r="H219" s="17">
        <v>217</v>
      </c>
      <c r="I219">
        <v>128071</v>
      </c>
      <c r="J219" t="s">
        <v>88</v>
      </c>
      <c r="K219">
        <v>115.083</v>
      </c>
      <c r="L219" s="20">
        <v>40.65</v>
      </c>
      <c r="M219" s="21">
        <v>2.999336</v>
      </c>
      <c r="N219" s="5" t="str">
        <f t="shared" si="9"/>
        <v>未买</v>
      </c>
      <c r="Q219" s="17">
        <v>217</v>
      </c>
    </row>
    <row r="220" spans="8:17" x14ac:dyDescent="0.15">
      <c r="H220" s="17">
        <v>218</v>
      </c>
      <c r="I220">
        <v>113054</v>
      </c>
      <c r="J220" t="s">
        <v>1920</v>
      </c>
      <c r="K220">
        <v>108.93</v>
      </c>
      <c r="L220" s="20">
        <v>40.94</v>
      </c>
      <c r="M220" s="21">
        <v>23.6</v>
      </c>
      <c r="N220" s="5" t="str">
        <f t="shared" si="9"/>
        <v>未买</v>
      </c>
      <c r="Q220" s="17">
        <v>218</v>
      </c>
    </row>
    <row r="221" spans="8:17" x14ac:dyDescent="0.15">
      <c r="H221" s="17">
        <v>219</v>
      </c>
      <c r="I221">
        <v>128090</v>
      </c>
      <c r="J221" t="s">
        <v>122</v>
      </c>
      <c r="K221">
        <v>137.36000000000001</v>
      </c>
      <c r="L221" s="20">
        <v>41.03</v>
      </c>
      <c r="M221" s="21">
        <v>3.0994130000000002</v>
      </c>
      <c r="N221" s="5" t="str">
        <f t="shared" si="9"/>
        <v>未买</v>
      </c>
      <c r="Q221" s="17">
        <v>219</v>
      </c>
    </row>
    <row r="222" spans="8:17" x14ac:dyDescent="0.15">
      <c r="H222" s="17">
        <v>220</v>
      </c>
      <c r="I222">
        <v>128033</v>
      </c>
      <c r="J222" t="s">
        <v>69</v>
      </c>
      <c r="K222">
        <v>119.88800000000001</v>
      </c>
      <c r="L222" s="20">
        <v>42.28</v>
      </c>
      <c r="M222" s="21">
        <v>2.973023</v>
      </c>
      <c r="N222" s="5" t="str">
        <f t="shared" si="9"/>
        <v>未买</v>
      </c>
      <c r="Q222" s="17">
        <v>220</v>
      </c>
    </row>
    <row r="223" spans="8:17" x14ac:dyDescent="0.15">
      <c r="H223" s="17">
        <v>221</v>
      </c>
      <c r="I223">
        <v>123100</v>
      </c>
      <c r="J223" t="s">
        <v>104</v>
      </c>
      <c r="K223">
        <v>116.79</v>
      </c>
      <c r="L223" s="20">
        <v>42.29</v>
      </c>
      <c r="M223" s="21">
        <v>3.7985370000000001</v>
      </c>
      <c r="N223" s="5" t="str">
        <f t="shared" si="9"/>
        <v>未买</v>
      </c>
      <c r="Q223" s="17">
        <v>221</v>
      </c>
    </row>
    <row r="224" spans="8:17" x14ac:dyDescent="0.15">
      <c r="H224" s="17">
        <v>222</v>
      </c>
      <c r="I224">
        <v>113037</v>
      </c>
      <c r="J224" t="s">
        <v>1925</v>
      </c>
      <c r="K224">
        <v>104.27</v>
      </c>
      <c r="L224" s="20">
        <v>42.52</v>
      </c>
      <c r="M224" s="21">
        <v>44.996189999999999</v>
      </c>
      <c r="N224" s="5" t="str">
        <f t="shared" si="9"/>
        <v>未买</v>
      </c>
      <c r="Q224" s="17">
        <v>222</v>
      </c>
    </row>
    <row r="225" spans="8:17" x14ac:dyDescent="0.15">
      <c r="H225" s="17">
        <v>223</v>
      </c>
      <c r="I225">
        <v>128101</v>
      </c>
      <c r="J225" t="s">
        <v>1931</v>
      </c>
      <c r="K225">
        <v>146.61000000000001</v>
      </c>
      <c r="L225" s="20">
        <v>42.96</v>
      </c>
      <c r="M225" s="21">
        <v>2.994561</v>
      </c>
      <c r="N225" s="5" t="str">
        <f t="shared" si="9"/>
        <v>未买</v>
      </c>
      <c r="Q225" s="17">
        <v>223</v>
      </c>
    </row>
    <row r="226" spans="8:17" x14ac:dyDescent="0.15">
      <c r="H226" s="17">
        <v>224</v>
      </c>
      <c r="I226">
        <v>113056</v>
      </c>
      <c r="J226" t="s">
        <v>1928</v>
      </c>
      <c r="K226">
        <v>101.19</v>
      </c>
      <c r="L226" s="20">
        <v>43.21</v>
      </c>
      <c r="M226" s="21">
        <v>130</v>
      </c>
      <c r="N226" s="5" t="str">
        <f t="shared" si="9"/>
        <v>未买</v>
      </c>
      <c r="Q226" s="17">
        <v>224</v>
      </c>
    </row>
    <row r="227" spans="8:17" x14ac:dyDescent="0.15">
      <c r="H227" s="17">
        <v>225</v>
      </c>
      <c r="I227">
        <v>123075</v>
      </c>
      <c r="J227" t="s">
        <v>70</v>
      </c>
      <c r="K227">
        <v>125.2</v>
      </c>
      <c r="L227" s="20">
        <v>43.45</v>
      </c>
      <c r="M227" s="21">
        <v>5.9963300000000004</v>
      </c>
      <c r="N227" s="5" t="str">
        <f t="shared" si="9"/>
        <v>未买</v>
      </c>
      <c r="Q227" s="17">
        <v>225</v>
      </c>
    </row>
    <row r="228" spans="8:17" x14ac:dyDescent="0.15">
      <c r="H228" s="17">
        <v>226</v>
      </c>
      <c r="I228">
        <v>127017</v>
      </c>
      <c r="J228" t="s">
        <v>197</v>
      </c>
      <c r="K228">
        <v>120.9</v>
      </c>
      <c r="L228" s="20">
        <v>43.86</v>
      </c>
      <c r="M228" s="21">
        <v>9.9959450000000007</v>
      </c>
      <c r="N228" s="5" t="str">
        <f t="shared" si="9"/>
        <v>未买</v>
      </c>
      <c r="Q228" s="17">
        <v>226</v>
      </c>
    </row>
    <row r="229" spans="8:17" x14ac:dyDescent="0.15">
      <c r="H229" s="17">
        <v>227</v>
      </c>
      <c r="I229">
        <v>127054</v>
      </c>
      <c r="J229" t="s">
        <v>785</v>
      </c>
      <c r="K229">
        <v>115.35</v>
      </c>
      <c r="L229" s="20">
        <v>43.9</v>
      </c>
      <c r="M229" s="21">
        <v>5.1364000000000001</v>
      </c>
      <c r="N229" s="5" t="str">
        <f t="shared" si="9"/>
        <v>未买</v>
      </c>
      <c r="Q229" s="17">
        <v>227</v>
      </c>
    </row>
    <row r="230" spans="8:17" x14ac:dyDescent="0.15">
      <c r="H230" s="17">
        <v>228</v>
      </c>
      <c r="I230">
        <v>113635</v>
      </c>
      <c r="J230" t="s">
        <v>1945</v>
      </c>
      <c r="K230">
        <v>125.8</v>
      </c>
      <c r="L230" s="20">
        <v>44.12</v>
      </c>
      <c r="M230" s="21">
        <v>13.499040000000001</v>
      </c>
      <c r="N230" s="5" t="str">
        <f t="shared" si="9"/>
        <v>未买</v>
      </c>
      <c r="Q230" s="17">
        <v>228</v>
      </c>
    </row>
    <row r="231" spans="8:17" x14ac:dyDescent="0.15">
      <c r="H231" s="17">
        <v>229</v>
      </c>
      <c r="I231">
        <v>113600</v>
      </c>
      <c r="J231" t="s">
        <v>275</v>
      </c>
      <c r="K231">
        <v>133.21</v>
      </c>
      <c r="L231" s="20">
        <v>44.28</v>
      </c>
      <c r="M231" s="21">
        <v>4.5331000000000001</v>
      </c>
      <c r="N231" s="5" t="str">
        <f t="shared" si="9"/>
        <v>未买</v>
      </c>
      <c r="Q231" s="17">
        <v>229</v>
      </c>
    </row>
    <row r="232" spans="8:17" x14ac:dyDescent="0.15">
      <c r="H232" s="17">
        <v>230</v>
      </c>
      <c r="I232">
        <v>110067</v>
      </c>
      <c r="J232" t="s">
        <v>1941</v>
      </c>
      <c r="K232">
        <v>111.82</v>
      </c>
      <c r="L232" s="20">
        <v>44.38</v>
      </c>
      <c r="M232" s="21">
        <v>27.995080000000002</v>
      </c>
      <c r="N232" s="5" t="str">
        <f t="shared" si="9"/>
        <v>未买</v>
      </c>
      <c r="Q232" s="17">
        <v>230</v>
      </c>
    </row>
    <row r="233" spans="8:17" x14ac:dyDescent="0.15">
      <c r="H233" s="17">
        <v>231</v>
      </c>
      <c r="I233">
        <v>128132</v>
      </c>
      <c r="J233" t="s">
        <v>160</v>
      </c>
      <c r="K233">
        <v>118.95</v>
      </c>
      <c r="L233" s="20">
        <v>44.44</v>
      </c>
      <c r="M233" s="21">
        <v>8.4894379999999998</v>
      </c>
      <c r="N233" s="5" t="str">
        <f t="shared" si="9"/>
        <v>未买</v>
      </c>
      <c r="Q233" s="17">
        <v>231</v>
      </c>
    </row>
    <row r="234" spans="8:17" x14ac:dyDescent="0.15">
      <c r="H234" s="17">
        <v>232</v>
      </c>
      <c r="I234">
        <v>113519</v>
      </c>
      <c r="J234" t="s">
        <v>174</v>
      </c>
      <c r="K234">
        <v>117.38</v>
      </c>
      <c r="L234" s="20">
        <v>44.63</v>
      </c>
      <c r="M234" s="21">
        <v>6.9611099999999997</v>
      </c>
      <c r="N234" s="5" t="str">
        <f t="shared" si="9"/>
        <v>未买</v>
      </c>
      <c r="Q234" s="17">
        <v>232</v>
      </c>
    </row>
    <row r="235" spans="8:17" x14ac:dyDescent="0.15">
      <c r="H235" s="17">
        <v>233</v>
      </c>
      <c r="I235">
        <v>113524</v>
      </c>
      <c r="J235" t="s">
        <v>222</v>
      </c>
      <c r="K235">
        <v>116.32</v>
      </c>
      <c r="L235" s="20">
        <v>44.78</v>
      </c>
      <c r="M235" s="21">
        <v>3.2980100000000001</v>
      </c>
      <c r="N235" s="5" t="str">
        <f t="shared" si="9"/>
        <v>未买</v>
      </c>
      <c r="Q235" s="17">
        <v>233</v>
      </c>
    </row>
    <row r="236" spans="8:17" x14ac:dyDescent="0.15">
      <c r="H236" s="17">
        <v>234</v>
      </c>
      <c r="I236">
        <v>123050</v>
      </c>
      <c r="J236" t="s">
        <v>68</v>
      </c>
      <c r="K236">
        <v>126.25700000000001</v>
      </c>
      <c r="L236" s="20">
        <v>45.11</v>
      </c>
      <c r="M236" s="21">
        <v>3.7459980000000006</v>
      </c>
      <c r="N236" s="5" t="str">
        <f t="shared" si="9"/>
        <v>未买</v>
      </c>
      <c r="Q236" s="17">
        <v>234</v>
      </c>
    </row>
    <row r="237" spans="8:17" x14ac:dyDescent="0.15">
      <c r="H237" s="17">
        <v>235</v>
      </c>
      <c r="I237">
        <v>127056</v>
      </c>
      <c r="J237" t="s">
        <v>1929</v>
      </c>
      <c r="K237">
        <v>116.2</v>
      </c>
      <c r="L237" s="20">
        <v>45.18</v>
      </c>
      <c r="M237" s="21">
        <v>50</v>
      </c>
      <c r="N237" s="5" t="str">
        <f t="shared" si="9"/>
        <v>未买</v>
      </c>
      <c r="Q237" s="17">
        <v>235</v>
      </c>
    </row>
    <row r="238" spans="8:17" x14ac:dyDescent="0.15">
      <c r="H238" s="17">
        <v>236</v>
      </c>
      <c r="I238">
        <v>128078</v>
      </c>
      <c r="J238" t="s">
        <v>1935</v>
      </c>
      <c r="K238">
        <v>125.333</v>
      </c>
      <c r="L238" s="20">
        <v>45.21</v>
      </c>
      <c r="M238" s="21">
        <v>9.5993570000000012</v>
      </c>
      <c r="N238" s="5" t="str">
        <f t="shared" si="9"/>
        <v>未买</v>
      </c>
      <c r="Q238" s="17">
        <v>236</v>
      </c>
    </row>
    <row r="239" spans="8:17" x14ac:dyDescent="0.15">
      <c r="H239" s="17">
        <v>237</v>
      </c>
      <c r="I239">
        <v>128023</v>
      </c>
      <c r="J239" t="s">
        <v>214</v>
      </c>
      <c r="K239">
        <v>123.20399999999999</v>
      </c>
      <c r="L239" s="20">
        <v>45.34</v>
      </c>
      <c r="M239" s="21">
        <v>9.9863979999999994</v>
      </c>
      <c r="N239" s="5" t="str">
        <f t="shared" si="9"/>
        <v>未买</v>
      </c>
      <c r="Q239" s="17">
        <v>237</v>
      </c>
    </row>
    <row r="240" spans="8:17" x14ac:dyDescent="0.15">
      <c r="H240" s="17">
        <v>238</v>
      </c>
      <c r="I240">
        <v>110045</v>
      </c>
      <c r="J240" t="s">
        <v>1930</v>
      </c>
      <c r="K240">
        <v>108.84</v>
      </c>
      <c r="L240" s="20">
        <v>45.39</v>
      </c>
      <c r="M240" s="21">
        <v>29.496179999999999</v>
      </c>
      <c r="N240" s="5" t="str">
        <f t="shared" si="9"/>
        <v>未买</v>
      </c>
      <c r="Q240" s="17">
        <v>238</v>
      </c>
    </row>
    <row r="241" spans="8:17" x14ac:dyDescent="0.15">
      <c r="H241" s="17">
        <v>239</v>
      </c>
      <c r="I241">
        <v>113546</v>
      </c>
      <c r="J241" t="s">
        <v>87</v>
      </c>
      <c r="K241">
        <v>124.01</v>
      </c>
      <c r="L241" s="20">
        <v>45.4</v>
      </c>
      <c r="M241" s="21">
        <v>2.2968000000000002</v>
      </c>
      <c r="N241" s="5" t="str">
        <f t="shared" si="9"/>
        <v>未买</v>
      </c>
      <c r="Q241" s="17">
        <v>239</v>
      </c>
    </row>
    <row r="242" spans="8:17" x14ac:dyDescent="0.15">
      <c r="H242" s="17">
        <v>240</v>
      </c>
      <c r="I242">
        <v>123133</v>
      </c>
      <c r="J242" t="s">
        <v>278</v>
      </c>
      <c r="K242">
        <v>126.5</v>
      </c>
      <c r="L242" s="20">
        <v>45.94</v>
      </c>
      <c r="M242" s="21">
        <v>7.2</v>
      </c>
      <c r="N242" s="5" t="str">
        <f t="shared" si="9"/>
        <v>未买</v>
      </c>
      <c r="Q242" s="17">
        <v>240</v>
      </c>
    </row>
    <row r="243" spans="8:17" x14ac:dyDescent="0.15">
      <c r="H243" s="17">
        <v>241</v>
      </c>
      <c r="I243">
        <v>123131</v>
      </c>
      <c r="J243" t="s">
        <v>250</v>
      </c>
      <c r="K243">
        <v>126.247</v>
      </c>
      <c r="L243" s="20">
        <v>45.97</v>
      </c>
      <c r="M243" s="21">
        <v>6.3498640000000002</v>
      </c>
      <c r="N243" s="5" t="str">
        <f t="shared" si="9"/>
        <v>未买</v>
      </c>
      <c r="Q243" s="17">
        <v>241</v>
      </c>
    </row>
    <row r="244" spans="8:17" x14ac:dyDescent="0.15">
      <c r="H244" s="17">
        <v>242</v>
      </c>
      <c r="I244">
        <v>113619</v>
      </c>
      <c r="J244" t="s">
        <v>230</v>
      </c>
      <c r="K244">
        <v>122.43</v>
      </c>
      <c r="L244" s="20">
        <v>46.22</v>
      </c>
      <c r="M244" s="21">
        <v>9.9967699999999997</v>
      </c>
      <c r="N244" s="5" t="str">
        <f t="shared" si="9"/>
        <v>未买</v>
      </c>
      <c r="Q244" s="17">
        <v>242</v>
      </c>
    </row>
    <row r="245" spans="8:17" x14ac:dyDescent="0.15">
      <c r="H245" s="17">
        <v>243</v>
      </c>
      <c r="I245">
        <v>113621</v>
      </c>
      <c r="J245" t="s">
        <v>248</v>
      </c>
      <c r="K245">
        <v>130.9</v>
      </c>
      <c r="L245" s="20">
        <v>46.29</v>
      </c>
      <c r="M245" s="21">
        <v>5.3671432979999993</v>
      </c>
      <c r="N245" s="5" t="str">
        <f t="shared" si="9"/>
        <v>未买</v>
      </c>
      <c r="Q245" s="17">
        <v>243</v>
      </c>
    </row>
    <row r="246" spans="8:17" x14ac:dyDescent="0.15">
      <c r="H246" s="17">
        <v>244</v>
      </c>
      <c r="I246">
        <v>113601</v>
      </c>
      <c r="J246" t="s">
        <v>65</v>
      </c>
      <c r="K246">
        <v>114.37</v>
      </c>
      <c r="L246" s="20">
        <v>46.35</v>
      </c>
      <c r="M246" s="21">
        <v>5.4290200000000004</v>
      </c>
      <c r="N246" s="5" t="str">
        <f t="shared" si="9"/>
        <v>未买</v>
      </c>
      <c r="Q246" s="17">
        <v>244</v>
      </c>
    </row>
    <row r="247" spans="8:17" x14ac:dyDescent="0.15">
      <c r="H247" s="17">
        <v>245</v>
      </c>
      <c r="I247">
        <v>113526</v>
      </c>
      <c r="J247" t="s">
        <v>144</v>
      </c>
      <c r="K247">
        <v>149.54</v>
      </c>
      <c r="L247" s="20">
        <v>46.46</v>
      </c>
      <c r="M247" s="21">
        <v>1.9295199999999999</v>
      </c>
      <c r="N247" s="5" t="str">
        <f t="shared" si="9"/>
        <v>Yes</v>
      </c>
      <c r="Q247" s="17">
        <v>245</v>
      </c>
    </row>
    <row r="248" spans="8:17" x14ac:dyDescent="0.15">
      <c r="H248" s="17">
        <v>246</v>
      </c>
      <c r="I248">
        <v>123010</v>
      </c>
      <c r="J248" t="s">
        <v>198</v>
      </c>
      <c r="K248">
        <v>111.199</v>
      </c>
      <c r="L248" s="20">
        <v>46.49</v>
      </c>
      <c r="M248" s="21">
        <v>4.2960060000000002</v>
      </c>
      <c r="N248" s="5" t="str">
        <f t="shared" si="9"/>
        <v>未买</v>
      </c>
      <c r="Q248" s="17">
        <v>246</v>
      </c>
    </row>
    <row r="249" spans="8:17" x14ac:dyDescent="0.15">
      <c r="H249" s="17">
        <v>247</v>
      </c>
      <c r="I249">
        <v>123002</v>
      </c>
      <c r="J249" t="s">
        <v>81</v>
      </c>
      <c r="K249">
        <v>116.996</v>
      </c>
      <c r="L249" s="20">
        <v>46.52</v>
      </c>
      <c r="M249" s="21">
        <v>2.5214889999999999</v>
      </c>
      <c r="N249" s="5" t="str">
        <f t="shared" si="9"/>
        <v>未买</v>
      </c>
      <c r="Q249" s="17">
        <v>247</v>
      </c>
    </row>
    <row r="250" spans="8:17" x14ac:dyDescent="0.15">
      <c r="H250" s="17">
        <v>248</v>
      </c>
      <c r="I250">
        <v>113628</v>
      </c>
      <c r="J250" t="s">
        <v>229</v>
      </c>
      <c r="K250">
        <v>109.2</v>
      </c>
      <c r="L250" s="20">
        <v>46.58</v>
      </c>
      <c r="M250" s="21">
        <v>4.1498100000000004</v>
      </c>
      <c r="N250" s="5" t="str">
        <f t="shared" si="9"/>
        <v>未买</v>
      </c>
      <c r="Q250" s="17">
        <v>248</v>
      </c>
    </row>
    <row r="251" spans="8:17" x14ac:dyDescent="0.15">
      <c r="H251" s="17">
        <v>249</v>
      </c>
      <c r="I251">
        <v>127006</v>
      </c>
      <c r="J251" t="s">
        <v>1936</v>
      </c>
      <c r="K251">
        <v>110.1</v>
      </c>
      <c r="L251" s="20">
        <v>46.88</v>
      </c>
      <c r="M251" s="21">
        <v>24.072253</v>
      </c>
      <c r="N251" s="5" t="str">
        <f t="shared" si="9"/>
        <v>未买</v>
      </c>
      <c r="Q251" s="17">
        <v>249</v>
      </c>
    </row>
    <row r="252" spans="8:17" x14ac:dyDescent="0.15">
      <c r="H252" s="17">
        <v>250</v>
      </c>
      <c r="I252">
        <v>123132</v>
      </c>
      <c r="J252" t="s">
        <v>254</v>
      </c>
      <c r="K252">
        <v>123.99</v>
      </c>
      <c r="L252" s="20">
        <v>46.92</v>
      </c>
      <c r="M252" s="21">
        <v>7</v>
      </c>
      <c r="N252" s="5" t="str">
        <f t="shared" si="9"/>
        <v>未买</v>
      </c>
      <c r="Q252" s="17">
        <v>250</v>
      </c>
    </row>
    <row r="253" spans="8:17" x14ac:dyDescent="0.15">
      <c r="H253" s="17">
        <v>251</v>
      </c>
      <c r="I253">
        <v>123118</v>
      </c>
      <c r="J253" t="s">
        <v>241</v>
      </c>
      <c r="K253">
        <v>114.83</v>
      </c>
      <c r="L253" s="20">
        <v>47.27</v>
      </c>
      <c r="M253" s="21">
        <v>3.1992880000000001</v>
      </c>
      <c r="N253" s="5" t="str">
        <f t="shared" si="9"/>
        <v>未买</v>
      </c>
      <c r="Q253" s="17">
        <v>251</v>
      </c>
    </row>
    <row r="254" spans="8:17" x14ac:dyDescent="0.15">
      <c r="H254" s="17">
        <v>252</v>
      </c>
      <c r="I254">
        <v>123142</v>
      </c>
      <c r="J254" t="s">
        <v>782</v>
      </c>
      <c r="K254">
        <v>119.5</v>
      </c>
      <c r="L254" s="20">
        <v>47.69</v>
      </c>
      <c r="M254" s="21">
        <v>5.5</v>
      </c>
      <c r="N254" s="5" t="str">
        <f t="shared" si="9"/>
        <v>未买</v>
      </c>
      <c r="Q254" s="17">
        <v>252</v>
      </c>
    </row>
    <row r="255" spans="8:17" x14ac:dyDescent="0.15">
      <c r="H255" s="17">
        <v>253</v>
      </c>
      <c r="I255">
        <v>113527</v>
      </c>
      <c r="J255" t="s">
        <v>119</v>
      </c>
      <c r="K255">
        <v>124.42</v>
      </c>
      <c r="L255" s="20">
        <v>47.75</v>
      </c>
      <c r="M255" s="21">
        <v>2.8627899999999999</v>
      </c>
      <c r="N255" s="5" t="str">
        <f t="shared" si="9"/>
        <v>未买</v>
      </c>
      <c r="Q255" s="17">
        <v>253</v>
      </c>
    </row>
    <row r="256" spans="8:17" x14ac:dyDescent="0.15">
      <c r="H256" s="17">
        <v>254</v>
      </c>
      <c r="I256">
        <v>127015</v>
      </c>
      <c r="J256" t="s">
        <v>169</v>
      </c>
      <c r="K256">
        <v>116.999</v>
      </c>
      <c r="L256" s="20">
        <v>47.93</v>
      </c>
      <c r="M256" s="21">
        <v>9.4969169999999998</v>
      </c>
      <c r="N256" s="5" t="str">
        <f t="shared" si="9"/>
        <v>未买</v>
      </c>
      <c r="Q256" s="17">
        <v>254</v>
      </c>
    </row>
    <row r="257" spans="8:17" x14ac:dyDescent="0.15">
      <c r="H257" s="17">
        <v>255</v>
      </c>
      <c r="I257">
        <v>127034</v>
      </c>
      <c r="J257" t="s">
        <v>204</v>
      </c>
      <c r="K257">
        <v>105.93</v>
      </c>
      <c r="L257" s="20">
        <v>48.17</v>
      </c>
      <c r="M257" s="21">
        <v>7.1177770000000002</v>
      </c>
      <c r="N257" s="5" t="str">
        <f t="shared" si="9"/>
        <v>未买</v>
      </c>
      <c r="Q257" s="17">
        <v>255</v>
      </c>
    </row>
    <row r="258" spans="8:17" x14ac:dyDescent="0.15">
      <c r="H258" s="17">
        <v>256</v>
      </c>
      <c r="I258">
        <v>123048</v>
      </c>
      <c r="J258" t="s">
        <v>236</v>
      </c>
      <c r="K258">
        <v>126.3</v>
      </c>
      <c r="L258" s="20">
        <v>48.34</v>
      </c>
      <c r="M258" s="21">
        <v>3.7914160000000008</v>
      </c>
      <c r="N258" s="5" t="str">
        <f t="shared" si="9"/>
        <v>未买</v>
      </c>
      <c r="Q258" s="17">
        <v>256</v>
      </c>
    </row>
    <row r="259" spans="8:17" x14ac:dyDescent="0.15">
      <c r="H259" s="17">
        <v>257</v>
      </c>
      <c r="I259">
        <v>113606</v>
      </c>
      <c r="J259" t="s">
        <v>212</v>
      </c>
      <c r="K259">
        <v>111.62</v>
      </c>
      <c r="L259" s="20">
        <v>48.35</v>
      </c>
      <c r="M259" s="21">
        <v>5.9988799999999998</v>
      </c>
      <c r="N259" s="5" t="str">
        <f t="shared" si="9"/>
        <v>未买</v>
      </c>
      <c r="Q259" s="17">
        <v>257</v>
      </c>
    </row>
    <row r="260" spans="8:17" x14ac:dyDescent="0.15">
      <c r="H260" s="17">
        <v>258</v>
      </c>
      <c r="I260">
        <v>113565</v>
      </c>
      <c r="J260" t="s">
        <v>123</v>
      </c>
      <c r="K260">
        <v>124.3</v>
      </c>
      <c r="L260" s="20">
        <v>48.38</v>
      </c>
      <c r="M260" s="21">
        <v>2.24926</v>
      </c>
      <c r="N260" s="5" t="str">
        <f t="shared" ref="N260:N323" si="10">IF(ISNA(MATCH(I260,$A$3:$A$1000,0)),"未买","Yes")</f>
        <v>Yes</v>
      </c>
      <c r="Q260" s="17">
        <v>258</v>
      </c>
    </row>
    <row r="261" spans="8:17" x14ac:dyDescent="0.15">
      <c r="H261" s="17">
        <v>259</v>
      </c>
      <c r="I261">
        <v>127026</v>
      </c>
      <c r="J261" t="s">
        <v>235</v>
      </c>
      <c r="K261">
        <v>116.63</v>
      </c>
      <c r="L261" s="20">
        <v>48.8</v>
      </c>
      <c r="M261" s="21">
        <v>6.9970939999999997</v>
      </c>
      <c r="N261" s="5" t="str">
        <f t="shared" si="10"/>
        <v>未买</v>
      </c>
      <c r="Q261" s="17">
        <v>259</v>
      </c>
    </row>
    <row r="262" spans="8:17" x14ac:dyDescent="0.15">
      <c r="H262" s="17">
        <v>260</v>
      </c>
      <c r="I262">
        <v>128143</v>
      </c>
      <c r="J262" t="s">
        <v>118</v>
      </c>
      <c r="K262">
        <v>130.28100000000001</v>
      </c>
      <c r="L262" s="20">
        <v>49.4</v>
      </c>
      <c r="M262" s="21">
        <v>2.4437519999999999</v>
      </c>
      <c r="N262" s="5" t="str">
        <f t="shared" si="10"/>
        <v>未买</v>
      </c>
      <c r="Q262" s="17">
        <v>260</v>
      </c>
    </row>
    <row r="263" spans="8:17" x14ac:dyDescent="0.15">
      <c r="H263" s="17">
        <v>261</v>
      </c>
      <c r="I263">
        <v>128049</v>
      </c>
      <c r="J263" t="s">
        <v>205</v>
      </c>
      <c r="K263">
        <v>110.96899999999999</v>
      </c>
      <c r="L263" s="20">
        <v>49.8</v>
      </c>
      <c r="M263" s="21">
        <v>3.6314389999999999</v>
      </c>
      <c r="N263" s="5" t="str">
        <f t="shared" si="10"/>
        <v>未买</v>
      </c>
      <c r="Q263" s="17">
        <v>261</v>
      </c>
    </row>
    <row r="264" spans="8:17" x14ac:dyDescent="0.15">
      <c r="H264" s="17">
        <v>262</v>
      </c>
      <c r="I264">
        <v>123044</v>
      </c>
      <c r="J264" t="s">
        <v>170</v>
      </c>
      <c r="K264">
        <v>116.25</v>
      </c>
      <c r="L264" s="20">
        <v>49.88</v>
      </c>
      <c r="M264" s="21">
        <v>5.4958999999999998</v>
      </c>
      <c r="N264" s="5" t="str">
        <f t="shared" si="10"/>
        <v>未买</v>
      </c>
      <c r="Q264" s="17">
        <v>262</v>
      </c>
    </row>
    <row r="265" spans="8:17" x14ac:dyDescent="0.15">
      <c r="H265" s="17">
        <v>263</v>
      </c>
      <c r="I265">
        <v>113643</v>
      </c>
      <c r="J265" t="s">
        <v>817</v>
      </c>
      <c r="K265">
        <v>125.26</v>
      </c>
      <c r="L265" s="20">
        <v>50.05</v>
      </c>
      <c r="M265" s="21">
        <v>5</v>
      </c>
      <c r="N265" s="5" t="str">
        <f t="shared" si="10"/>
        <v>未买</v>
      </c>
      <c r="Q265" s="17">
        <v>263</v>
      </c>
    </row>
    <row r="266" spans="8:17" x14ac:dyDescent="0.15">
      <c r="H266" s="17">
        <v>264</v>
      </c>
      <c r="I266">
        <v>127048</v>
      </c>
      <c r="J266" t="s">
        <v>221</v>
      </c>
      <c r="K266">
        <v>126.783</v>
      </c>
      <c r="L266" s="20">
        <v>50.9</v>
      </c>
      <c r="M266" s="21">
        <v>2.6998060000000002</v>
      </c>
      <c r="N266" s="5" t="str">
        <f t="shared" si="10"/>
        <v>未买</v>
      </c>
      <c r="Q266" s="17">
        <v>264</v>
      </c>
    </row>
    <row r="267" spans="8:17" x14ac:dyDescent="0.15">
      <c r="H267" s="17">
        <v>265</v>
      </c>
      <c r="I267">
        <v>123025</v>
      </c>
      <c r="J267" t="s">
        <v>67</v>
      </c>
      <c r="K267">
        <v>126.07299999999999</v>
      </c>
      <c r="L267" s="20">
        <v>50.99</v>
      </c>
      <c r="M267" s="21">
        <v>3.0864669999999998</v>
      </c>
      <c r="N267" s="5" t="str">
        <f t="shared" si="10"/>
        <v>未买</v>
      </c>
      <c r="Q267" s="17">
        <v>265</v>
      </c>
    </row>
    <row r="268" spans="8:17" x14ac:dyDescent="0.15">
      <c r="H268" s="17">
        <v>266</v>
      </c>
      <c r="I268">
        <v>127047</v>
      </c>
      <c r="J268" t="s">
        <v>1933</v>
      </c>
      <c r="K268">
        <v>103.693</v>
      </c>
      <c r="L268" s="20">
        <v>51.22</v>
      </c>
      <c r="M268" s="21">
        <v>14.999181999999999</v>
      </c>
      <c r="N268" s="5" t="str">
        <f t="shared" si="10"/>
        <v>未买</v>
      </c>
      <c r="Q268" s="17">
        <v>266</v>
      </c>
    </row>
    <row r="269" spans="8:17" x14ac:dyDescent="0.15">
      <c r="H269" s="17">
        <v>267</v>
      </c>
      <c r="I269">
        <v>123014</v>
      </c>
      <c r="J269" t="s">
        <v>55</v>
      </c>
      <c r="K269">
        <v>150.69999999999999</v>
      </c>
      <c r="L269" s="20">
        <v>51.64</v>
      </c>
      <c r="M269" s="21">
        <v>1.160385</v>
      </c>
      <c r="N269" s="5" t="str">
        <f t="shared" si="10"/>
        <v>未买</v>
      </c>
      <c r="Q269" s="17">
        <v>267</v>
      </c>
    </row>
    <row r="270" spans="8:17" x14ac:dyDescent="0.15">
      <c r="H270" s="17">
        <v>268</v>
      </c>
      <c r="I270">
        <v>110072</v>
      </c>
      <c r="J270" t="s">
        <v>1927</v>
      </c>
      <c r="K270">
        <v>100.13</v>
      </c>
      <c r="L270" s="20">
        <v>51.71</v>
      </c>
      <c r="M270" s="21">
        <v>33.662709999999997</v>
      </c>
      <c r="N270" s="5" t="str">
        <f t="shared" si="10"/>
        <v>未买</v>
      </c>
      <c r="Q270" s="17">
        <v>268</v>
      </c>
    </row>
    <row r="271" spans="8:17" x14ac:dyDescent="0.15">
      <c r="H271" s="17">
        <v>269</v>
      </c>
      <c r="I271">
        <v>128120</v>
      </c>
      <c r="J271" t="s">
        <v>117</v>
      </c>
      <c r="K271">
        <v>120.57299999999999</v>
      </c>
      <c r="L271" s="20">
        <v>52.26</v>
      </c>
      <c r="M271" s="21">
        <v>2.5996240000000004</v>
      </c>
      <c r="N271" s="5" t="str">
        <f t="shared" si="10"/>
        <v>未买</v>
      </c>
      <c r="Q271" s="17">
        <v>269</v>
      </c>
    </row>
    <row r="272" spans="8:17" x14ac:dyDescent="0.15">
      <c r="H272" s="17">
        <v>270</v>
      </c>
      <c r="I272">
        <v>113588</v>
      </c>
      <c r="J272" t="s">
        <v>219</v>
      </c>
      <c r="K272">
        <v>112.23</v>
      </c>
      <c r="L272" s="20">
        <v>52.53</v>
      </c>
      <c r="M272" s="21">
        <v>5.49885</v>
      </c>
      <c r="N272" s="5" t="str">
        <f t="shared" si="10"/>
        <v>未买</v>
      </c>
      <c r="Q272" s="17">
        <v>270</v>
      </c>
    </row>
    <row r="273" spans="8:17" x14ac:dyDescent="0.15">
      <c r="H273" s="17">
        <v>271</v>
      </c>
      <c r="I273">
        <v>113021</v>
      </c>
      <c r="J273" t="s">
        <v>1942</v>
      </c>
      <c r="K273">
        <v>109.2</v>
      </c>
      <c r="L273" s="20">
        <v>53.74</v>
      </c>
      <c r="M273" s="21">
        <v>399.99664999999999</v>
      </c>
      <c r="N273" s="5" t="str">
        <f t="shared" si="10"/>
        <v>未买</v>
      </c>
      <c r="Q273" s="17">
        <v>271</v>
      </c>
    </row>
    <row r="274" spans="8:17" x14ac:dyDescent="0.15">
      <c r="H274" s="17">
        <v>272</v>
      </c>
      <c r="I274">
        <v>128053</v>
      </c>
      <c r="J274" t="s">
        <v>61</v>
      </c>
      <c r="K274">
        <v>141.45599999999999</v>
      </c>
      <c r="L274" s="20">
        <v>54.09</v>
      </c>
      <c r="M274" s="21">
        <v>1.90018</v>
      </c>
      <c r="N274" s="5" t="str">
        <f t="shared" si="10"/>
        <v>Yes</v>
      </c>
      <c r="Q274" s="17">
        <v>272</v>
      </c>
    </row>
    <row r="275" spans="8:17" x14ac:dyDescent="0.15">
      <c r="H275" s="17">
        <v>273</v>
      </c>
      <c r="I275">
        <v>123059</v>
      </c>
      <c r="J275" t="s">
        <v>211</v>
      </c>
      <c r="K275">
        <v>119.71599999999999</v>
      </c>
      <c r="L275" s="20">
        <v>54.17</v>
      </c>
      <c r="M275" s="21">
        <v>3.912433</v>
      </c>
      <c r="N275" s="5" t="str">
        <f t="shared" si="10"/>
        <v>未买</v>
      </c>
      <c r="Q275" s="17">
        <v>273</v>
      </c>
    </row>
    <row r="276" spans="8:17" x14ac:dyDescent="0.15">
      <c r="H276" s="17">
        <v>274</v>
      </c>
      <c r="I276">
        <v>113610</v>
      </c>
      <c r="J276" t="s">
        <v>112</v>
      </c>
      <c r="K276">
        <v>112.45</v>
      </c>
      <c r="L276" s="20">
        <v>54.66</v>
      </c>
      <c r="M276" s="21">
        <v>4.5794600000000001</v>
      </c>
      <c r="N276" s="5" t="str">
        <f t="shared" si="10"/>
        <v>未买</v>
      </c>
      <c r="Q276" s="17">
        <v>274</v>
      </c>
    </row>
    <row r="277" spans="8:17" x14ac:dyDescent="0.15">
      <c r="H277" s="17">
        <v>275</v>
      </c>
      <c r="I277">
        <v>123115</v>
      </c>
      <c r="J277" t="s">
        <v>1944</v>
      </c>
      <c r="K277">
        <v>119.6</v>
      </c>
      <c r="L277" s="20">
        <v>54.9</v>
      </c>
      <c r="M277" s="21">
        <v>11.946304</v>
      </c>
      <c r="N277" s="5" t="str">
        <f t="shared" si="10"/>
        <v>未买</v>
      </c>
      <c r="Q277" s="17">
        <v>275</v>
      </c>
    </row>
    <row r="278" spans="8:17" x14ac:dyDescent="0.15">
      <c r="H278" s="17">
        <v>276</v>
      </c>
      <c r="I278">
        <v>127055</v>
      </c>
      <c r="J278" t="s">
        <v>781</v>
      </c>
      <c r="K278">
        <v>115.94799999999999</v>
      </c>
      <c r="L278" s="20">
        <v>54.95</v>
      </c>
      <c r="M278" s="21">
        <v>5.77</v>
      </c>
      <c r="N278" s="5" t="str">
        <f t="shared" si="10"/>
        <v>未买</v>
      </c>
      <c r="Q278" s="17">
        <v>276</v>
      </c>
    </row>
    <row r="279" spans="8:17" x14ac:dyDescent="0.15">
      <c r="H279" s="17">
        <v>277</v>
      </c>
      <c r="I279">
        <v>123062</v>
      </c>
      <c r="J279" t="s">
        <v>103</v>
      </c>
      <c r="K279">
        <v>142.685</v>
      </c>
      <c r="L279" s="20">
        <v>55.19</v>
      </c>
      <c r="M279" s="21">
        <v>1.947703</v>
      </c>
      <c r="N279" s="5" t="str">
        <f t="shared" si="10"/>
        <v>未买</v>
      </c>
      <c r="Q279" s="17">
        <v>277</v>
      </c>
    </row>
    <row r="280" spans="8:17" x14ac:dyDescent="0.15">
      <c r="H280" s="17">
        <v>278</v>
      </c>
      <c r="I280">
        <v>123064</v>
      </c>
      <c r="J280" t="s">
        <v>142</v>
      </c>
      <c r="K280">
        <v>121.2</v>
      </c>
      <c r="L280" s="20">
        <v>55.29</v>
      </c>
      <c r="M280" s="21">
        <v>5.9814829999999999</v>
      </c>
      <c r="N280" s="5" t="str">
        <f t="shared" si="10"/>
        <v>未买</v>
      </c>
      <c r="Q280" s="17">
        <v>278</v>
      </c>
    </row>
    <row r="281" spans="8:17" x14ac:dyDescent="0.15">
      <c r="H281" s="17">
        <v>279</v>
      </c>
      <c r="I281">
        <v>123106</v>
      </c>
      <c r="J281" t="s">
        <v>64</v>
      </c>
      <c r="K281">
        <v>114.46299999999999</v>
      </c>
      <c r="L281" s="20">
        <v>55.6</v>
      </c>
      <c r="M281" s="21">
        <v>3.199684</v>
      </c>
      <c r="N281" s="5" t="str">
        <f t="shared" si="10"/>
        <v>未买</v>
      </c>
      <c r="Q281" s="17">
        <v>279</v>
      </c>
    </row>
    <row r="282" spans="8:17" x14ac:dyDescent="0.15">
      <c r="H282" s="17">
        <v>280</v>
      </c>
      <c r="I282">
        <v>123139</v>
      </c>
      <c r="J282" t="s">
        <v>788</v>
      </c>
      <c r="K282">
        <v>187.74700000000001</v>
      </c>
      <c r="L282" s="20">
        <v>56.14</v>
      </c>
      <c r="M282" s="21">
        <v>4.3</v>
      </c>
      <c r="N282" s="5" t="str">
        <f t="shared" si="10"/>
        <v>未买</v>
      </c>
      <c r="Q282" s="17">
        <v>280</v>
      </c>
    </row>
    <row r="283" spans="8:17" x14ac:dyDescent="0.15">
      <c r="H283" s="17">
        <v>281</v>
      </c>
      <c r="I283">
        <v>128036</v>
      </c>
      <c r="J283" t="s">
        <v>182</v>
      </c>
      <c r="K283">
        <v>158.30000000000001</v>
      </c>
      <c r="L283" s="20">
        <v>56.27</v>
      </c>
      <c r="M283" s="21">
        <v>1.4565429999999999</v>
      </c>
      <c r="N283" s="5" t="str">
        <f t="shared" si="10"/>
        <v>Yes</v>
      </c>
      <c r="Q283" s="17">
        <v>281</v>
      </c>
    </row>
    <row r="284" spans="8:17" x14ac:dyDescent="0.15">
      <c r="H284" s="17">
        <v>282</v>
      </c>
      <c r="I284">
        <v>113577</v>
      </c>
      <c r="J284" t="s">
        <v>116</v>
      </c>
      <c r="K284">
        <v>132.54</v>
      </c>
      <c r="L284" s="20">
        <v>56.48</v>
      </c>
      <c r="M284" s="21">
        <v>1.7774799999999999</v>
      </c>
      <c r="N284" s="5" t="str">
        <f t="shared" si="10"/>
        <v>未买</v>
      </c>
      <c r="Q284" s="17">
        <v>282</v>
      </c>
    </row>
    <row r="285" spans="8:17" x14ac:dyDescent="0.15">
      <c r="H285" s="17">
        <v>283</v>
      </c>
      <c r="I285">
        <v>128039</v>
      </c>
      <c r="J285" t="s">
        <v>120</v>
      </c>
      <c r="K285">
        <v>122.489</v>
      </c>
      <c r="L285" s="20">
        <v>56.56</v>
      </c>
      <c r="M285" s="21">
        <v>2.0240990000000001</v>
      </c>
      <c r="N285" s="5" t="str">
        <f t="shared" si="10"/>
        <v>未买</v>
      </c>
      <c r="Q285" s="17">
        <v>283</v>
      </c>
    </row>
    <row r="286" spans="8:17" x14ac:dyDescent="0.15">
      <c r="H286" s="17">
        <v>284</v>
      </c>
      <c r="I286">
        <v>128091</v>
      </c>
      <c r="J286" t="s">
        <v>1870</v>
      </c>
      <c r="K286">
        <v>220.309</v>
      </c>
      <c r="L286" s="20">
        <v>56.86</v>
      </c>
      <c r="M286" s="21">
        <v>1.5407029999999999</v>
      </c>
      <c r="N286" s="5" t="str">
        <f t="shared" si="10"/>
        <v>Yes</v>
      </c>
      <c r="Q286" s="17">
        <v>284</v>
      </c>
    </row>
    <row r="287" spans="8:17" x14ac:dyDescent="0.15">
      <c r="H287" s="17">
        <v>285</v>
      </c>
      <c r="I287">
        <v>113046</v>
      </c>
      <c r="J287" t="s">
        <v>1943</v>
      </c>
      <c r="K287">
        <v>109.93</v>
      </c>
      <c r="L287" s="20">
        <v>58.29</v>
      </c>
      <c r="M287" s="21">
        <v>14.998810000000001</v>
      </c>
      <c r="N287" s="5" t="str">
        <f t="shared" si="10"/>
        <v>未买</v>
      </c>
      <c r="Q287" s="17">
        <v>285</v>
      </c>
    </row>
    <row r="288" spans="8:17" x14ac:dyDescent="0.15">
      <c r="H288" s="17">
        <v>286</v>
      </c>
      <c r="I288">
        <v>113638</v>
      </c>
      <c r="J288" t="s">
        <v>277</v>
      </c>
      <c r="K288">
        <v>120.01</v>
      </c>
      <c r="L288" s="20">
        <v>58.91</v>
      </c>
      <c r="M288" s="21">
        <v>6</v>
      </c>
      <c r="N288" s="5" t="str">
        <f t="shared" si="10"/>
        <v>未买</v>
      </c>
      <c r="Q288" s="17">
        <v>286</v>
      </c>
    </row>
    <row r="289" spans="8:17" x14ac:dyDescent="0.15">
      <c r="H289" s="17">
        <v>287</v>
      </c>
      <c r="I289">
        <v>110082</v>
      </c>
      <c r="J289" t="s">
        <v>1947</v>
      </c>
      <c r="K289">
        <v>120.21</v>
      </c>
      <c r="L289" s="20">
        <v>59.6</v>
      </c>
      <c r="M289" s="21">
        <v>19.999379999999999</v>
      </c>
      <c r="N289" s="5" t="str">
        <f t="shared" si="10"/>
        <v>未买</v>
      </c>
      <c r="Q289" s="17">
        <v>287</v>
      </c>
    </row>
    <row r="290" spans="8:17" x14ac:dyDescent="0.15">
      <c r="H290" s="17">
        <v>288</v>
      </c>
      <c r="I290">
        <v>128123</v>
      </c>
      <c r="J290" t="s">
        <v>165</v>
      </c>
      <c r="K290">
        <v>114.9</v>
      </c>
      <c r="L290" s="20">
        <v>59.63</v>
      </c>
      <c r="M290" s="21">
        <v>3.1992560000000001</v>
      </c>
      <c r="N290" s="5" t="str">
        <f t="shared" si="10"/>
        <v>未买</v>
      </c>
      <c r="Q290" s="17">
        <v>288</v>
      </c>
    </row>
    <row r="291" spans="8:17" x14ac:dyDescent="0.15">
      <c r="H291" s="17">
        <v>289</v>
      </c>
      <c r="I291">
        <v>113561</v>
      </c>
      <c r="J291" t="s">
        <v>86</v>
      </c>
      <c r="K291">
        <v>131.15</v>
      </c>
      <c r="L291" s="20">
        <v>59.82</v>
      </c>
      <c r="M291" s="21">
        <v>1.4991000000000001</v>
      </c>
      <c r="N291" s="5" t="str">
        <f t="shared" si="10"/>
        <v>未买</v>
      </c>
      <c r="Q291" s="17">
        <v>289</v>
      </c>
    </row>
    <row r="292" spans="8:17" x14ac:dyDescent="0.15">
      <c r="H292" s="17">
        <v>290</v>
      </c>
      <c r="I292">
        <v>110058</v>
      </c>
      <c r="J292" t="s">
        <v>78</v>
      </c>
      <c r="K292">
        <v>116.41</v>
      </c>
      <c r="L292" s="20">
        <v>60.74</v>
      </c>
      <c r="M292" s="21">
        <v>2.6102099999999999</v>
      </c>
      <c r="N292" s="5" t="str">
        <f t="shared" si="10"/>
        <v>未买</v>
      </c>
      <c r="Q292" s="17">
        <v>290</v>
      </c>
    </row>
    <row r="293" spans="8:17" x14ac:dyDescent="0.15">
      <c r="H293" s="17">
        <v>291</v>
      </c>
      <c r="I293" s="7">
        <v>113043</v>
      </c>
      <c r="J293" s="7" t="s">
        <v>1949</v>
      </c>
      <c r="K293" s="7">
        <v>110.1</v>
      </c>
      <c r="L293" s="33">
        <v>60.89</v>
      </c>
      <c r="M293" s="36">
        <v>37.99765</v>
      </c>
      <c r="N293" s="5" t="str">
        <f t="shared" si="10"/>
        <v>未买</v>
      </c>
    </row>
    <row r="294" spans="8:17" x14ac:dyDescent="0.15">
      <c r="H294" s="17">
        <v>292</v>
      </c>
      <c r="I294" s="7">
        <v>113045</v>
      </c>
      <c r="J294" s="7" t="s">
        <v>1952</v>
      </c>
      <c r="K294" s="7">
        <v>112.87</v>
      </c>
      <c r="L294" s="33">
        <v>60.92</v>
      </c>
      <c r="M294" s="36">
        <v>34.499510000000001</v>
      </c>
      <c r="N294" s="5" t="str">
        <f t="shared" si="10"/>
        <v>未买</v>
      </c>
    </row>
    <row r="295" spans="8:17" x14ac:dyDescent="0.15">
      <c r="H295" s="17">
        <v>293</v>
      </c>
      <c r="I295" s="7">
        <v>110073</v>
      </c>
      <c r="J295" s="7" t="s">
        <v>1948</v>
      </c>
      <c r="K295" s="7">
        <v>107.14</v>
      </c>
      <c r="L295" s="33">
        <v>60.94</v>
      </c>
      <c r="M295" s="36">
        <v>79.993309999999994</v>
      </c>
      <c r="N295" s="5" t="str">
        <f t="shared" si="10"/>
        <v>未买</v>
      </c>
    </row>
    <row r="296" spans="8:17" x14ac:dyDescent="0.15">
      <c r="H296" s="17">
        <v>294</v>
      </c>
      <c r="I296" s="7">
        <v>123054</v>
      </c>
      <c r="J296" s="7" t="s">
        <v>82</v>
      </c>
      <c r="K296" s="7">
        <v>139.72999999999999</v>
      </c>
      <c r="L296" s="33">
        <v>61.15</v>
      </c>
      <c r="M296" s="36">
        <v>2.073102</v>
      </c>
      <c r="N296" s="5" t="str">
        <f t="shared" si="10"/>
        <v>未买</v>
      </c>
    </row>
    <row r="297" spans="8:17" x14ac:dyDescent="0.15">
      <c r="H297" s="17">
        <v>295</v>
      </c>
      <c r="I297" s="7">
        <v>123122</v>
      </c>
      <c r="J297" s="7" t="s">
        <v>177</v>
      </c>
      <c r="K297" s="7">
        <v>117.797</v>
      </c>
      <c r="L297" s="33">
        <v>61.72</v>
      </c>
      <c r="M297" s="36">
        <v>5.8072530000000002</v>
      </c>
      <c r="N297" s="5" t="str">
        <f t="shared" si="10"/>
        <v>未买</v>
      </c>
    </row>
    <row r="298" spans="8:17" x14ac:dyDescent="0.15">
      <c r="H298" s="17">
        <v>296</v>
      </c>
      <c r="I298" s="7">
        <v>123061</v>
      </c>
      <c r="J298" s="7" t="s">
        <v>95</v>
      </c>
      <c r="K298" s="7">
        <v>122</v>
      </c>
      <c r="L298" s="33">
        <v>62.78</v>
      </c>
      <c r="M298" s="36">
        <v>2.4961600000000002</v>
      </c>
      <c r="N298" s="5" t="str">
        <f t="shared" si="10"/>
        <v>未买</v>
      </c>
    </row>
    <row r="299" spans="8:17" x14ac:dyDescent="0.15">
      <c r="H299" s="17">
        <v>297</v>
      </c>
      <c r="I299" s="7">
        <v>113623</v>
      </c>
      <c r="J299" s="7" t="s">
        <v>1946</v>
      </c>
      <c r="K299" s="7">
        <v>113.38</v>
      </c>
      <c r="L299" s="33">
        <v>64.06</v>
      </c>
      <c r="M299" s="36">
        <v>24.99952</v>
      </c>
      <c r="N299" s="5" t="str">
        <f t="shared" si="10"/>
        <v>未买</v>
      </c>
    </row>
    <row r="300" spans="8:17" x14ac:dyDescent="0.15">
      <c r="H300" s="17">
        <v>298</v>
      </c>
      <c r="I300" s="7">
        <v>127053</v>
      </c>
      <c r="J300" s="7" t="s">
        <v>793</v>
      </c>
      <c r="K300" s="7">
        <v>119.783</v>
      </c>
      <c r="L300" s="33">
        <v>65.61</v>
      </c>
      <c r="M300" s="36">
        <v>8.24</v>
      </c>
      <c r="N300" s="5" t="str">
        <f t="shared" si="10"/>
        <v>未买</v>
      </c>
    </row>
    <row r="301" spans="8:17" x14ac:dyDescent="0.15">
      <c r="H301" s="17">
        <v>299</v>
      </c>
      <c r="I301" s="7">
        <v>113563</v>
      </c>
      <c r="J301" s="7" t="s">
        <v>167</v>
      </c>
      <c r="K301" s="7">
        <v>109.15</v>
      </c>
      <c r="L301" s="33">
        <v>65.78</v>
      </c>
      <c r="M301" s="36">
        <v>8.0190199999999994</v>
      </c>
      <c r="N301" s="5" t="str">
        <f t="shared" si="10"/>
        <v>未买</v>
      </c>
    </row>
    <row r="302" spans="8:17" x14ac:dyDescent="0.15">
      <c r="H302" s="17">
        <v>300</v>
      </c>
      <c r="I302" s="7">
        <v>118006</v>
      </c>
      <c r="J302" s="7" t="s">
        <v>810</v>
      </c>
      <c r="K302" s="7">
        <v>200.63</v>
      </c>
      <c r="L302" s="33">
        <v>66.5</v>
      </c>
      <c r="M302" s="36">
        <v>3.8740000000000001</v>
      </c>
      <c r="N302" s="5" t="str">
        <f t="shared" si="10"/>
        <v>未买</v>
      </c>
    </row>
    <row r="303" spans="8:17" x14ac:dyDescent="0.15">
      <c r="H303" s="17">
        <v>301</v>
      </c>
      <c r="I303" s="7">
        <v>128122</v>
      </c>
      <c r="J303" s="7" t="s">
        <v>203</v>
      </c>
      <c r="K303" s="7">
        <v>121.71</v>
      </c>
      <c r="L303" s="33">
        <v>66.73</v>
      </c>
      <c r="M303" s="36">
        <v>2.6856749999999998</v>
      </c>
      <c r="N303" s="5" t="str">
        <f t="shared" si="10"/>
        <v>未买</v>
      </c>
    </row>
    <row r="304" spans="8:17" x14ac:dyDescent="0.15">
      <c r="H304" s="17">
        <v>302</v>
      </c>
      <c r="I304" s="7">
        <v>110081</v>
      </c>
      <c r="J304" s="7" t="s">
        <v>1955</v>
      </c>
      <c r="K304" s="7">
        <v>116.06</v>
      </c>
      <c r="L304" s="33">
        <v>67.23</v>
      </c>
      <c r="M304" s="36">
        <v>85.983429999999998</v>
      </c>
      <c r="N304" s="5" t="str">
        <f t="shared" si="10"/>
        <v>未买</v>
      </c>
    </row>
    <row r="305" spans="8:14" x14ac:dyDescent="0.15">
      <c r="H305" s="17">
        <v>303</v>
      </c>
      <c r="I305" s="7">
        <v>127059</v>
      </c>
      <c r="J305" s="7" t="s">
        <v>1954</v>
      </c>
      <c r="K305" s="7">
        <v>146.79499999999999</v>
      </c>
      <c r="L305" s="33">
        <v>67.75</v>
      </c>
      <c r="M305" s="36">
        <v>3.8</v>
      </c>
      <c r="N305" s="5" t="str">
        <f t="shared" si="10"/>
        <v>未买</v>
      </c>
    </row>
    <row r="306" spans="8:14" x14ac:dyDescent="0.15">
      <c r="H306" s="17">
        <v>304</v>
      </c>
      <c r="I306" s="7">
        <v>123088</v>
      </c>
      <c r="J306" s="7" t="s">
        <v>238</v>
      </c>
      <c r="K306" s="7">
        <v>126.1</v>
      </c>
      <c r="L306" s="33">
        <v>68.790000000000006</v>
      </c>
      <c r="M306" s="36">
        <v>3.011755</v>
      </c>
      <c r="N306" s="5" t="str">
        <f t="shared" si="10"/>
        <v>未买</v>
      </c>
    </row>
    <row r="307" spans="8:14" x14ac:dyDescent="0.15">
      <c r="H307" s="17">
        <v>305</v>
      </c>
      <c r="I307" s="7">
        <v>123090</v>
      </c>
      <c r="J307" s="7" t="s">
        <v>183</v>
      </c>
      <c r="K307" s="7">
        <v>116.2</v>
      </c>
      <c r="L307" s="33">
        <v>69.36</v>
      </c>
      <c r="M307" s="36">
        <v>4.9996939999999999</v>
      </c>
      <c r="N307" s="5" t="str">
        <f t="shared" si="10"/>
        <v>未买</v>
      </c>
    </row>
    <row r="308" spans="8:14" x14ac:dyDescent="0.15">
      <c r="H308" s="17">
        <v>306</v>
      </c>
      <c r="I308" s="7">
        <v>113042</v>
      </c>
      <c r="J308" s="7" t="s">
        <v>1951</v>
      </c>
      <c r="K308" s="7">
        <v>105.13</v>
      </c>
      <c r="L308" s="33">
        <v>70.09</v>
      </c>
      <c r="M308" s="36">
        <v>199.98693</v>
      </c>
      <c r="N308" s="5" t="str">
        <f t="shared" si="10"/>
        <v>未买</v>
      </c>
    </row>
    <row r="309" spans="8:14" x14ac:dyDescent="0.15">
      <c r="H309" s="17">
        <v>307</v>
      </c>
      <c r="I309" s="7">
        <v>113616</v>
      </c>
      <c r="J309" s="7" t="s">
        <v>1957</v>
      </c>
      <c r="K309" s="7">
        <v>123.06</v>
      </c>
      <c r="L309" s="33">
        <v>70.73</v>
      </c>
      <c r="M309" s="36">
        <v>24.333670000000001</v>
      </c>
      <c r="N309" s="5" t="str">
        <f t="shared" si="10"/>
        <v>未买</v>
      </c>
    </row>
    <row r="310" spans="8:14" x14ac:dyDescent="0.15">
      <c r="H310" s="17">
        <v>308</v>
      </c>
      <c r="I310" s="7">
        <v>128117</v>
      </c>
      <c r="J310" s="7" t="s">
        <v>155</v>
      </c>
      <c r="K310" s="7">
        <v>112.78700000000001</v>
      </c>
      <c r="L310" s="33">
        <v>70.97</v>
      </c>
      <c r="M310" s="36">
        <v>3.5988519999999995</v>
      </c>
      <c r="N310" s="5" t="str">
        <f t="shared" si="10"/>
        <v>未买</v>
      </c>
    </row>
    <row r="311" spans="8:14" x14ac:dyDescent="0.15">
      <c r="H311" s="17">
        <v>309</v>
      </c>
      <c r="I311" s="7">
        <v>128056</v>
      </c>
      <c r="J311" s="7" t="s">
        <v>79</v>
      </c>
      <c r="K311" s="7">
        <v>134.5</v>
      </c>
      <c r="L311" s="33">
        <v>71.38</v>
      </c>
      <c r="M311" s="36">
        <v>1.7224740000000003</v>
      </c>
      <c r="N311" s="5" t="str">
        <f t="shared" si="10"/>
        <v>未买</v>
      </c>
    </row>
    <row r="312" spans="8:14" x14ac:dyDescent="0.15">
      <c r="H312" s="17">
        <v>310</v>
      </c>
      <c r="I312" s="7">
        <v>110062</v>
      </c>
      <c r="J312" s="7" t="s">
        <v>1956</v>
      </c>
      <c r="K312" s="7">
        <v>108</v>
      </c>
      <c r="L312" s="33">
        <v>71.87</v>
      </c>
      <c r="M312" s="36">
        <v>30.87631</v>
      </c>
      <c r="N312" s="5" t="str">
        <f t="shared" si="10"/>
        <v>未买</v>
      </c>
    </row>
    <row r="313" spans="8:14" x14ac:dyDescent="0.15">
      <c r="H313" s="17">
        <v>311</v>
      </c>
      <c r="I313" s="7">
        <v>128142</v>
      </c>
      <c r="J313" s="7" t="s">
        <v>201</v>
      </c>
      <c r="K313" s="7">
        <v>112.848</v>
      </c>
      <c r="L313" s="33">
        <v>71.89</v>
      </c>
      <c r="M313" s="36">
        <v>7.1797839999999997</v>
      </c>
      <c r="N313" s="5" t="str">
        <f t="shared" si="10"/>
        <v>未买</v>
      </c>
    </row>
    <row r="314" spans="8:14" x14ac:dyDescent="0.15">
      <c r="H314" s="17">
        <v>312</v>
      </c>
      <c r="I314" s="7">
        <v>123004</v>
      </c>
      <c r="J314" s="7" t="s">
        <v>181</v>
      </c>
      <c r="K314" s="7">
        <v>106.26</v>
      </c>
      <c r="L314" s="33">
        <v>72.72</v>
      </c>
      <c r="M314" s="36">
        <v>8.0317070000000008</v>
      </c>
      <c r="N314" s="5" t="str">
        <f t="shared" si="10"/>
        <v>未买</v>
      </c>
    </row>
    <row r="315" spans="8:14" x14ac:dyDescent="0.15">
      <c r="H315" s="17">
        <v>313</v>
      </c>
      <c r="I315" s="7">
        <v>128069</v>
      </c>
      <c r="J315" s="7" t="s">
        <v>173</v>
      </c>
      <c r="K315" s="7">
        <v>117.4</v>
      </c>
      <c r="L315" s="33">
        <v>73.459999999999994</v>
      </c>
      <c r="M315" s="36">
        <v>2.99343</v>
      </c>
      <c r="N315" s="5" t="str">
        <f t="shared" si="10"/>
        <v>未买</v>
      </c>
    </row>
    <row r="316" spans="8:14" x14ac:dyDescent="0.15">
      <c r="H316" s="17">
        <v>314</v>
      </c>
      <c r="I316" s="7">
        <v>110076</v>
      </c>
      <c r="J316" s="7" t="s">
        <v>1967</v>
      </c>
      <c r="K316" s="7">
        <v>111.6</v>
      </c>
      <c r="L316" s="33">
        <v>74.099999999999994</v>
      </c>
      <c r="M316" s="36">
        <v>18.424399999999999</v>
      </c>
      <c r="N316" s="5" t="str">
        <f t="shared" si="10"/>
        <v>未买</v>
      </c>
    </row>
    <row r="317" spans="8:14" x14ac:dyDescent="0.15">
      <c r="H317" s="17">
        <v>315</v>
      </c>
      <c r="I317" s="7">
        <v>128026</v>
      </c>
      <c r="J317" s="7" t="s">
        <v>192</v>
      </c>
      <c r="K317" s="7">
        <v>107.351</v>
      </c>
      <c r="L317" s="33">
        <v>74.41</v>
      </c>
      <c r="M317" s="36">
        <v>4.0879250000000003</v>
      </c>
      <c r="N317" s="5" t="str">
        <f t="shared" si="10"/>
        <v>未买</v>
      </c>
    </row>
    <row r="318" spans="8:14" x14ac:dyDescent="0.15">
      <c r="H318" s="17">
        <v>316</v>
      </c>
      <c r="I318" s="7">
        <v>113535</v>
      </c>
      <c r="J318" s="7" t="s">
        <v>217</v>
      </c>
      <c r="K318" s="7">
        <v>111.85</v>
      </c>
      <c r="L318" s="33">
        <v>75.12</v>
      </c>
      <c r="M318" s="36">
        <v>4.99613</v>
      </c>
      <c r="N318" s="5" t="str">
        <f t="shared" si="10"/>
        <v>未买</v>
      </c>
    </row>
    <row r="319" spans="8:14" x14ac:dyDescent="0.15">
      <c r="H319" s="17">
        <v>317</v>
      </c>
      <c r="I319" s="7">
        <v>128015</v>
      </c>
      <c r="J319" s="7" t="s">
        <v>163</v>
      </c>
      <c r="K319" s="7">
        <v>109.84699999999999</v>
      </c>
      <c r="L319" s="33">
        <v>75.19</v>
      </c>
      <c r="M319" s="36">
        <v>7.7922679999999991</v>
      </c>
      <c r="N319" s="5" t="str">
        <f t="shared" si="10"/>
        <v>未买</v>
      </c>
    </row>
    <row r="320" spans="8:14" x14ac:dyDescent="0.15">
      <c r="H320" s="17">
        <v>318</v>
      </c>
      <c r="I320" s="7">
        <v>128105</v>
      </c>
      <c r="J320" s="7" t="s">
        <v>186</v>
      </c>
      <c r="K320" s="7">
        <v>101.59</v>
      </c>
      <c r="L320" s="33">
        <v>75.459999999999994</v>
      </c>
      <c r="M320" s="36">
        <v>7.9952110000000003</v>
      </c>
      <c r="N320" s="5" t="str">
        <f t="shared" si="10"/>
        <v>未买</v>
      </c>
    </row>
    <row r="321" spans="8:14" x14ac:dyDescent="0.15">
      <c r="H321" s="17">
        <v>319</v>
      </c>
      <c r="I321" s="7">
        <v>128063</v>
      </c>
      <c r="J321" s="7" t="s">
        <v>206</v>
      </c>
      <c r="K321" s="7">
        <v>113.997</v>
      </c>
      <c r="L321" s="33">
        <v>76.52</v>
      </c>
      <c r="M321" s="36">
        <v>6.293526</v>
      </c>
      <c r="N321" s="5" t="str">
        <f t="shared" si="10"/>
        <v>未买</v>
      </c>
    </row>
    <row r="322" spans="8:14" x14ac:dyDescent="0.15">
      <c r="H322" s="17">
        <v>320</v>
      </c>
      <c r="I322" s="7">
        <v>113593</v>
      </c>
      <c r="J322" s="7" t="s">
        <v>60</v>
      </c>
      <c r="K322" s="7">
        <v>115.09</v>
      </c>
      <c r="L322" s="33">
        <v>76.650000000000006</v>
      </c>
      <c r="M322" s="36">
        <v>3.9977800000000001</v>
      </c>
      <c r="N322" s="5" t="str">
        <f t="shared" si="10"/>
        <v>未买</v>
      </c>
    </row>
    <row r="323" spans="8:14" x14ac:dyDescent="0.15">
      <c r="H323" s="17">
        <v>321</v>
      </c>
      <c r="I323" s="7">
        <v>123049</v>
      </c>
      <c r="J323" s="7" t="s">
        <v>194</v>
      </c>
      <c r="K323" s="7">
        <v>108.902</v>
      </c>
      <c r="L323" s="33">
        <v>76.959999999999994</v>
      </c>
      <c r="M323" s="36">
        <v>9.1698649999999997</v>
      </c>
      <c r="N323" s="5" t="str">
        <f t="shared" si="10"/>
        <v>未买</v>
      </c>
    </row>
    <row r="324" spans="8:14" x14ac:dyDescent="0.15">
      <c r="H324" s="17">
        <v>322</v>
      </c>
      <c r="I324" s="7">
        <v>123096</v>
      </c>
      <c r="J324" s="7" t="s">
        <v>210</v>
      </c>
      <c r="K324" s="7">
        <v>105.971</v>
      </c>
      <c r="L324" s="33">
        <v>77.06</v>
      </c>
      <c r="M324" s="36">
        <v>8.1692780000000003</v>
      </c>
      <c r="N324" s="5" t="str">
        <f t="shared" ref="N324:N387" si="11">IF(ISNA(MATCH(I324,$A$3:$A$1000,0)),"未买","Yes")</f>
        <v>未买</v>
      </c>
    </row>
    <row r="325" spans="8:14" x14ac:dyDescent="0.15">
      <c r="H325" s="17">
        <v>323</v>
      </c>
      <c r="I325" s="7">
        <v>113530</v>
      </c>
      <c r="J325" s="7" t="s">
        <v>191</v>
      </c>
      <c r="K325" s="7">
        <v>119.63</v>
      </c>
      <c r="L325" s="33">
        <v>77.52</v>
      </c>
      <c r="M325" s="36">
        <v>6.29765</v>
      </c>
      <c r="N325" s="5" t="str">
        <f t="shared" si="11"/>
        <v>未买</v>
      </c>
    </row>
    <row r="326" spans="8:14" x14ac:dyDescent="0.15">
      <c r="H326" s="17">
        <v>324</v>
      </c>
      <c r="I326" s="7">
        <v>123119</v>
      </c>
      <c r="J326" s="7" t="s">
        <v>1968</v>
      </c>
      <c r="K326" s="7">
        <v>112.246</v>
      </c>
      <c r="L326" s="33">
        <v>77.97</v>
      </c>
      <c r="M326" s="36">
        <v>19.997247000000002</v>
      </c>
      <c r="N326" s="5" t="str">
        <f t="shared" si="11"/>
        <v>未买</v>
      </c>
    </row>
    <row r="327" spans="8:14" x14ac:dyDescent="0.15">
      <c r="H327" s="17">
        <v>325</v>
      </c>
      <c r="I327" s="7">
        <v>113566</v>
      </c>
      <c r="J327" s="7" t="s">
        <v>195</v>
      </c>
      <c r="K327" s="7">
        <v>123.94</v>
      </c>
      <c r="L327" s="33">
        <v>78.2</v>
      </c>
      <c r="M327" s="36">
        <v>1.6127199999999999</v>
      </c>
      <c r="N327" s="5" t="str">
        <f t="shared" si="11"/>
        <v>未买</v>
      </c>
    </row>
    <row r="328" spans="8:14" x14ac:dyDescent="0.15">
      <c r="H328" s="17">
        <v>326</v>
      </c>
      <c r="I328" s="7">
        <v>123099</v>
      </c>
      <c r="J328" s="7" t="s">
        <v>245</v>
      </c>
      <c r="K328" s="7">
        <v>111.801</v>
      </c>
      <c r="L328" s="33">
        <v>78.37</v>
      </c>
      <c r="M328" s="36">
        <v>8.4993130000000008</v>
      </c>
      <c r="N328" s="5" t="str">
        <f t="shared" si="11"/>
        <v>未买</v>
      </c>
    </row>
    <row r="329" spans="8:14" x14ac:dyDescent="0.15">
      <c r="H329" s="17">
        <v>327</v>
      </c>
      <c r="I329" s="7">
        <v>123128</v>
      </c>
      <c r="J329" s="7" t="s">
        <v>1962</v>
      </c>
      <c r="K329" s="7">
        <v>106.04</v>
      </c>
      <c r="L329" s="33">
        <v>78.790000000000006</v>
      </c>
      <c r="M329" s="36">
        <v>13.794371</v>
      </c>
      <c r="N329" s="5" t="str">
        <f t="shared" si="11"/>
        <v>未买</v>
      </c>
    </row>
    <row r="330" spans="8:14" x14ac:dyDescent="0.15">
      <c r="H330" s="17">
        <v>328</v>
      </c>
      <c r="I330" s="7">
        <v>128131</v>
      </c>
      <c r="J330" s="7" t="s">
        <v>1963</v>
      </c>
      <c r="K330" s="7">
        <v>111.88800000000001</v>
      </c>
      <c r="L330" s="33">
        <v>79.45</v>
      </c>
      <c r="M330" s="36">
        <v>13.997867000000003</v>
      </c>
      <c r="N330" s="5" t="str">
        <f t="shared" si="11"/>
        <v>未买</v>
      </c>
    </row>
    <row r="331" spans="8:14" x14ac:dyDescent="0.15">
      <c r="H331" s="17">
        <v>329</v>
      </c>
      <c r="I331" s="7">
        <v>128014</v>
      </c>
      <c r="J331" s="7" t="s">
        <v>189</v>
      </c>
      <c r="K331" s="7">
        <v>110.5</v>
      </c>
      <c r="L331" s="33">
        <v>79.7</v>
      </c>
      <c r="M331" s="36">
        <v>3.3697080000000001</v>
      </c>
      <c r="N331" s="5" t="str">
        <f t="shared" si="11"/>
        <v>未买</v>
      </c>
    </row>
    <row r="332" spans="8:14" x14ac:dyDescent="0.15">
      <c r="H332" s="17">
        <v>330</v>
      </c>
      <c r="I332" s="7">
        <v>113633</v>
      </c>
      <c r="J332" s="7" t="s">
        <v>1969</v>
      </c>
      <c r="K332" s="7">
        <v>115.22</v>
      </c>
      <c r="L332" s="33">
        <v>79.98</v>
      </c>
      <c r="M332" s="36">
        <v>10.39917</v>
      </c>
      <c r="N332" s="5" t="str">
        <f t="shared" si="11"/>
        <v>未买</v>
      </c>
    </row>
    <row r="333" spans="8:14" x14ac:dyDescent="0.15">
      <c r="H333" s="17">
        <v>331</v>
      </c>
      <c r="I333" s="7">
        <v>113594</v>
      </c>
      <c r="J333" s="7" t="s">
        <v>76</v>
      </c>
      <c r="K333" s="7">
        <v>118.09</v>
      </c>
      <c r="L333" s="33">
        <v>79.989999999999995</v>
      </c>
      <c r="M333" s="36">
        <v>2.9975200000000002</v>
      </c>
      <c r="N333" s="5" t="str">
        <f t="shared" si="11"/>
        <v>未买</v>
      </c>
    </row>
    <row r="334" spans="8:14" x14ac:dyDescent="0.15">
      <c r="H334" s="17">
        <v>332</v>
      </c>
      <c r="I334" s="7">
        <v>113542</v>
      </c>
      <c r="J334" s="7" t="s">
        <v>178</v>
      </c>
      <c r="K334" s="7">
        <v>108.77</v>
      </c>
      <c r="L334" s="33">
        <v>80.8</v>
      </c>
      <c r="M334" s="36">
        <v>6.02719</v>
      </c>
      <c r="N334" s="5" t="str">
        <f t="shared" si="11"/>
        <v>未买</v>
      </c>
    </row>
    <row r="335" spans="8:14" x14ac:dyDescent="0.15">
      <c r="H335" s="17">
        <v>333</v>
      </c>
      <c r="I335" s="7">
        <v>123108</v>
      </c>
      <c r="J335" s="7" t="s">
        <v>1961</v>
      </c>
      <c r="K335" s="7">
        <v>112.098</v>
      </c>
      <c r="L335" s="33">
        <v>81.39</v>
      </c>
      <c r="M335" s="36">
        <v>16.377485999999998</v>
      </c>
      <c r="N335" s="5" t="str">
        <f t="shared" si="11"/>
        <v>未买</v>
      </c>
    </row>
    <row r="336" spans="8:14" x14ac:dyDescent="0.15">
      <c r="H336" s="17">
        <v>334</v>
      </c>
      <c r="I336" s="7">
        <v>127024</v>
      </c>
      <c r="J336" s="7" t="s">
        <v>1960</v>
      </c>
      <c r="K336" s="7">
        <v>106.96299999999999</v>
      </c>
      <c r="L336" s="33">
        <v>82.5</v>
      </c>
      <c r="M336" s="36">
        <v>14.761056999999999</v>
      </c>
      <c r="N336" s="5" t="str">
        <f t="shared" si="11"/>
        <v>未买</v>
      </c>
    </row>
    <row r="337" spans="8:14" x14ac:dyDescent="0.15">
      <c r="H337" s="17">
        <v>335</v>
      </c>
      <c r="I337" s="7">
        <v>123056</v>
      </c>
      <c r="J337" s="7" t="s">
        <v>158</v>
      </c>
      <c r="K337" s="7">
        <v>107.911</v>
      </c>
      <c r="L337" s="33">
        <v>82.56</v>
      </c>
      <c r="M337" s="36">
        <v>5.8400559999999997</v>
      </c>
      <c r="N337" s="5" t="str">
        <f t="shared" si="11"/>
        <v>未买</v>
      </c>
    </row>
    <row r="338" spans="8:14" x14ac:dyDescent="0.15">
      <c r="H338" s="17">
        <v>336</v>
      </c>
      <c r="I338" s="7">
        <v>128116</v>
      </c>
      <c r="J338" s="7" t="s">
        <v>185</v>
      </c>
      <c r="K338" s="7">
        <v>111.61499999999999</v>
      </c>
      <c r="L338" s="33">
        <v>83.73</v>
      </c>
      <c r="M338" s="36">
        <v>6.4919989999999999</v>
      </c>
      <c r="N338" s="5" t="str">
        <f t="shared" si="11"/>
        <v>未买</v>
      </c>
    </row>
    <row r="339" spans="8:14" x14ac:dyDescent="0.15">
      <c r="H339" s="17">
        <v>337</v>
      </c>
      <c r="I339" s="7">
        <v>128030</v>
      </c>
      <c r="J339" s="7" t="s">
        <v>1950</v>
      </c>
      <c r="K339" s="7">
        <v>250.15</v>
      </c>
      <c r="L339" s="33">
        <v>83.83</v>
      </c>
      <c r="M339" s="36">
        <v>0.85105900000000001</v>
      </c>
      <c r="N339" s="5" t="str">
        <f t="shared" si="11"/>
        <v>未买</v>
      </c>
    </row>
    <row r="340" spans="8:14" x14ac:dyDescent="0.15">
      <c r="H340" s="17">
        <v>338</v>
      </c>
      <c r="I340" s="7">
        <v>118004</v>
      </c>
      <c r="J340" s="7" t="s">
        <v>279</v>
      </c>
      <c r="K340" s="7">
        <v>121.2</v>
      </c>
      <c r="L340" s="33">
        <v>85.21</v>
      </c>
      <c r="M340" s="36">
        <v>4.6500000000000004</v>
      </c>
      <c r="N340" s="5" t="str">
        <f t="shared" si="11"/>
        <v>未买</v>
      </c>
    </row>
    <row r="341" spans="8:14" x14ac:dyDescent="0.15">
      <c r="H341" s="17">
        <v>339</v>
      </c>
      <c r="I341" s="7">
        <v>127062</v>
      </c>
      <c r="J341" s="7" t="s">
        <v>1953</v>
      </c>
      <c r="K341" s="7">
        <v>147.26</v>
      </c>
      <c r="L341" s="33">
        <v>85.33</v>
      </c>
      <c r="M341" s="36">
        <v>3.9630000000000001</v>
      </c>
      <c r="N341" s="5" t="str">
        <f t="shared" si="11"/>
        <v>未买</v>
      </c>
    </row>
    <row r="342" spans="8:14" x14ac:dyDescent="0.15">
      <c r="H342" s="17">
        <v>340</v>
      </c>
      <c r="I342" s="7">
        <v>110059</v>
      </c>
      <c r="J342" s="7" t="s">
        <v>1958</v>
      </c>
      <c r="K342" s="7">
        <v>106.06</v>
      </c>
      <c r="L342" s="33">
        <v>85.91</v>
      </c>
      <c r="M342" s="36">
        <v>499.98649</v>
      </c>
      <c r="N342" s="5" t="str">
        <f t="shared" si="11"/>
        <v>未买</v>
      </c>
    </row>
    <row r="343" spans="8:14" x14ac:dyDescent="0.15">
      <c r="H343" s="17">
        <v>341</v>
      </c>
      <c r="I343" s="7">
        <v>113604</v>
      </c>
      <c r="J343" s="7" t="s">
        <v>162</v>
      </c>
      <c r="K343" s="7">
        <v>105.13</v>
      </c>
      <c r="L343" s="33">
        <v>85.94</v>
      </c>
      <c r="M343" s="36">
        <v>6.3988699999999996</v>
      </c>
      <c r="N343" s="5" t="str">
        <f t="shared" si="11"/>
        <v>未买</v>
      </c>
    </row>
    <row r="344" spans="8:14" x14ac:dyDescent="0.15">
      <c r="H344" s="17">
        <v>342</v>
      </c>
      <c r="I344" s="7">
        <v>128035</v>
      </c>
      <c r="J344" s="7" t="s">
        <v>1965</v>
      </c>
      <c r="K344" s="7">
        <v>111.3</v>
      </c>
      <c r="L344" s="33">
        <v>86.24</v>
      </c>
      <c r="M344" s="36">
        <v>22.994976000000001</v>
      </c>
      <c r="N344" s="5" t="str">
        <f t="shared" si="11"/>
        <v>未买</v>
      </c>
    </row>
    <row r="345" spans="8:14" x14ac:dyDescent="0.15">
      <c r="H345" s="17">
        <v>343</v>
      </c>
      <c r="I345" s="7">
        <v>113608</v>
      </c>
      <c r="J345" s="7" t="s">
        <v>66</v>
      </c>
      <c r="K345" s="7">
        <v>109.59</v>
      </c>
      <c r="L345" s="33">
        <v>86.54</v>
      </c>
      <c r="M345" s="36">
        <v>4.1998600000000001</v>
      </c>
      <c r="N345" s="5" t="str">
        <f t="shared" si="11"/>
        <v>未买</v>
      </c>
    </row>
    <row r="346" spans="8:14" x14ac:dyDescent="0.15">
      <c r="H346" s="17">
        <v>344</v>
      </c>
      <c r="I346" s="7">
        <v>113639</v>
      </c>
      <c r="J346" s="7" t="s">
        <v>792</v>
      </c>
      <c r="K346" s="7">
        <v>115.16</v>
      </c>
      <c r="L346" s="33">
        <v>87.34</v>
      </c>
      <c r="M346" s="36">
        <v>5.7</v>
      </c>
      <c r="N346" s="5" t="str">
        <f t="shared" si="11"/>
        <v>未买</v>
      </c>
    </row>
    <row r="347" spans="8:14" x14ac:dyDescent="0.15">
      <c r="H347" s="17">
        <v>345</v>
      </c>
      <c r="I347" s="7">
        <v>113578</v>
      </c>
      <c r="J347" s="7" t="s">
        <v>175</v>
      </c>
      <c r="K347" s="7">
        <v>104.14</v>
      </c>
      <c r="L347" s="33">
        <v>87.88</v>
      </c>
      <c r="M347" s="36">
        <v>3.8380800000000002</v>
      </c>
      <c r="N347" s="5" t="str">
        <f t="shared" si="11"/>
        <v>未买</v>
      </c>
    </row>
    <row r="348" spans="8:14" x14ac:dyDescent="0.15">
      <c r="H348" s="17">
        <v>346</v>
      </c>
      <c r="I348" s="7">
        <v>113597</v>
      </c>
      <c r="J348" s="7" t="s">
        <v>157</v>
      </c>
      <c r="K348" s="7">
        <v>131.05000000000001</v>
      </c>
      <c r="L348" s="33">
        <v>88.56</v>
      </c>
      <c r="M348" s="36">
        <v>2.98447</v>
      </c>
      <c r="N348" s="5" t="str">
        <f t="shared" si="11"/>
        <v>未买</v>
      </c>
    </row>
    <row r="349" spans="8:14" x14ac:dyDescent="0.15">
      <c r="H349" s="17">
        <v>347</v>
      </c>
      <c r="I349" s="7">
        <v>127041</v>
      </c>
      <c r="J349" s="7" t="s">
        <v>200</v>
      </c>
      <c r="K349" s="7">
        <v>111.95</v>
      </c>
      <c r="L349" s="33">
        <v>89.17</v>
      </c>
      <c r="M349" s="36">
        <v>5.9996049999999999</v>
      </c>
      <c r="N349" s="5" t="str">
        <f t="shared" si="11"/>
        <v>未买</v>
      </c>
    </row>
    <row r="350" spans="8:14" x14ac:dyDescent="0.15">
      <c r="H350" s="17">
        <v>348</v>
      </c>
      <c r="I350" s="7">
        <v>123109</v>
      </c>
      <c r="J350" s="7" t="s">
        <v>1966</v>
      </c>
      <c r="K350" s="7">
        <v>112.298</v>
      </c>
      <c r="L350" s="33">
        <v>89.53</v>
      </c>
      <c r="M350" s="36">
        <v>4.5955410000000008</v>
      </c>
      <c r="N350" s="5" t="str">
        <f t="shared" si="11"/>
        <v>未买</v>
      </c>
    </row>
    <row r="351" spans="8:14" x14ac:dyDescent="0.15">
      <c r="H351" s="17">
        <v>349</v>
      </c>
      <c r="I351" s="7">
        <v>123038</v>
      </c>
      <c r="J351" s="7" t="s">
        <v>74</v>
      </c>
      <c r="K351" s="7">
        <v>132.55000000000001</v>
      </c>
      <c r="L351" s="33">
        <v>89.71</v>
      </c>
      <c r="M351" s="36">
        <v>1.4726779999999999</v>
      </c>
      <c r="N351" s="5" t="str">
        <f t="shared" si="11"/>
        <v>未买</v>
      </c>
    </row>
    <row r="352" spans="8:14" x14ac:dyDescent="0.15">
      <c r="H352" s="17">
        <v>350</v>
      </c>
      <c r="I352" s="7">
        <v>128079</v>
      </c>
      <c r="J352" s="7" t="s">
        <v>94</v>
      </c>
      <c r="K352" s="7">
        <v>139</v>
      </c>
      <c r="L352" s="33">
        <v>90.15</v>
      </c>
      <c r="M352" s="36">
        <v>1.520079</v>
      </c>
      <c r="N352" s="5" t="str">
        <f t="shared" si="11"/>
        <v>未买</v>
      </c>
    </row>
    <row r="353" spans="8:14" x14ac:dyDescent="0.15">
      <c r="H353" s="17">
        <v>351</v>
      </c>
      <c r="I353" s="7">
        <v>123116</v>
      </c>
      <c r="J353" s="7" t="s">
        <v>213</v>
      </c>
      <c r="K353" s="7">
        <v>118.1</v>
      </c>
      <c r="L353" s="33">
        <v>90.3</v>
      </c>
      <c r="M353" s="36">
        <v>3.7816160000000005</v>
      </c>
      <c r="N353" s="5" t="str">
        <f t="shared" si="11"/>
        <v>未买</v>
      </c>
    </row>
    <row r="354" spans="8:14" x14ac:dyDescent="0.15">
      <c r="H354" s="17">
        <v>352</v>
      </c>
      <c r="I354" s="7">
        <v>123124</v>
      </c>
      <c r="J354" s="7" t="s">
        <v>199</v>
      </c>
      <c r="K354" s="7">
        <v>111.82</v>
      </c>
      <c r="L354" s="33">
        <v>90.92</v>
      </c>
      <c r="M354" s="36">
        <v>5.227792</v>
      </c>
      <c r="N354" s="5" t="str">
        <f t="shared" si="11"/>
        <v>未买</v>
      </c>
    </row>
    <row r="355" spans="8:14" x14ac:dyDescent="0.15">
      <c r="H355" s="17">
        <v>353</v>
      </c>
      <c r="I355" s="7">
        <v>113632</v>
      </c>
      <c r="J355" s="7" t="s">
        <v>1973</v>
      </c>
      <c r="K355" s="7">
        <v>117.07</v>
      </c>
      <c r="L355" s="33">
        <v>92.26</v>
      </c>
      <c r="M355" s="36">
        <v>20.499870000000001</v>
      </c>
      <c r="N355" s="5" t="str">
        <f t="shared" si="11"/>
        <v>未买</v>
      </c>
    </row>
    <row r="356" spans="8:14" x14ac:dyDescent="0.15">
      <c r="H356" s="17">
        <v>354</v>
      </c>
      <c r="I356" s="7">
        <v>127046</v>
      </c>
      <c r="J356" s="7" t="s">
        <v>1976</v>
      </c>
      <c r="K356" s="7">
        <v>118.1</v>
      </c>
      <c r="L356" s="33">
        <v>93.07</v>
      </c>
      <c r="M356" s="36">
        <v>11.27816</v>
      </c>
      <c r="N356" s="5" t="str">
        <f t="shared" si="11"/>
        <v>未买</v>
      </c>
    </row>
    <row r="357" spans="8:14" x14ac:dyDescent="0.15">
      <c r="H357" s="17">
        <v>355</v>
      </c>
      <c r="I357" s="7">
        <v>128072</v>
      </c>
      <c r="J357" s="7" t="s">
        <v>156</v>
      </c>
      <c r="K357" s="7">
        <v>110.29</v>
      </c>
      <c r="L357" s="33">
        <v>96.74</v>
      </c>
      <c r="M357" s="36">
        <v>3.0179149999999999</v>
      </c>
      <c r="N357" s="5" t="str">
        <f t="shared" si="11"/>
        <v>未买</v>
      </c>
    </row>
    <row r="358" spans="8:14" x14ac:dyDescent="0.15">
      <c r="H358" s="17">
        <v>356</v>
      </c>
      <c r="I358" s="7">
        <v>128136</v>
      </c>
      <c r="J358" s="7" t="s">
        <v>1970</v>
      </c>
      <c r="K358" s="7">
        <v>113.5</v>
      </c>
      <c r="L358" s="33">
        <v>97.56</v>
      </c>
      <c r="M358" s="36">
        <v>29.993306</v>
      </c>
      <c r="N358" s="5" t="str">
        <f t="shared" si="11"/>
        <v>未买</v>
      </c>
    </row>
    <row r="359" spans="8:14" x14ac:dyDescent="0.15">
      <c r="H359" s="17">
        <v>357</v>
      </c>
      <c r="I359" s="7">
        <v>128108</v>
      </c>
      <c r="J359" s="7" t="s">
        <v>1971</v>
      </c>
      <c r="K359" s="7">
        <v>101.29</v>
      </c>
      <c r="L359" s="33">
        <v>97.6</v>
      </c>
      <c r="M359" s="36">
        <v>15.214682</v>
      </c>
      <c r="N359" s="5" t="str">
        <f t="shared" si="11"/>
        <v>未买</v>
      </c>
    </row>
    <row r="360" spans="8:14" x14ac:dyDescent="0.15">
      <c r="H360" s="17">
        <v>358</v>
      </c>
      <c r="I360" s="7">
        <v>123117</v>
      </c>
      <c r="J360" s="7" t="s">
        <v>147</v>
      </c>
      <c r="K360" s="7">
        <v>111.851</v>
      </c>
      <c r="L360" s="33">
        <v>98.74</v>
      </c>
      <c r="M360" s="36">
        <v>9.9991240000000001</v>
      </c>
      <c r="N360" s="5" t="str">
        <f t="shared" si="11"/>
        <v>未买</v>
      </c>
    </row>
    <row r="361" spans="8:14" x14ac:dyDescent="0.15">
      <c r="H361" s="17">
        <v>359</v>
      </c>
      <c r="I361" s="7">
        <v>113625</v>
      </c>
      <c r="J361" s="7" t="s">
        <v>151</v>
      </c>
      <c r="K361" s="7">
        <v>111.5</v>
      </c>
      <c r="L361" s="33">
        <v>100</v>
      </c>
      <c r="M361" s="36">
        <v>5.8255499999999998</v>
      </c>
      <c r="N361" s="5" t="str">
        <f t="shared" si="11"/>
        <v>未买</v>
      </c>
    </row>
    <row r="362" spans="8:14" x14ac:dyDescent="0.15">
      <c r="H362" s="17">
        <v>360</v>
      </c>
      <c r="I362" s="7">
        <v>113595</v>
      </c>
      <c r="J362" s="7" t="s">
        <v>141</v>
      </c>
      <c r="K362" s="7">
        <v>108.78</v>
      </c>
      <c r="L362" s="33">
        <v>100.74</v>
      </c>
      <c r="M362" s="36">
        <v>3.2978900000000002</v>
      </c>
      <c r="N362" s="5" t="str">
        <f t="shared" si="11"/>
        <v>未买</v>
      </c>
    </row>
    <row r="363" spans="8:14" x14ac:dyDescent="0.15">
      <c r="H363" s="17">
        <v>361</v>
      </c>
      <c r="I363" s="7">
        <v>123126</v>
      </c>
      <c r="J363" s="7" t="s">
        <v>184</v>
      </c>
      <c r="K363" s="7">
        <v>113.949</v>
      </c>
      <c r="L363" s="33">
        <v>101.61</v>
      </c>
      <c r="M363" s="36">
        <v>3.399826</v>
      </c>
      <c r="N363" s="5" t="str">
        <f t="shared" si="11"/>
        <v>未买</v>
      </c>
    </row>
    <row r="364" spans="8:14" x14ac:dyDescent="0.15">
      <c r="H364" s="17">
        <v>362</v>
      </c>
      <c r="I364" s="7">
        <v>113622</v>
      </c>
      <c r="J364" s="7" t="s">
        <v>1959</v>
      </c>
      <c r="K364" s="7">
        <v>123.38</v>
      </c>
      <c r="L364" s="33">
        <v>101.73</v>
      </c>
      <c r="M364" s="36">
        <v>11.499700000000001</v>
      </c>
      <c r="N364" s="5" t="str">
        <f t="shared" si="11"/>
        <v>未买</v>
      </c>
    </row>
    <row r="365" spans="8:14" x14ac:dyDescent="0.15">
      <c r="H365" s="17">
        <v>363</v>
      </c>
      <c r="I365" s="7">
        <v>128074</v>
      </c>
      <c r="J365" s="7" t="s">
        <v>208</v>
      </c>
      <c r="K365" s="7">
        <v>109.999</v>
      </c>
      <c r="L365" s="33">
        <v>102.69</v>
      </c>
      <c r="M365" s="36">
        <v>6.824916</v>
      </c>
      <c r="N365" s="5" t="str">
        <f t="shared" si="11"/>
        <v>未买</v>
      </c>
    </row>
    <row r="366" spans="8:14" x14ac:dyDescent="0.15">
      <c r="H366" s="17">
        <v>364</v>
      </c>
      <c r="I366" s="7">
        <v>127044</v>
      </c>
      <c r="J366" s="7" t="s">
        <v>1972</v>
      </c>
      <c r="K366" s="7">
        <v>107.309</v>
      </c>
      <c r="L366" s="33">
        <v>103.28</v>
      </c>
      <c r="M366" s="36">
        <v>11.688867</v>
      </c>
      <c r="N366" s="5" t="str">
        <f t="shared" si="11"/>
        <v>未买</v>
      </c>
    </row>
    <row r="367" spans="8:14" x14ac:dyDescent="0.15">
      <c r="H367" s="17">
        <v>365</v>
      </c>
      <c r="I367" s="7">
        <v>123018</v>
      </c>
      <c r="J367" s="7" t="s">
        <v>77</v>
      </c>
      <c r="K367" s="7">
        <v>242.62799999999999</v>
      </c>
      <c r="L367" s="33">
        <v>104.7</v>
      </c>
      <c r="M367" s="36">
        <v>0.54235200000000006</v>
      </c>
      <c r="N367" s="5" t="str">
        <f t="shared" si="11"/>
        <v>未买</v>
      </c>
    </row>
    <row r="368" spans="8:14" x14ac:dyDescent="0.15">
      <c r="H368" s="17">
        <v>366</v>
      </c>
      <c r="I368" s="7">
        <v>123141</v>
      </c>
      <c r="J368" s="7" t="s">
        <v>790</v>
      </c>
      <c r="K368" s="7">
        <v>179.1</v>
      </c>
      <c r="L368" s="33">
        <v>105.2</v>
      </c>
      <c r="M368" s="36">
        <v>3.2126000000000001</v>
      </c>
      <c r="N368" s="5" t="str">
        <f t="shared" si="11"/>
        <v>未买</v>
      </c>
    </row>
    <row r="369" spans="8:14" x14ac:dyDescent="0.15">
      <c r="H369" s="17">
        <v>367</v>
      </c>
      <c r="I369" s="7">
        <v>128070</v>
      </c>
      <c r="J369" s="7" t="s">
        <v>166</v>
      </c>
      <c r="K369" s="7">
        <v>132.928</v>
      </c>
      <c r="L369" s="33">
        <v>108.35</v>
      </c>
      <c r="M369" s="36">
        <v>2.295741</v>
      </c>
      <c r="N369" s="5" t="str">
        <f t="shared" si="11"/>
        <v>未买</v>
      </c>
    </row>
    <row r="370" spans="8:14" x14ac:dyDescent="0.15">
      <c r="H370" s="17">
        <v>368</v>
      </c>
      <c r="I370" s="7">
        <v>123011</v>
      </c>
      <c r="J370" s="7" t="s">
        <v>172</v>
      </c>
      <c r="K370" s="7">
        <v>122</v>
      </c>
      <c r="L370" s="33">
        <v>108.76</v>
      </c>
      <c r="M370" s="36">
        <v>2.5060280000000001</v>
      </c>
      <c r="N370" s="5" t="str">
        <f t="shared" si="11"/>
        <v>未买</v>
      </c>
    </row>
    <row r="371" spans="8:14" x14ac:dyDescent="0.15">
      <c r="H371" s="17">
        <v>369</v>
      </c>
      <c r="I371" s="7">
        <v>113624</v>
      </c>
      <c r="J371" s="7" t="s">
        <v>180</v>
      </c>
      <c r="K371" s="7">
        <v>109.15</v>
      </c>
      <c r="L371" s="33">
        <v>111.65</v>
      </c>
      <c r="M371" s="36">
        <v>4.0492699999999999</v>
      </c>
      <c r="N371" s="5" t="str">
        <f t="shared" si="11"/>
        <v>未买</v>
      </c>
    </row>
    <row r="372" spans="8:14" x14ac:dyDescent="0.15">
      <c r="H372" s="17">
        <v>370</v>
      </c>
      <c r="I372" s="7">
        <v>118007</v>
      </c>
      <c r="J372" s="7" t="s">
        <v>819</v>
      </c>
      <c r="K372" s="7">
        <v>178.57</v>
      </c>
      <c r="L372" s="33">
        <v>113.78</v>
      </c>
      <c r="M372" s="36">
        <v>2.6743000000000001</v>
      </c>
      <c r="N372" s="5" t="str">
        <f t="shared" si="11"/>
        <v>未买</v>
      </c>
    </row>
    <row r="373" spans="8:14" x14ac:dyDescent="0.15">
      <c r="H373" s="17">
        <v>371</v>
      </c>
      <c r="I373" s="7">
        <v>127052</v>
      </c>
      <c r="J373" s="7" t="s">
        <v>1975</v>
      </c>
      <c r="K373" s="7">
        <v>116</v>
      </c>
      <c r="L373" s="33">
        <v>116.42</v>
      </c>
      <c r="M373" s="36">
        <v>11.1</v>
      </c>
      <c r="N373" s="5" t="str">
        <f t="shared" si="11"/>
        <v>未买</v>
      </c>
    </row>
    <row r="374" spans="8:14" x14ac:dyDescent="0.15">
      <c r="H374" s="17">
        <v>372</v>
      </c>
      <c r="I374" s="7">
        <v>113573</v>
      </c>
      <c r="J374" s="7" t="s">
        <v>145</v>
      </c>
      <c r="K374" s="7">
        <v>115.15</v>
      </c>
      <c r="L374" s="33">
        <v>117.1</v>
      </c>
      <c r="M374" s="36">
        <v>2.6983299999999999</v>
      </c>
      <c r="N374" s="5" t="str">
        <f t="shared" si="11"/>
        <v>未买</v>
      </c>
    </row>
    <row r="375" spans="8:14" x14ac:dyDescent="0.15">
      <c r="H375" s="17">
        <v>373</v>
      </c>
      <c r="I375" s="7">
        <v>128125</v>
      </c>
      <c r="J375" s="7" t="s">
        <v>150</v>
      </c>
      <c r="K375" s="7">
        <v>108.761</v>
      </c>
      <c r="L375" s="33">
        <v>121.15</v>
      </c>
      <c r="M375" s="36">
        <v>4.4980339999999996</v>
      </c>
      <c r="N375" s="5" t="str">
        <f t="shared" si="11"/>
        <v>未买</v>
      </c>
    </row>
    <row r="376" spans="8:14" x14ac:dyDescent="0.15">
      <c r="H376" s="17">
        <v>374</v>
      </c>
      <c r="I376" s="7">
        <v>123076</v>
      </c>
      <c r="J376" s="7" t="s">
        <v>161</v>
      </c>
      <c r="K376" s="7">
        <v>106.20399999999999</v>
      </c>
      <c r="L376" s="33">
        <v>121.54</v>
      </c>
      <c r="M376" s="36">
        <v>8.4985610000000005</v>
      </c>
      <c r="N376" s="5" t="str">
        <f t="shared" si="11"/>
        <v>未买</v>
      </c>
    </row>
    <row r="377" spans="8:14" x14ac:dyDescent="0.15">
      <c r="H377" s="17">
        <v>375</v>
      </c>
      <c r="I377" s="7">
        <v>127051</v>
      </c>
      <c r="J377" s="7" t="s">
        <v>255</v>
      </c>
      <c r="K377" s="7">
        <v>129.023</v>
      </c>
      <c r="L377" s="33">
        <v>125.64</v>
      </c>
      <c r="M377" s="36">
        <v>5.259951</v>
      </c>
      <c r="N377" s="5" t="str">
        <f t="shared" si="11"/>
        <v>未买</v>
      </c>
    </row>
    <row r="378" spans="8:14" x14ac:dyDescent="0.15">
      <c r="H378" s="17">
        <v>376</v>
      </c>
      <c r="I378" s="7">
        <v>113605</v>
      </c>
      <c r="J378" s="7" t="s">
        <v>1974</v>
      </c>
      <c r="K378" s="7">
        <v>109.53</v>
      </c>
      <c r="L378" s="33">
        <v>129.86000000000001</v>
      </c>
      <c r="M378" s="36">
        <v>14.049010000000001</v>
      </c>
      <c r="N378" s="5" t="str">
        <f t="shared" si="11"/>
        <v>未买</v>
      </c>
    </row>
    <row r="379" spans="8:14" x14ac:dyDescent="0.15">
      <c r="H379" s="17">
        <v>377</v>
      </c>
      <c r="I379" s="7">
        <v>128118</v>
      </c>
      <c r="J379" s="7" t="s">
        <v>154</v>
      </c>
      <c r="K379" s="7">
        <v>110.72</v>
      </c>
      <c r="L379" s="33">
        <v>134.72999999999999</v>
      </c>
      <c r="M379" s="36">
        <v>2.9983399999999998</v>
      </c>
      <c r="N379" s="5" t="str">
        <f t="shared" si="11"/>
        <v>未买</v>
      </c>
    </row>
    <row r="380" spans="8:14" x14ac:dyDescent="0.15">
      <c r="H380" s="17">
        <v>378</v>
      </c>
      <c r="I380" s="7">
        <v>123104</v>
      </c>
      <c r="J380" s="7" t="s">
        <v>179</v>
      </c>
      <c r="K380" s="7">
        <v>115.188</v>
      </c>
      <c r="L380" s="33">
        <v>135.41</v>
      </c>
      <c r="M380" s="36">
        <v>9.7010769999999997</v>
      </c>
      <c r="N380" s="5" t="str">
        <f t="shared" si="11"/>
        <v>未买</v>
      </c>
    </row>
    <row r="381" spans="8:14" x14ac:dyDescent="0.15">
      <c r="H381" s="17">
        <v>379</v>
      </c>
      <c r="I381" s="7">
        <v>123113</v>
      </c>
      <c r="J381" s="7" t="s">
        <v>1977</v>
      </c>
      <c r="K381" s="7">
        <v>108.34</v>
      </c>
      <c r="L381" s="33">
        <v>135.78</v>
      </c>
      <c r="M381" s="36">
        <v>10.248582000000001</v>
      </c>
      <c r="N381" s="5" t="str">
        <f t="shared" si="11"/>
        <v>未买</v>
      </c>
    </row>
    <row r="382" spans="8:14" x14ac:dyDescent="0.15">
      <c r="H382" s="17">
        <v>380</v>
      </c>
      <c r="I382" s="7">
        <v>111003</v>
      </c>
      <c r="J382" s="7" t="s">
        <v>821</v>
      </c>
      <c r="K382" s="7">
        <v>207.96</v>
      </c>
      <c r="L382" s="33">
        <v>138.19</v>
      </c>
      <c r="M382" s="36">
        <v>2.04</v>
      </c>
      <c r="N382" s="5" t="str">
        <f t="shared" si="11"/>
        <v>未买</v>
      </c>
    </row>
    <row r="383" spans="8:14" x14ac:dyDescent="0.15">
      <c r="H383" s="17">
        <v>381</v>
      </c>
      <c r="I383" s="7">
        <v>123039</v>
      </c>
      <c r="J383" s="7" t="s">
        <v>168</v>
      </c>
      <c r="K383" s="7">
        <v>130.19999999999999</v>
      </c>
      <c r="L383" s="33">
        <v>140.58000000000001</v>
      </c>
      <c r="M383" s="36">
        <v>2.2171210000000001</v>
      </c>
      <c r="N383" s="5" t="str">
        <f t="shared" si="11"/>
        <v>未买</v>
      </c>
    </row>
    <row r="384" spans="8:14" x14ac:dyDescent="0.15">
      <c r="H384" s="17">
        <v>382</v>
      </c>
      <c r="I384" s="7">
        <v>123034</v>
      </c>
      <c r="J384" s="7" t="s">
        <v>1964</v>
      </c>
      <c r="K384" s="7">
        <v>262.10000000000002</v>
      </c>
      <c r="L384" s="33">
        <v>141.46</v>
      </c>
      <c r="M384" s="36">
        <v>0.77857100000000001</v>
      </c>
      <c r="N384" s="5" t="str">
        <f t="shared" si="11"/>
        <v>未买</v>
      </c>
    </row>
    <row r="385" spans="8:14" x14ac:dyDescent="0.15">
      <c r="H385" s="17">
        <v>383</v>
      </c>
      <c r="I385" s="7">
        <v>128124</v>
      </c>
      <c r="J385" s="7" t="s">
        <v>171</v>
      </c>
      <c r="K385" s="7">
        <v>100.49</v>
      </c>
      <c r="L385" s="33">
        <v>148.43</v>
      </c>
      <c r="M385" s="36">
        <v>7.3764519999999996</v>
      </c>
      <c r="N385" s="5" t="str">
        <f t="shared" si="11"/>
        <v>未买</v>
      </c>
    </row>
    <row r="386" spans="8:14" x14ac:dyDescent="0.15">
      <c r="H386" s="17">
        <v>384</v>
      </c>
      <c r="I386" s="7">
        <v>113589</v>
      </c>
      <c r="J386" s="7" t="s">
        <v>146</v>
      </c>
      <c r="K386" s="7">
        <v>99.55</v>
      </c>
      <c r="L386" s="33">
        <v>149.69</v>
      </c>
      <c r="M386" s="36">
        <v>5.9959100000000003</v>
      </c>
      <c r="N386" s="5" t="str">
        <f t="shared" si="11"/>
        <v>未买</v>
      </c>
    </row>
    <row r="387" spans="8:14" x14ac:dyDescent="0.15">
      <c r="H387" s="17">
        <v>385</v>
      </c>
      <c r="I387" s="7">
        <v>123101</v>
      </c>
      <c r="J387" s="7" t="s">
        <v>153</v>
      </c>
      <c r="K387" s="7">
        <v>108.202</v>
      </c>
      <c r="L387" s="33">
        <v>149.77000000000001</v>
      </c>
      <c r="M387" s="36">
        <v>6.6976259999999996</v>
      </c>
      <c r="N387" s="5" t="str">
        <f t="shared" si="11"/>
        <v>未买</v>
      </c>
    </row>
    <row r="388" spans="8:14" x14ac:dyDescent="0.15">
      <c r="H388" s="17">
        <v>386</v>
      </c>
      <c r="I388" s="7">
        <v>123138</v>
      </c>
      <c r="J388" s="7" t="s">
        <v>789</v>
      </c>
      <c r="K388" s="7">
        <v>177.6</v>
      </c>
      <c r="L388" s="33">
        <v>153.53</v>
      </c>
      <c r="M388" s="36">
        <v>2.4</v>
      </c>
      <c r="N388" s="5" t="str">
        <f t="shared" ref="N388:N412" si="12">IF(ISNA(MATCH(I388,$A$3:$A$1000,0)),"未买","Yes")</f>
        <v>未买</v>
      </c>
    </row>
    <row r="389" spans="8:14" x14ac:dyDescent="0.15">
      <c r="H389" s="17">
        <v>387</v>
      </c>
      <c r="I389" s="7">
        <v>128138</v>
      </c>
      <c r="J389" s="7" t="s">
        <v>148</v>
      </c>
      <c r="K389" s="7">
        <v>115.08199999999999</v>
      </c>
      <c r="L389" s="33">
        <v>153.93</v>
      </c>
      <c r="M389" s="36">
        <v>4.1991089999999991</v>
      </c>
      <c r="N389" s="5" t="str">
        <f t="shared" si="12"/>
        <v>未买</v>
      </c>
    </row>
    <row r="390" spans="8:14" x14ac:dyDescent="0.15">
      <c r="H390" s="17">
        <v>388</v>
      </c>
      <c r="I390" s="7">
        <v>113569</v>
      </c>
      <c r="J390" s="7" t="s">
        <v>140</v>
      </c>
      <c r="K390" s="7">
        <v>104.85</v>
      </c>
      <c r="L390" s="33">
        <v>168.02</v>
      </c>
      <c r="M390" s="36">
        <v>5.1559499999999998</v>
      </c>
      <c r="N390" s="5" t="str">
        <f t="shared" si="12"/>
        <v>未买</v>
      </c>
    </row>
    <row r="391" spans="8:14" x14ac:dyDescent="0.15">
      <c r="H391" s="17">
        <v>389</v>
      </c>
      <c r="I391" s="7">
        <v>123140</v>
      </c>
      <c r="J391" s="7" t="s">
        <v>791</v>
      </c>
      <c r="K391" s="7">
        <v>246.011</v>
      </c>
      <c r="L391" s="33">
        <v>168.4</v>
      </c>
      <c r="M391" s="36">
        <v>1.72</v>
      </c>
      <c r="N391" s="5" t="str">
        <f t="shared" si="12"/>
        <v>未买</v>
      </c>
    </row>
    <row r="392" spans="8:14" x14ac:dyDescent="0.15">
      <c r="H392" s="17">
        <v>390</v>
      </c>
      <c r="I392" s="7">
        <v>113627</v>
      </c>
      <c r="J392" s="7" t="s">
        <v>149</v>
      </c>
      <c r="K392" s="7">
        <v>109.6</v>
      </c>
      <c r="L392" s="33">
        <v>171.22</v>
      </c>
      <c r="M392" s="36">
        <v>7.9998100000000001</v>
      </c>
      <c r="N392" s="5" t="str">
        <f t="shared" si="12"/>
        <v>未买</v>
      </c>
    </row>
    <row r="393" spans="8:14" x14ac:dyDescent="0.15">
      <c r="H393" s="17">
        <v>391</v>
      </c>
      <c r="I393" s="7">
        <v>123093</v>
      </c>
      <c r="J393" s="7" t="s">
        <v>143</v>
      </c>
      <c r="K393" s="7">
        <v>143.744</v>
      </c>
      <c r="L393" s="33">
        <v>176.7</v>
      </c>
      <c r="M393" s="36">
        <v>2.4998309999999999</v>
      </c>
      <c r="N393" s="5" t="str">
        <f t="shared" si="12"/>
        <v>未买</v>
      </c>
    </row>
    <row r="394" spans="8:14" x14ac:dyDescent="0.15">
      <c r="H394" s="17">
        <v>392</v>
      </c>
      <c r="I394" s="7">
        <v>113584</v>
      </c>
      <c r="J394" s="7" t="s">
        <v>1978</v>
      </c>
      <c r="K394" s="7">
        <v>103.65</v>
      </c>
      <c r="L394" s="33">
        <v>185.22</v>
      </c>
      <c r="M394" s="36">
        <v>6.4491300000000003</v>
      </c>
      <c r="N394" s="5" t="str">
        <f t="shared" si="12"/>
        <v>未买</v>
      </c>
    </row>
    <row r="395" spans="8:14" x14ac:dyDescent="0.15">
      <c r="H395" s="17">
        <v>393</v>
      </c>
      <c r="I395" s="7">
        <v>110044</v>
      </c>
      <c r="J395" s="7" t="s">
        <v>136</v>
      </c>
      <c r="K395" s="7">
        <v>244.25</v>
      </c>
      <c r="L395" s="33">
        <v>185.87</v>
      </c>
      <c r="M395" s="36">
        <v>0.70747000000000004</v>
      </c>
      <c r="N395" s="5" t="str">
        <f t="shared" si="12"/>
        <v>未买</v>
      </c>
    </row>
    <row r="396" spans="8:14" x14ac:dyDescent="0.15">
      <c r="H396" s="17">
        <v>394</v>
      </c>
      <c r="I396" s="7">
        <v>123143</v>
      </c>
      <c r="J396" s="7" t="s">
        <v>820</v>
      </c>
      <c r="K396" s="7">
        <v>294.99900000000002</v>
      </c>
      <c r="L396" s="33">
        <v>186.16</v>
      </c>
      <c r="M396" s="36">
        <v>3.3</v>
      </c>
      <c r="N396" s="5" t="str">
        <f t="shared" si="12"/>
        <v>未买</v>
      </c>
    </row>
    <row r="397" spans="8:14" x14ac:dyDescent="0.15">
      <c r="H397" s="17">
        <v>395</v>
      </c>
      <c r="I397" s="7">
        <v>127057</v>
      </c>
      <c r="J397" s="7" t="s">
        <v>780</v>
      </c>
      <c r="K397" s="7">
        <v>443.92</v>
      </c>
      <c r="L397" s="33">
        <v>187.07</v>
      </c>
      <c r="M397" s="36">
        <v>2.76</v>
      </c>
      <c r="N397" s="5" t="str">
        <f t="shared" si="12"/>
        <v>未买</v>
      </c>
    </row>
    <row r="398" spans="8:14" x14ac:dyDescent="0.15">
      <c r="H398" s="17">
        <v>396</v>
      </c>
      <c r="I398" s="7">
        <v>123065</v>
      </c>
      <c r="J398" s="7" t="s">
        <v>137</v>
      </c>
      <c r="K398" s="7">
        <v>120.2</v>
      </c>
      <c r="L398" s="33">
        <v>189.85</v>
      </c>
      <c r="M398" s="36">
        <v>2.1885789999999998</v>
      </c>
      <c r="N398" s="5" t="str">
        <f t="shared" si="12"/>
        <v>未买</v>
      </c>
    </row>
    <row r="399" spans="8:14" x14ac:dyDescent="0.15">
      <c r="H399" s="17">
        <v>397</v>
      </c>
      <c r="I399" s="7">
        <v>113596</v>
      </c>
      <c r="J399" s="7" t="s">
        <v>1979</v>
      </c>
      <c r="K399" s="7">
        <v>97.3</v>
      </c>
      <c r="L399" s="33">
        <v>205.4</v>
      </c>
      <c r="M399" s="36">
        <v>11.987030000000001</v>
      </c>
      <c r="N399" s="5" t="str">
        <f t="shared" si="12"/>
        <v>未买</v>
      </c>
    </row>
    <row r="400" spans="8:14" x14ac:dyDescent="0.15">
      <c r="H400" s="17">
        <v>398</v>
      </c>
      <c r="I400" s="7">
        <v>128062</v>
      </c>
      <c r="J400" s="7" t="s">
        <v>1980</v>
      </c>
      <c r="K400" s="7">
        <v>99.4</v>
      </c>
      <c r="L400" s="33">
        <v>211.21</v>
      </c>
      <c r="M400" s="36">
        <v>9.6197140000000001</v>
      </c>
      <c r="N400" s="5" t="str">
        <f t="shared" si="12"/>
        <v>未买</v>
      </c>
    </row>
    <row r="401" spans="8:14" x14ac:dyDescent="0.15">
      <c r="H401" s="17">
        <v>399</v>
      </c>
      <c r="I401" s="7">
        <v>128041</v>
      </c>
      <c r="J401" s="7" t="s">
        <v>135</v>
      </c>
      <c r="K401" s="7">
        <v>301.58</v>
      </c>
      <c r="L401" s="33">
        <v>216.42</v>
      </c>
      <c r="M401" s="36">
        <v>0.52935699999999997</v>
      </c>
      <c r="N401" s="5" t="str">
        <f t="shared" si="12"/>
        <v>未买</v>
      </c>
    </row>
    <row r="402" spans="8:14" x14ac:dyDescent="0.15">
      <c r="H402" s="17">
        <v>400</v>
      </c>
      <c r="I402" s="7">
        <v>113576</v>
      </c>
      <c r="J402" s="7" t="s">
        <v>139</v>
      </c>
      <c r="K402" s="7">
        <v>123.32</v>
      </c>
      <c r="L402" s="33">
        <v>246.02</v>
      </c>
      <c r="M402" s="36">
        <v>2.65808</v>
      </c>
      <c r="N402" s="5" t="str">
        <f t="shared" si="12"/>
        <v>未买</v>
      </c>
    </row>
    <row r="403" spans="8:14" x14ac:dyDescent="0.15">
      <c r="H403" s="17">
        <v>401</v>
      </c>
      <c r="I403" s="7">
        <v>127004</v>
      </c>
      <c r="J403" s="7" t="s">
        <v>138</v>
      </c>
      <c r="K403" s="7">
        <v>263.26799999999997</v>
      </c>
      <c r="L403" s="33">
        <v>251.02</v>
      </c>
      <c r="M403" s="36">
        <v>1.3110879999999998</v>
      </c>
      <c r="N403" s="5" t="str">
        <f t="shared" si="12"/>
        <v>未买</v>
      </c>
    </row>
    <row r="404" spans="8:14" x14ac:dyDescent="0.15">
      <c r="H404" s="17">
        <v>402</v>
      </c>
      <c r="I404" s="7">
        <v>123136</v>
      </c>
      <c r="J404" s="7" t="s">
        <v>274</v>
      </c>
      <c r="K404" s="7">
        <v>330.5</v>
      </c>
      <c r="L404" s="33">
        <v>284.52999999999997</v>
      </c>
      <c r="M404" s="36">
        <v>4.5999999999999996</v>
      </c>
      <c r="N404" s="5" t="str">
        <f t="shared" si="12"/>
        <v>未买</v>
      </c>
    </row>
    <row r="405" spans="8:14" x14ac:dyDescent="0.15">
      <c r="H405" s="17">
        <v>403</v>
      </c>
      <c r="I405" s="7">
        <v>113574</v>
      </c>
      <c r="J405" s="7" t="s">
        <v>1981</v>
      </c>
      <c r="K405" s="7">
        <v>117.76</v>
      </c>
      <c r="L405" s="33">
        <v>288.01</v>
      </c>
      <c r="M405" s="36">
        <v>2.0874100000000002</v>
      </c>
      <c r="N405" s="5" t="str">
        <f t="shared" si="12"/>
        <v>未买</v>
      </c>
    </row>
    <row r="406" spans="8:14" x14ac:dyDescent="0.15">
      <c r="H406" s="17">
        <v>404</v>
      </c>
      <c r="I406" s="7">
        <v>123072</v>
      </c>
      <c r="J406" s="7" t="s">
        <v>1983</v>
      </c>
      <c r="K406" s="7">
        <v>138.297</v>
      </c>
      <c r="L406" s="33">
        <v>296.14999999999998</v>
      </c>
      <c r="M406" s="36">
        <v>1.419144</v>
      </c>
      <c r="N406" s="5" t="str">
        <f t="shared" si="12"/>
        <v>未买</v>
      </c>
    </row>
    <row r="407" spans="8:14" x14ac:dyDescent="0.15">
      <c r="H407" s="17">
        <v>405</v>
      </c>
      <c r="I407" s="7">
        <v>113646</v>
      </c>
      <c r="J407" s="7" t="s">
        <v>1982</v>
      </c>
      <c r="K407" s="7">
        <v>332.95</v>
      </c>
      <c r="L407" s="33">
        <v>302.31</v>
      </c>
      <c r="M407" s="36">
        <v>1.45868</v>
      </c>
      <c r="N407" s="5" t="str">
        <f t="shared" si="12"/>
        <v>未买</v>
      </c>
    </row>
    <row r="408" spans="8:14" x14ac:dyDescent="0.15">
      <c r="H408" s="17">
        <v>406</v>
      </c>
      <c r="I408" s="7">
        <v>113575</v>
      </c>
      <c r="J408" s="7" t="s">
        <v>152</v>
      </c>
      <c r="K408" s="7">
        <v>213.04</v>
      </c>
      <c r="L408" s="33">
        <v>328.57</v>
      </c>
      <c r="M408" s="36">
        <v>0.98397999999999997</v>
      </c>
      <c r="N408" s="5" t="str">
        <f t="shared" si="12"/>
        <v>未买</v>
      </c>
    </row>
    <row r="409" spans="8:14" x14ac:dyDescent="0.15">
      <c r="H409" s="17">
        <v>407</v>
      </c>
      <c r="I409" s="7">
        <v>123134</v>
      </c>
      <c r="J409" s="7" t="s">
        <v>280</v>
      </c>
      <c r="K409" s="7">
        <v>425</v>
      </c>
      <c r="L409" s="33">
        <v>334.43</v>
      </c>
      <c r="M409" s="36">
        <v>2.79</v>
      </c>
      <c r="N409" s="5" t="str">
        <f t="shared" si="12"/>
        <v>未买</v>
      </c>
    </row>
    <row r="410" spans="8:14" x14ac:dyDescent="0.15">
      <c r="H410" s="17">
        <v>408</v>
      </c>
      <c r="I410" s="7">
        <v>123135</v>
      </c>
      <c r="J410" s="7" t="s">
        <v>1984</v>
      </c>
      <c r="K410" s="7">
        <v>360.82100000000003</v>
      </c>
      <c r="L410" s="33">
        <v>367.38</v>
      </c>
      <c r="M410" s="36">
        <v>2.1</v>
      </c>
      <c r="N410" s="5" t="str">
        <f t="shared" si="12"/>
        <v>未买</v>
      </c>
    </row>
    <row r="411" spans="8:14" x14ac:dyDescent="0.15">
      <c r="H411" s="17">
        <v>409</v>
      </c>
      <c r="I411" s="7">
        <v>123013</v>
      </c>
      <c r="J411" s="7" t="s">
        <v>1985</v>
      </c>
      <c r="K411" s="7">
        <v>510.99</v>
      </c>
      <c r="L411" s="33">
        <v>515.35</v>
      </c>
      <c r="M411" s="36">
        <v>0.37926300000000002</v>
      </c>
      <c r="N411" s="5" t="str">
        <f t="shared" si="12"/>
        <v>未买</v>
      </c>
    </row>
    <row r="412" spans="8:14" x14ac:dyDescent="0.15">
      <c r="H412" s="17">
        <v>410</v>
      </c>
      <c r="I412" s="7">
        <v>123015</v>
      </c>
      <c r="J412" s="7" t="s">
        <v>1986</v>
      </c>
      <c r="K412" s="7">
        <v>323.89999999999998</v>
      </c>
      <c r="L412" s="33">
        <v>953.68</v>
      </c>
      <c r="M412" s="36">
        <v>1.001309</v>
      </c>
      <c r="N412" s="5" t="str">
        <f t="shared" si="12"/>
        <v>未买</v>
      </c>
    </row>
  </sheetData>
  <autoFilter ref="A2:U402"/>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M23" sqref="M23"/>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7" bestFit="1" customWidth="1"/>
    <col min="13" max="13" width="10.125" style="7" customWidth="1"/>
    <col min="14" max="14" width="10.125" style="36"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282</v>
      </c>
      <c r="B1" s="8"/>
      <c r="C1" s="55" t="s">
        <v>2011</v>
      </c>
      <c r="D1" s="7"/>
      <c r="E1" s="7"/>
      <c r="I1" s="8" t="s">
        <v>1994</v>
      </c>
      <c r="J1" s="8"/>
      <c r="K1" s="37" t="s">
        <v>1996</v>
      </c>
      <c r="L1" s="37"/>
      <c r="M1" s="37"/>
      <c r="N1" s="37"/>
      <c r="O1" s="37"/>
      <c r="P1" s="37"/>
      <c r="S1" s="8" t="s">
        <v>815</v>
      </c>
    </row>
    <row r="2" spans="1:22" s="6" customFormat="1" x14ac:dyDescent="0.15">
      <c r="A2" s="6" t="s">
        <v>59</v>
      </c>
      <c r="B2" s="6" t="s">
        <v>58</v>
      </c>
      <c r="C2" s="6" t="s">
        <v>57</v>
      </c>
      <c r="D2" s="4" t="s">
        <v>807</v>
      </c>
      <c r="E2" s="14" t="s">
        <v>804</v>
      </c>
      <c r="H2" s="18"/>
      <c r="I2" s="6" t="s">
        <v>1987</v>
      </c>
      <c r="J2" s="6" t="s">
        <v>1988</v>
      </c>
      <c r="K2" s="6" t="s">
        <v>1813</v>
      </c>
      <c r="L2" s="6" t="s">
        <v>35</v>
      </c>
      <c r="M2" s="6" t="s">
        <v>1989</v>
      </c>
      <c r="N2" s="35" t="s">
        <v>1990</v>
      </c>
      <c r="O2" s="4" t="s">
        <v>256</v>
      </c>
      <c r="R2" s="18"/>
      <c r="S2" s="6" t="s">
        <v>59</v>
      </c>
      <c r="T2" s="6" t="s">
        <v>58</v>
      </c>
      <c r="U2" s="6" t="s">
        <v>57</v>
      </c>
      <c r="V2" s="4" t="s">
        <v>256</v>
      </c>
    </row>
    <row r="3" spans="1:22" s="3" customFormat="1" x14ac:dyDescent="0.15">
      <c r="A3" s="3">
        <v>110070</v>
      </c>
      <c r="B3" s="3" t="s">
        <v>89</v>
      </c>
      <c r="C3" s="3">
        <f>VLOOKUP(A3,$I$1:$K$1000,3,FALSE)</f>
        <v>126.29</v>
      </c>
      <c r="D3" s="5">
        <f>MATCH(A3,$I$1:$I$1000,0)-2</f>
        <v>125</v>
      </c>
      <c r="E3" s="5">
        <f t="shared" ref="E3:E16" si="0">MATCH(A3,$S$1:$S$200,0)-2</f>
        <v>24</v>
      </c>
      <c r="H3" s="19">
        <v>1</v>
      </c>
      <c r="I3">
        <v>128114</v>
      </c>
      <c r="J3" t="s">
        <v>1843</v>
      </c>
      <c r="K3">
        <v>106.84099999999999</v>
      </c>
      <c r="L3">
        <v>2.78</v>
      </c>
      <c r="M3">
        <v>109.621</v>
      </c>
      <c r="N3" s="21">
        <v>15.957808999999999</v>
      </c>
      <c r="O3" s="5" t="str">
        <f>IF(ISNA(MATCH(I3,$A$3:$A$1000,0)),"未买","Yes")</f>
        <v>未买</v>
      </c>
      <c r="R3" s="19">
        <v>1</v>
      </c>
      <c r="S3" s="7">
        <v>128085</v>
      </c>
      <c r="T3" s="7" t="s">
        <v>801</v>
      </c>
      <c r="U3" s="7">
        <f>VLOOKUP(S3,$I$1:$K$1000,3,FALSE)</f>
        <v>118.762</v>
      </c>
      <c r="V3" s="5" t="str">
        <f>IF(ISNA(MATCH(S3,$A$3:$A$1000,0)),"未买","Yes")</f>
        <v>未买</v>
      </c>
    </row>
    <row r="4" spans="1:22" s="3" customFormat="1" x14ac:dyDescent="0.15">
      <c r="A4" s="3">
        <v>110080</v>
      </c>
      <c r="B4" s="3" t="s">
        <v>232</v>
      </c>
      <c r="C4" s="3">
        <f t="shared" ref="C4:C8" si="1">VLOOKUP(A4,$I$1:$K$1000,3,FALSE)</f>
        <v>116.5</v>
      </c>
      <c r="D4" s="5">
        <f t="shared" ref="D4:D8" si="2">MATCH(A4,$I$1:$I$1000,0)-2</f>
        <v>22</v>
      </c>
      <c r="E4" s="5" t="e">
        <f t="shared" si="0"/>
        <v>#N/A</v>
      </c>
      <c r="H4" s="19">
        <v>2</v>
      </c>
      <c r="I4">
        <v>128013</v>
      </c>
      <c r="J4" t="s">
        <v>52</v>
      </c>
      <c r="K4">
        <v>110.10599999999999</v>
      </c>
      <c r="L4">
        <v>4.24</v>
      </c>
      <c r="M4">
        <v>114.34599999999999</v>
      </c>
      <c r="N4" s="21">
        <v>7.7974889999999997</v>
      </c>
      <c r="O4" s="5" t="str">
        <f t="shared" ref="O4:O67" si="3">IF(ISNA(MATCH(I4,$A$3:$A$1000,0)),"未买","Yes")</f>
        <v>Yes</v>
      </c>
      <c r="R4" s="19">
        <v>2</v>
      </c>
      <c r="S4" s="7">
        <v>128100</v>
      </c>
      <c r="T4" s="7" t="s">
        <v>48</v>
      </c>
      <c r="U4" s="7">
        <f t="shared" ref="U4:U28" si="4">VLOOKUP(S4,$I$1:$K$1000,3,FALSE)</f>
        <v>97.472999999999999</v>
      </c>
      <c r="V4" s="5" t="str">
        <f t="shared" ref="V4:V28" si="5">IF(ISNA(MATCH(S4,$A$3:$A$1000,0)),"未买","Yes")</f>
        <v>Yes</v>
      </c>
    </row>
    <row r="5" spans="1:22" x14ac:dyDescent="0.15">
      <c r="A5" s="7">
        <v>113017</v>
      </c>
      <c r="B5" s="7" t="s">
        <v>110</v>
      </c>
      <c r="C5" s="3">
        <f t="shared" si="1"/>
        <v>114.57</v>
      </c>
      <c r="D5" s="5">
        <f t="shared" si="2"/>
        <v>23</v>
      </c>
      <c r="E5" s="5" t="e">
        <f t="shared" si="0"/>
        <v>#N/A</v>
      </c>
      <c r="H5" s="19">
        <v>3</v>
      </c>
      <c r="I5">
        <v>128100</v>
      </c>
      <c r="J5" t="s">
        <v>48</v>
      </c>
      <c r="K5">
        <v>97.472999999999999</v>
      </c>
      <c r="L5">
        <v>27.35</v>
      </c>
      <c r="M5">
        <v>124.82300000000001</v>
      </c>
      <c r="N5" s="21">
        <v>7.9819829999999996</v>
      </c>
      <c r="O5" s="5" t="str">
        <f t="shared" si="3"/>
        <v>Yes</v>
      </c>
      <c r="R5" s="19">
        <v>3</v>
      </c>
      <c r="S5" s="7">
        <v>113567</v>
      </c>
      <c r="T5" s="7" t="s">
        <v>43</v>
      </c>
      <c r="U5" s="7">
        <f t="shared" si="4"/>
        <v>137.91999999999999</v>
      </c>
      <c r="V5" s="5" t="str">
        <f t="shared" si="5"/>
        <v>未买</v>
      </c>
    </row>
    <row r="6" spans="1:22" x14ac:dyDescent="0.15">
      <c r="A6" s="7">
        <v>113033</v>
      </c>
      <c r="B6" s="7" t="s">
        <v>90</v>
      </c>
      <c r="C6" s="3">
        <f t="shared" si="1"/>
        <v>108.9</v>
      </c>
      <c r="D6" s="5">
        <f t="shared" si="2"/>
        <v>9</v>
      </c>
      <c r="E6" s="5" t="e">
        <f t="shared" si="0"/>
        <v>#N/A</v>
      </c>
      <c r="H6" s="19">
        <v>4</v>
      </c>
      <c r="I6">
        <v>113011</v>
      </c>
      <c r="J6" t="s">
        <v>1868</v>
      </c>
      <c r="K6">
        <v>107</v>
      </c>
      <c r="L6">
        <v>19.45</v>
      </c>
      <c r="M6">
        <v>126.45</v>
      </c>
      <c r="N6" s="21">
        <v>241.98864</v>
      </c>
      <c r="O6" s="5" t="str">
        <f t="shared" si="3"/>
        <v>未买</v>
      </c>
      <c r="R6" s="19">
        <v>4</v>
      </c>
      <c r="S6" s="7">
        <v>128076</v>
      </c>
      <c r="T6" s="7" t="s">
        <v>130</v>
      </c>
      <c r="U6" s="7">
        <f t="shared" si="4"/>
        <v>125.8</v>
      </c>
      <c r="V6" s="5" t="str">
        <f t="shared" si="5"/>
        <v>未买</v>
      </c>
    </row>
    <row r="7" spans="1:22" x14ac:dyDescent="0.15">
      <c r="A7" s="7">
        <v>113591</v>
      </c>
      <c r="B7" s="7" t="s">
        <v>41</v>
      </c>
      <c r="C7" s="3">
        <f t="shared" si="1"/>
        <v>120.61</v>
      </c>
      <c r="D7" s="5">
        <f t="shared" si="2"/>
        <v>12</v>
      </c>
      <c r="E7" s="5">
        <f t="shared" si="0"/>
        <v>22</v>
      </c>
      <c r="H7" s="19">
        <v>5</v>
      </c>
      <c r="I7">
        <v>113044</v>
      </c>
      <c r="J7" t="s">
        <v>1856</v>
      </c>
      <c r="K7">
        <v>109.38</v>
      </c>
      <c r="L7">
        <v>18.100000000000001</v>
      </c>
      <c r="M7">
        <v>127.47999999999999</v>
      </c>
      <c r="N7" s="21">
        <v>319.98989999999998</v>
      </c>
      <c r="O7" s="5" t="str">
        <f t="shared" si="3"/>
        <v>未买</v>
      </c>
      <c r="R7" s="19">
        <v>5</v>
      </c>
      <c r="S7" s="7">
        <v>113570</v>
      </c>
      <c r="T7" s="7" t="s">
        <v>42</v>
      </c>
      <c r="U7" s="7">
        <f t="shared" si="4"/>
        <v>126.91</v>
      </c>
      <c r="V7" s="5" t="str">
        <f t="shared" si="5"/>
        <v>未买</v>
      </c>
    </row>
    <row r="8" spans="1:22" x14ac:dyDescent="0.15">
      <c r="A8" s="7">
        <v>123002</v>
      </c>
      <c r="B8" s="7" t="s">
        <v>81</v>
      </c>
      <c r="C8" s="3">
        <f t="shared" si="1"/>
        <v>116.996</v>
      </c>
      <c r="D8" s="5">
        <f t="shared" si="2"/>
        <v>181</v>
      </c>
      <c r="E8" s="5">
        <f t="shared" si="0"/>
        <v>14</v>
      </c>
      <c r="H8" s="19">
        <v>6</v>
      </c>
      <c r="I8">
        <v>113541</v>
      </c>
      <c r="J8" t="s">
        <v>1823</v>
      </c>
      <c r="K8">
        <v>128.36000000000001</v>
      </c>
      <c r="L8">
        <v>-0.26</v>
      </c>
      <c r="M8">
        <v>128.10000000000002</v>
      </c>
      <c r="N8" s="21">
        <v>1.2318</v>
      </c>
      <c r="O8" s="5" t="str">
        <f t="shared" si="3"/>
        <v>未买</v>
      </c>
      <c r="R8" s="19">
        <v>6</v>
      </c>
      <c r="S8" s="7">
        <v>123057</v>
      </c>
      <c r="T8" s="7" t="s">
        <v>795</v>
      </c>
      <c r="U8" s="7">
        <f t="shared" si="4"/>
        <v>164.5</v>
      </c>
      <c r="V8" s="5" t="str">
        <f t="shared" si="5"/>
        <v>未买</v>
      </c>
    </row>
    <row r="9" spans="1:22" s="3" customFormat="1" x14ac:dyDescent="0.15">
      <c r="A9" s="7">
        <v>127027</v>
      </c>
      <c r="B9" s="7" t="s">
        <v>240</v>
      </c>
      <c r="C9" s="3">
        <f t="shared" ref="C9:C16" si="6">VLOOKUP(A9,$I$1:$K$1000,3,FALSE)</f>
        <v>150.25700000000001</v>
      </c>
      <c r="D9" s="5">
        <f t="shared" ref="D9:D16" si="7">MATCH(A9,$I$1:$I$1000,0)-2</f>
        <v>97</v>
      </c>
      <c r="E9" s="5" t="e">
        <f t="shared" si="0"/>
        <v>#N/A</v>
      </c>
      <c r="H9" s="19">
        <v>7</v>
      </c>
      <c r="I9">
        <v>113599</v>
      </c>
      <c r="J9" t="s">
        <v>63</v>
      </c>
      <c r="K9">
        <v>129.13</v>
      </c>
      <c r="L9">
        <v>0.73</v>
      </c>
      <c r="M9">
        <v>129.85999999999999</v>
      </c>
      <c r="N9" s="21">
        <v>7.0939699999999997</v>
      </c>
      <c r="O9" s="5" t="str">
        <f t="shared" si="3"/>
        <v>未买</v>
      </c>
      <c r="R9" s="19">
        <v>7</v>
      </c>
      <c r="S9" s="7">
        <v>128053</v>
      </c>
      <c r="T9" s="7" t="s">
        <v>61</v>
      </c>
      <c r="U9" s="7">
        <f t="shared" si="4"/>
        <v>141.45599999999999</v>
      </c>
      <c r="V9" s="5" t="str">
        <f t="shared" si="5"/>
        <v>未买</v>
      </c>
    </row>
    <row r="10" spans="1:22" x14ac:dyDescent="0.15">
      <c r="A10" s="7">
        <v>127042</v>
      </c>
      <c r="B10" s="7" t="s">
        <v>93</v>
      </c>
      <c r="C10" s="3">
        <f t="shared" si="6"/>
        <v>113.502</v>
      </c>
      <c r="D10" s="5">
        <f t="shared" si="7"/>
        <v>55</v>
      </c>
      <c r="E10" s="5" t="e">
        <f t="shared" si="0"/>
        <v>#N/A</v>
      </c>
      <c r="H10" s="19">
        <v>8</v>
      </c>
      <c r="I10">
        <v>110084</v>
      </c>
      <c r="J10" t="s">
        <v>276</v>
      </c>
      <c r="K10">
        <v>125.41</v>
      </c>
      <c r="L10">
        <v>4.7</v>
      </c>
      <c r="M10">
        <v>130.10999999999999</v>
      </c>
      <c r="N10" s="21">
        <v>10</v>
      </c>
      <c r="O10" s="5" t="str">
        <f t="shared" si="3"/>
        <v>未买</v>
      </c>
      <c r="R10" s="19">
        <v>8</v>
      </c>
      <c r="S10" s="7">
        <v>113565</v>
      </c>
      <c r="T10" s="7" t="s">
        <v>123</v>
      </c>
      <c r="U10" s="7">
        <f t="shared" si="4"/>
        <v>124.3</v>
      </c>
      <c r="V10" s="5" t="str">
        <f t="shared" si="5"/>
        <v>未买</v>
      </c>
    </row>
    <row r="11" spans="1:22" x14ac:dyDescent="0.15">
      <c r="A11" s="7">
        <v>128013</v>
      </c>
      <c r="B11" s="7" t="s">
        <v>52</v>
      </c>
      <c r="C11" s="3">
        <f t="shared" si="6"/>
        <v>110.10599999999999</v>
      </c>
      <c r="D11" s="5">
        <f t="shared" si="7"/>
        <v>2</v>
      </c>
      <c r="E11" s="5">
        <f t="shared" si="0"/>
        <v>16</v>
      </c>
      <c r="H11" s="19">
        <v>9</v>
      </c>
      <c r="I11">
        <v>113033</v>
      </c>
      <c r="J11" t="s">
        <v>90</v>
      </c>
      <c r="K11">
        <v>108.9</v>
      </c>
      <c r="L11">
        <v>21.76</v>
      </c>
      <c r="M11">
        <v>130.66</v>
      </c>
      <c r="N11" s="21">
        <v>17.99794</v>
      </c>
      <c r="O11" s="5" t="str">
        <f t="shared" si="3"/>
        <v>Yes</v>
      </c>
      <c r="R11" s="19">
        <v>9</v>
      </c>
      <c r="S11" s="7">
        <v>113561</v>
      </c>
      <c r="T11" s="7" t="s">
        <v>86</v>
      </c>
      <c r="U11" s="7">
        <f t="shared" si="4"/>
        <v>131.15</v>
      </c>
      <c r="V11" s="5" t="str">
        <f t="shared" si="5"/>
        <v>未买</v>
      </c>
    </row>
    <row r="12" spans="1:22" x14ac:dyDescent="0.15">
      <c r="A12" s="7">
        <v>128081</v>
      </c>
      <c r="B12" s="7" t="s">
        <v>92</v>
      </c>
      <c r="C12" s="3">
        <f t="shared" si="6"/>
        <v>128.001</v>
      </c>
      <c r="D12" s="5">
        <f t="shared" si="7"/>
        <v>18</v>
      </c>
      <c r="E12" s="5" t="e">
        <f t="shared" si="0"/>
        <v>#N/A</v>
      </c>
      <c r="H12" s="19">
        <v>10</v>
      </c>
      <c r="I12">
        <v>110053</v>
      </c>
      <c r="J12" t="s">
        <v>1837</v>
      </c>
      <c r="K12">
        <v>123.03</v>
      </c>
      <c r="L12">
        <v>9.6199999999999992</v>
      </c>
      <c r="M12">
        <v>132.65</v>
      </c>
      <c r="N12" s="21">
        <v>199.99203</v>
      </c>
      <c r="O12" s="5" t="str">
        <f t="shared" si="3"/>
        <v>未买</v>
      </c>
      <c r="R12" s="19">
        <v>10</v>
      </c>
      <c r="S12" s="7">
        <v>113526</v>
      </c>
      <c r="T12" s="7" t="s">
        <v>144</v>
      </c>
      <c r="U12" s="7">
        <f t="shared" si="4"/>
        <v>149.54</v>
      </c>
      <c r="V12" s="5" t="str">
        <f t="shared" si="5"/>
        <v>未买</v>
      </c>
    </row>
    <row r="13" spans="1:22" x14ac:dyDescent="0.15">
      <c r="A13" s="7">
        <v>128087</v>
      </c>
      <c r="B13" s="7" t="s">
        <v>121</v>
      </c>
      <c r="C13" s="3">
        <f t="shared" si="6"/>
        <v>119.203</v>
      </c>
      <c r="D13" s="5">
        <f t="shared" si="7"/>
        <v>19</v>
      </c>
      <c r="E13" s="5">
        <f t="shared" si="0"/>
        <v>25</v>
      </c>
      <c r="H13" s="19">
        <v>11</v>
      </c>
      <c r="I13">
        <v>127040</v>
      </c>
      <c r="J13" t="s">
        <v>1825</v>
      </c>
      <c r="K13">
        <v>134.28100000000001</v>
      </c>
      <c r="L13">
        <v>-1.1200000000000001</v>
      </c>
      <c r="M13">
        <v>133.161</v>
      </c>
      <c r="N13" s="21">
        <v>41.219786999999997</v>
      </c>
      <c r="O13" s="5" t="str">
        <f t="shared" si="3"/>
        <v>未买</v>
      </c>
      <c r="R13" s="19">
        <v>11</v>
      </c>
      <c r="S13" s="7">
        <v>113030</v>
      </c>
      <c r="T13" s="7" t="s">
        <v>96</v>
      </c>
      <c r="U13" s="7">
        <f t="shared" si="4"/>
        <v>125.79</v>
      </c>
      <c r="V13" s="5" t="str">
        <f t="shared" si="5"/>
        <v>未买</v>
      </c>
    </row>
    <row r="14" spans="1:22" x14ac:dyDescent="0.15">
      <c r="A14" s="7">
        <v>128100</v>
      </c>
      <c r="B14" s="7" t="s">
        <v>48</v>
      </c>
      <c r="C14" s="3">
        <f t="shared" si="6"/>
        <v>97.472999999999999</v>
      </c>
      <c r="D14" s="5">
        <f t="shared" si="7"/>
        <v>3</v>
      </c>
      <c r="E14" s="5">
        <f t="shared" si="0"/>
        <v>2</v>
      </c>
      <c r="H14" s="19">
        <v>12</v>
      </c>
      <c r="I14">
        <v>113591</v>
      </c>
      <c r="J14" t="s">
        <v>41</v>
      </c>
      <c r="K14">
        <v>120.61</v>
      </c>
      <c r="L14">
        <v>14.2</v>
      </c>
      <c r="M14">
        <v>134.81</v>
      </c>
      <c r="N14" s="21">
        <v>4.7749899999999998</v>
      </c>
      <c r="O14" s="5" t="str">
        <f t="shared" si="3"/>
        <v>Yes</v>
      </c>
      <c r="R14" s="19">
        <v>12</v>
      </c>
      <c r="S14" s="7">
        <v>113628</v>
      </c>
      <c r="T14" s="7" t="s">
        <v>229</v>
      </c>
      <c r="U14" s="7">
        <f t="shared" si="4"/>
        <v>109.2</v>
      </c>
      <c r="V14" s="5" t="str">
        <f t="shared" si="5"/>
        <v>未买</v>
      </c>
    </row>
    <row r="15" spans="1:22" x14ac:dyDescent="0.15">
      <c r="A15" s="7">
        <v>128127</v>
      </c>
      <c r="B15" s="7" t="s">
        <v>218</v>
      </c>
      <c r="C15" s="3">
        <f t="shared" si="6"/>
        <v>110.752</v>
      </c>
      <c r="D15" s="5">
        <f t="shared" si="7"/>
        <v>64</v>
      </c>
      <c r="E15" s="5">
        <f t="shared" si="0"/>
        <v>15</v>
      </c>
      <c r="H15" s="19">
        <v>13</v>
      </c>
      <c r="I15">
        <v>128130</v>
      </c>
      <c r="J15" t="s">
        <v>106</v>
      </c>
      <c r="K15">
        <v>123.831</v>
      </c>
      <c r="L15">
        <v>11.68</v>
      </c>
      <c r="M15">
        <v>135.511</v>
      </c>
      <c r="N15" s="21">
        <v>9.9868059999999996</v>
      </c>
      <c r="O15" s="5" t="str">
        <f t="shared" si="3"/>
        <v>Yes</v>
      </c>
      <c r="R15" s="19">
        <v>13</v>
      </c>
      <c r="S15" s="7">
        <v>113039</v>
      </c>
      <c r="T15" s="7" t="s">
        <v>45</v>
      </c>
      <c r="U15" s="7">
        <f t="shared" si="4"/>
        <v>139.36000000000001</v>
      </c>
      <c r="V15" s="5" t="str">
        <f t="shared" si="5"/>
        <v>未买</v>
      </c>
    </row>
    <row r="16" spans="1:22" x14ac:dyDescent="0.15">
      <c r="A16" s="7">
        <v>128130</v>
      </c>
      <c r="B16" s="7" t="s">
        <v>106</v>
      </c>
      <c r="C16" s="3">
        <f t="shared" si="6"/>
        <v>123.831</v>
      </c>
      <c r="D16" s="5">
        <f t="shared" si="7"/>
        <v>13</v>
      </c>
      <c r="E16" s="5" t="e">
        <f t="shared" si="0"/>
        <v>#N/A</v>
      </c>
      <c r="H16" s="19">
        <v>14</v>
      </c>
      <c r="I16">
        <v>128107</v>
      </c>
      <c r="J16" t="s">
        <v>1991</v>
      </c>
      <c r="K16">
        <v>135.911</v>
      </c>
      <c r="L16">
        <v>-0.23</v>
      </c>
      <c r="M16">
        <v>135.68100000000001</v>
      </c>
      <c r="N16" s="21">
        <v>2.6659480000000002</v>
      </c>
      <c r="O16" s="5" t="str">
        <f t="shared" si="3"/>
        <v>未买</v>
      </c>
      <c r="R16" s="19">
        <v>14</v>
      </c>
      <c r="S16" s="7">
        <v>123002</v>
      </c>
      <c r="T16" s="7" t="s">
        <v>81</v>
      </c>
      <c r="U16" s="7">
        <f t="shared" si="4"/>
        <v>116.996</v>
      </c>
      <c r="V16" s="5" t="str">
        <f t="shared" si="5"/>
        <v>Yes</v>
      </c>
    </row>
    <row r="17" spans="3:22" x14ac:dyDescent="0.15">
      <c r="H17" s="19">
        <v>15</v>
      </c>
      <c r="I17">
        <v>110071</v>
      </c>
      <c r="J17" t="s">
        <v>97</v>
      </c>
      <c r="K17">
        <v>135.72999999999999</v>
      </c>
      <c r="L17">
        <v>0.04</v>
      </c>
      <c r="M17">
        <v>135.76999999999998</v>
      </c>
      <c r="N17" s="21">
        <v>3.6839300000000001</v>
      </c>
      <c r="O17" s="5" t="str">
        <f t="shared" si="3"/>
        <v>未买</v>
      </c>
      <c r="R17" s="19">
        <v>15</v>
      </c>
      <c r="S17" s="7">
        <v>128127</v>
      </c>
      <c r="T17" s="7" t="s">
        <v>218</v>
      </c>
      <c r="U17" s="7">
        <f t="shared" si="4"/>
        <v>110.752</v>
      </c>
      <c r="V17" s="5" t="str">
        <f t="shared" si="5"/>
        <v>Yes</v>
      </c>
    </row>
    <row r="18" spans="3:22" x14ac:dyDescent="0.15">
      <c r="C18" s="3"/>
      <c r="E18" s="5"/>
      <c r="H18" s="19">
        <v>16</v>
      </c>
      <c r="I18">
        <v>128129</v>
      </c>
      <c r="J18" t="s">
        <v>1912</v>
      </c>
      <c r="K18">
        <v>104.48</v>
      </c>
      <c r="L18">
        <v>31.59</v>
      </c>
      <c r="M18">
        <v>136.07</v>
      </c>
      <c r="N18" s="21">
        <v>49.997466000000003</v>
      </c>
      <c r="O18" s="5" t="str">
        <f t="shared" si="3"/>
        <v>未买</v>
      </c>
      <c r="R18" s="19">
        <v>16</v>
      </c>
      <c r="S18" s="7">
        <v>128013</v>
      </c>
      <c r="T18" s="7" t="s">
        <v>52</v>
      </c>
      <c r="U18" s="7">
        <f t="shared" si="4"/>
        <v>110.10599999999999</v>
      </c>
      <c r="V18" s="5" t="str">
        <f t="shared" si="5"/>
        <v>Yes</v>
      </c>
    </row>
    <row r="19" spans="3:22" x14ac:dyDescent="0.15">
      <c r="C19" s="3"/>
      <c r="E19" s="5"/>
      <c r="H19" s="19">
        <v>17</v>
      </c>
      <c r="I19">
        <v>113050</v>
      </c>
      <c r="J19" t="s">
        <v>1840</v>
      </c>
      <c r="K19">
        <v>124.58</v>
      </c>
      <c r="L19">
        <v>11.72</v>
      </c>
      <c r="M19">
        <v>136.30000000000001</v>
      </c>
      <c r="N19" s="21">
        <v>169.83022</v>
      </c>
      <c r="O19" s="5" t="str">
        <f t="shared" si="3"/>
        <v>未买</v>
      </c>
      <c r="R19" s="19">
        <v>17</v>
      </c>
      <c r="S19" s="7">
        <v>128090</v>
      </c>
      <c r="T19" s="7" t="s">
        <v>122</v>
      </c>
      <c r="U19" s="7">
        <f t="shared" si="4"/>
        <v>137.36000000000001</v>
      </c>
      <c r="V19" s="5" t="str">
        <f t="shared" si="5"/>
        <v>未买</v>
      </c>
    </row>
    <row r="20" spans="3:22" x14ac:dyDescent="0.15">
      <c r="C20" s="3"/>
      <c r="E20" s="5"/>
      <c r="H20" s="19">
        <v>18</v>
      </c>
      <c r="I20">
        <v>128081</v>
      </c>
      <c r="J20" t="s">
        <v>92</v>
      </c>
      <c r="K20">
        <v>128.001</v>
      </c>
      <c r="L20">
        <v>8.33</v>
      </c>
      <c r="M20">
        <v>136.33100000000002</v>
      </c>
      <c r="N20" s="21">
        <v>30.054901000000001</v>
      </c>
      <c r="O20" s="5" t="str">
        <f t="shared" si="3"/>
        <v>Yes</v>
      </c>
      <c r="R20" s="19">
        <v>18</v>
      </c>
      <c r="S20" s="7">
        <v>123052</v>
      </c>
      <c r="T20" s="7" t="s">
        <v>794</v>
      </c>
      <c r="U20" s="7">
        <f t="shared" si="4"/>
        <v>149.298</v>
      </c>
      <c r="V20" s="5" t="str">
        <f t="shared" si="5"/>
        <v>未买</v>
      </c>
    </row>
    <row r="21" spans="3:22" x14ac:dyDescent="0.15">
      <c r="C21" s="3"/>
      <c r="E21" s="5"/>
      <c r="H21" s="19">
        <v>19</v>
      </c>
      <c r="I21">
        <v>128087</v>
      </c>
      <c r="J21" t="s">
        <v>121</v>
      </c>
      <c r="K21">
        <v>119.203</v>
      </c>
      <c r="L21">
        <v>17.23</v>
      </c>
      <c r="M21">
        <v>136.43299999999999</v>
      </c>
      <c r="N21" s="21">
        <v>6.4940579999999999</v>
      </c>
      <c r="O21" s="5" t="str">
        <f t="shared" si="3"/>
        <v>Yes</v>
      </c>
      <c r="R21" s="19">
        <v>19</v>
      </c>
      <c r="S21" s="7">
        <v>123080</v>
      </c>
      <c r="T21" s="7" t="s">
        <v>54</v>
      </c>
      <c r="U21" s="7">
        <f t="shared" si="4"/>
        <v>127.99</v>
      </c>
      <c r="V21" s="5" t="str">
        <f t="shared" si="5"/>
        <v>未买</v>
      </c>
    </row>
    <row r="22" spans="3:22" x14ac:dyDescent="0.15">
      <c r="C22" s="3"/>
      <c r="E22" s="5"/>
      <c r="H22" s="19">
        <v>20</v>
      </c>
      <c r="I22">
        <v>110043</v>
      </c>
      <c r="J22" t="s">
        <v>1814</v>
      </c>
      <c r="K22">
        <v>118.51</v>
      </c>
      <c r="L22">
        <v>18.3</v>
      </c>
      <c r="M22">
        <v>136.81</v>
      </c>
      <c r="N22" s="21">
        <v>29.2134</v>
      </c>
      <c r="O22" s="5" t="str">
        <f t="shared" si="3"/>
        <v>未买</v>
      </c>
      <c r="R22" s="19">
        <v>20</v>
      </c>
      <c r="S22" s="7">
        <v>113598</v>
      </c>
      <c r="T22" s="7" t="s">
        <v>101</v>
      </c>
      <c r="U22" s="7">
        <f t="shared" si="4"/>
        <v>126.09</v>
      </c>
      <c r="V22" s="5" t="str">
        <f t="shared" si="5"/>
        <v>未买</v>
      </c>
    </row>
    <row r="23" spans="3:22" x14ac:dyDescent="0.15">
      <c r="C23" s="3"/>
      <c r="E23" s="5"/>
      <c r="H23" s="19">
        <v>21</v>
      </c>
      <c r="I23">
        <v>128034</v>
      </c>
      <c r="J23" t="s">
        <v>1863</v>
      </c>
      <c r="K23">
        <v>121.5</v>
      </c>
      <c r="L23">
        <v>15.37</v>
      </c>
      <c r="M23">
        <v>136.87</v>
      </c>
      <c r="N23" s="21">
        <v>17.579893999999999</v>
      </c>
      <c r="O23" s="5" t="str">
        <f t="shared" si="3"/>
        <v>未买</v>
      </c>
      <c r="R23" s="19">
        <v>21</v>
      </c>
      <c r="S23" s="7">
        <v>128071</v>
      </c>
      <c r="T23" s="7" t="s">
        <v>88</v>
      </c>
      <c r="U23" s="7">
        <f t="shared" si="4"/>
        <v>115.083</v>
      </c>
      <c r="V23" s="5" t="str">
        <f t="shared" si="5"/>
        <v>未买</v>
      </c>
    </row>
    <row r="24" spans="3:22" x14ac:dyDescent="0.15">
      <c r="C24" s="3"/>
      <c r="E24" s="5"/>
      <c r="H24" s="19">
        <v>22</v>
      </c>
      <c r="I24">
        <v>110080</v>
      </c>
      <c r="J24" t="s">
        <v>232</v>
      </c>
      <c r="K24">
        <v>116.5</v>
      </c>
      <c r="L24">
        <v>20.49</v>
      </c>
      <c r="M24">
        <v>136.99</v>
      </c>
      <c r="N24" s="21">
        <v>15.49118</v>
      </c>
      <c r="O24" s="5" t="str">
        <f t="shared" si="3"/>
        <v>Yes</v>
      </c>
      <c r="R24" s="19">
        <v>22</v>
      </c>
      <c r="S24" s="7">
        <v>113591</v>
      </c>
      <c r="T24" s="7" t="s">
        <v>41</v>
      </c>
      <c r="U24" s="7">
        <f t="shared" si="4"/>
        <v>120.61</v>
      </c>
      <c r="V24" s="5" t="str">
        <f t="shared" si="5"/>
        <v>Yes</v>
      </c>
    </row>
    <row r="25" spans="3:22" x14ac:dyDescent="0.15">
      <c r="C25" s="3"/>
      <c r="E25" s="5"/>
      <c r="H25" s="19">
        <v>23</v>
      </c>
      <c r="I25">
        <v>113017</v>
      </c>
      <c r="J25" t="s">
        <v>110</v>
      </c>
      <c r="K25">
        <v>114.57</v>
      </c>
      <c r="L25">
        <v>23.42</v>
      </c>
      <c r="M25">
        <v>137.99</v>
      </c>
      <c r="N25" s="21">
        <v>11.34999</v>
      </c>
      <c r="O25" s="5" t="str">
        <f t="shared" si="3"/>
        <v>Yes</v>
      </c>
      <c r="R25" s="19">
        <v>23</v>
      </c>
      <c r="S25" s="7">
        <v>128039</v>
      </c>
      <c r="T25" s="7" t="s">
        <v>120</v>
      </c>
      <c r="U25" s="7">
        <f t="shared" si="4"/>
        <v>122.489</v>
      </c>
      <c r="V25" s="5" t="str">
        <f t="shared" si="5"/>
        <v>未买</v>
      </c>
    </row>
    <row r="26" spans="3:22" x14ac:dyDescent="0.15">
      <c r="E26" s="5"/>
      <c r="H26" s="19">
        <v>24</v>
      </c>
      <c r="I26">
        <v>128083</v>
      </c>
      <c r="J26" t="s">
        <v>190</v>
      </c>
      <c r="K26">
        <v>121.64400000000001</v>
      </c>
      <c r="L26">
        <v>16.39</v>
      </c>
      <c r="M26">
        <v>138.03399999999999</v>
      </c>
      <c r="N26" s="21">
        <v>8.7687390000000001</v>
      </c>
      <c r="O26" s="5" t="str">
        <f t="shared" si="3"/>
        <v>未买</v>
      </c>
      <c r="R26" s="19">
        <v>24</v>
      </c>
      <c r="S26" s="7">
        <v>110070</v>
      </c>
      <c r="T26" s="7" t="s">
        <v>89</v>
      </c>
      <c r="U26" s="7">
        <f t="shared" si="4"/>
        <v>126.29</v>
      </c>
      <c r="V26" s="5" t="str">
        <f t="shared" si="5"/>
        <v>Yes</v>
      </c>
    </row>
    <row r="27" spans="3:22" x14ac:dyDescent="0.15">
      <c r="E27" s="5"/>
      <c r="H27" s="19">
        <v>25</v>
      </c>
      <c r="I27">
        <v>123146</v>
      </c>
      <c r="J27" t="s">
        <v>1874</v>
      </c>
      <c r="K27">
        <v>116.724</v>
      </c>
      <c r="L27">
        <v>21.44</v>
      </c>
      <c r="M27">
        <v>138.16400000000002</v>
      </c>
      <c r="N27" s="21">
        <v>8.64</v>
      </c>
      <c r="O27" s="5" t="str">
        <f t="shared" si="3"/>
        <v>未买</v>
      </c>
      <c r="R27" s="19">
        <v>25</v>
      </c>
      <c r="S27" s="7">
        <v>128087</v>
      </c>
      <c r="T27" s="7" t="s">
        <v>121</v>
      </c>
      <c r="U27" s="7">
        <f t="shared" si="4"/>
        <v>119.203</v>
      </c>
      <c r="V27" s="5" t="str">
        <f t="shared" si="5"/>
        <v>Yes</v>
      </c>
    </row>
    <row r="28" spans="3:22" x14ac:dyDescent="0.15">
      <c r="E28" s="5"/>
      <c r="H28" s="19">
        <v>26</v>
      </c>
      <c r="I28">
        <v>128048</v>
      </c>
      <c r="J28" t="s">
        <v>1847</v>
      </c>
      <c r="K28">
        <v>126.529</v>
      </c>
      <c r="L28">
        <v>11.95</v>
      </c>
      <c r="M28">
        <v>138.47899999999998</v>
      </c>
      <c r="N28" s="21">
        <v>24.970395</v>
      </c>
      <c r="O28" s="5" t="str">
        <f t="shared" si="3"/>
        <v>未买</v>
      </c>
      <c r="R28" s="19">
        <v>26</v>
      </c>
      <c r="S28" s="7">
        <v>128120</v>
      </c>
      <c r="T28" s="7" t="s">
        <v>117</v>
      </c>
      <c r="U28" s="7">
        <f t="shared" si="4"/>
        <v>120.57299999999999</v>
      </c>
      <c r="V28" s="5" t="str">
        <f t="shared" si="5"/>
        <v>未买</v>
      </c>
    </row>
    <row r="29" spans="3:22" x14ac:dyDescent="0.15">
      <c r="E29" s="5"/>
      <c r="H29" s="19">
        <v>27</v>
      </c>
      <c r="I29">
        <v>123023</v>
      </c>
      <c r="J29" t="s">
        <v>209</v>
      </c>
      <c r="K29">
        <v>120.298</v>
      </c>
      <c r="L29">
        <v>18.489999999999998</v>
      </c>
      <c r="M29">
        <v>138.78800000000001</v>
      </c>
      <c r="N29" s="21">
        <v>5.2936360000000002</v>
      </c>
      <c r="O29" s="5" t="str">
        <f t="shared" si="3"/>
        <v>未买</v>
      </c>
      <c r="R29" s="19">
        <v>27</v>
      </c>
      <c r="V29" s="5"/>
    </row>
    <row r="30" spans="3:22" x14ac:dyDescent="0.15">
      <c r="E30" s="5"/>
      <c r="H30" s="19">
        <v>28</v>
      </c>
      <c r="I30">
        <v>113055</v>
      </c>
      <c r="J30" t="s">
        <v>1853</v>
      </c>
      <c r="K30">
        <v>128.19999999999999</v>
      </c>
      <c r="L30">
        <v>10.68</v>
      </c>
      <c r="M30">
        <v>138.88</v>
      </c>
      <c r="N30" s="21">
        <v>80</v>
      </c>
      <c r="O30" s="5" t="str">
        <f t="shared" si="3"/>
        <v>未买</v>
      </c>
      <c r="R30" s="19">
        <v>28</v>
      </c>
      <c r="V30" s="5"/>
    </row>
    <row r="31" spans="3:22" x14ac:dyDescent="0.15">
      <c r="E31" s="5"/>
      <c r="H31" s="19">
        <v>29</v>
      </c>
      <c r="I31">
        <v>127020</v>
      </c>
      <c r="J31" t="s">
        <v>1887</v>
      </c>
      <c r="K31">
        <v>119.61</v>
      </c>
      <c r="L31">
        <v>19.61</v>
      </c>
      <c r="M31">
        <v>139.22</v>
      </c>
      <c r="N31" s="21">
        <v>30.227986000000001</v>
      </c>
      <c r="O31" s="5" t="str">
        <f t="shared" si="3"/>
        <v>未买</v>
      </c>
      <c r="R31" s="19">
        <v>29</v>
      </c>
      <c r="V31" s="5"/>
    </row>
    <row r="32" spans="3:22" x14ac:dyDescent="0.15">
      <c r="E32" s="5"/>
      <c r="H32" s="19">
        <v>30</v>
      </c>
      <c r="I32">
        <v>127049</v>
      </c>
      <c r="J32" t="s">
        <v>1878</v>
      </c>
      <c r="K32">
        <v>124.4</v>
      </c>
      <c r="L32">
        <v>15.08</v>
      </c>
      <c r="M32">
        <v>139.48000000000002</v>
      </c>
      <c r="N32" s="21">
        <v>81.493674999999996</v>
      </c>
      <c r="O32" s="5" t="str">
        <f t="shared" si="3"/>
        <v>未买</v>
      </c>
      <c r="R32" s="19">
        <v>30</v>
      </c>
      <c r="V32" s="5"/>
    </row>
    <row r="33" spans="5:22" x14ac:dyDescent="0.15">
      <c r="E33" s="5"/>
      <c r="H33" s="19">
        <v>31</v>
      </c>
      <c r="I33">
        <v>110083</v>
      </c>
      <c r="J33" t="s">
        <v>1871</v>
      </c>
      <c r="K33">
        <v>119.9</v>
      </c>
      <c r="L33">
        <v>19.66</v>
      </c>
      <c r="M33">
        <v>139.56</v>
      </c>
      <c r="N33" s="21">
        <v>49.982379999999999</v>
      </c>
      <c r="O33" s="5" t="str">
        <f t="shared" si="3"/>
        <v>未买</v>
      </c>
      <c r="R33" s="19">
        <v>31</v>
      </c>
      <c r="V33" s="5"/>
    </row>
    <row r="34" spans="5:22" x14ac:dyDescent="0.15">
      <c r="E34" s="5"/>
      <c r="H34" s="19">
        <v>32</v>
      </c>
      <c r="I34">
        <v>127018</v>
      </c>
      <c r="J34" t="s">
        <v>1884</v>
      </c>
      <c r="K34">
        <v>117.82299999999999</v>
      </c>
      <c r="L34">
        <v>21.83</v>
      </c>
      <c r="M34">
        <v>139.65299999999999</v>
      </c>
      <c r="N34" s="21">
        <v>56.310654</v>
      </c>
      <c r="O34" s="5" t="str">
        <f t="shared" si="3"/>
        <v>未买</v>
      </c>
      <c r="R34" s="19">
        <v>32</v>
      </c>
      <c r="V34" s="5"/>
    </row>
    <row r="35" spans="5:22" x14ac:dyDescent="0.15">
      <c r="E35" s="5"/>
      <c r="H35" s="19">
        <v>33</v>
      </c>
      <c r="I35">
        <v>127058</v>
      </c>
      <c r="J35" t="s">
        <v>1859</v>
      </c>
      <c r="K35">
        <v>127.6</v>
      </c>
      <c r="L35">
        <v>12.56</v>
      </c>
      <c r="M35">
        <v>140.16</v>
      </c>
      <c r="N35" s="21">
        <v>30</v>
      </c>
      <c r="O35" s="5" t="str">
        <f t="shared" si="3"/>
        <v>未买</v>
      </c>
      <c r="R35" s="19">
        <v>33</v>
      </c>
      <c r="V35" s="5"/>
    </row>
    <row r="36" spans="5:22" x14ac:dyDescent="0.15">
      <c r="E36" s="5"/>
      <c r="H36" s="19">
        <v>34</v>
      </c>
      <c r="I36">
        <v>127012</v>
      </c>
      <c r="J36" t="s">
        <v>1891</v>
      </c>
      <c r="K36">
        <v>115.2</v>
      </c>
      <c r="L36">
        <v>25.22</v>
      </c>
      <c r="M36">
        <v>140.42000000000002</v>
      </c>
      <c r="N36" s="21">
        <v>49.998221000000001</v>
      </c>
      <c r="O36" s="5" t="str">
        <f t="shared" si="3"/>
        <v>未买</v>
      </c>
      <c r="R36" s="19">
        <v>34</v>
      </c>
      <c r="V36" s="5"/>
    </row>
    <row r="37" spans="5:22" x14ac:dyDescent="0.15">
      <c r="E37" s="5"/>
      <c r="H37" s="19">
        <v>35</v>
      </c>
      <c r="I37">
        <v>123129</v>
      </c>
      <c r="J37" t="s">
        <v>247</v>
      </c>
      <c r="K37">
        <v>114.9</v>
      </c>
      <c r="L37">
        <v>25.57</v>
      </c>
      <c r="M37">
        <v>140.47</v>
      </c>
      <c r="N37" s="21">
        <v>5.9999149999999997</v>
      </c>
      <c r="O37" s="5" t="str">
        <f t="shared" si="3"/>
        <v>未买</v>
      </c>
      <c r="R37" s="19">
        <v>35</v>
      </c>
      <c r="V37" s="5"/>
    </row>
    <row r="38" spans="5:22" x14ac:dyDescent="0.15">
      <c r="E38" s="5"/>
      <c r="H38" s="19">
        <v>36</v>
      </c>
      <c r="I38">
        <v>110079</v>
      </c>
      <c r="J38" t="s">
        <v>1854</v>
      </c>
      <c r="K38">
        <v>123.04</v>
      </c>
      <c r="L38">
        <v>17.52</v>
      </c>
      <c r="M38">
        <v>140.56</v>
      </c>
      <c r="N38" s="21">
        <v>149.99047999999999</v>
      </c>
      <c r="O38" s="5" t="str">
        <f t="shared" si="3"/>
        <v>未买</v>
      </c>
      <c r="R38" s="19">
        <v>36</v>
      </c>
      <c r="V38" s="5"/>
    </row>
    <row r="39" spans="5:22" x14ac:dyDescent="0.15">
      <c r="E39" s="5"/>
      <c r="H39" s="19">
        <v>37</v>
      </c>
      <c r="I39">
        <v>113631</v>
      </c>
      <c r="J39" t="s">
        <v>224</v>
      </c>
      <c r="K39">
        <v>115.63</v>
      </c>
      <c r="L39">
        <v>24.95</v>
      </c>
      <c r="M39">
        <v>140.57999999999998</v>
      </c>
      <c r="N39" s="21">
        <v>9.2997599999999991</v>
      </c>
      <c r="O39" s="5" t="str">
        <f t="shared" si="3"/>
        <v>未买</v>
      </c>
      <c r="R39" s="19">
        <v>37</v>
      </c>
      <c r="V39" s="5"/>
    </row>
    <row r="40" spans="5:22" x14ac:dyDescent="0.15">
      <c r="E40" s="5"/>
      <c r="H40" s="19">
        <v>38</v>
      </c>
      <c r="I40">
        <v>110077</v>
      </c>
      <c r="J40" t="s">
        <v>1835</v>
      </c>
      <c r="K40">
        <v>131</v>
      </c>
      <c r="L40">
        <v>9.8699999999999992</v>
      </c>
      <c r="M40">
        <v>140.87</v>
      </c>
      <c r="N40" s="21">
        <v>17.676639999999999</v>
      </c>
      <c r="O40" s="5" t="str">
        <f t="shared" si="3"/>
        <v>未买</v>
      </c>
      <c r="R40" s="19">
        <v>38</v>
      </c>
      <c r="V40" s="5"/>
    </row>
    <row r="41" spans="5:22" x14ac:dyDescent="0.15">
      <c r="E41" s="5"/>
      <c r="H41" s="19">
        <v>39</v>
      </c>
      <c r="I41">
        <v>128066</v>
      </c>
      <c r="J41" t="s">
        <v>99</v>
      </c>
      <c r="K41">
        <v>116.895</v>
      </c>
      <c r="L41">
        <v>24.13</v>
      </c>
      <c r="M41">
        <v>141.02500000000001</v>
      </c>
      <c r="N41" s="21">
        <v>4.6105919999999996</v>
      </c>
      <c r="O41" s="5" t="str">
        <f t="shared" si="3"/>
        <v>未买</v>
      </c>
      <c r="R41" s="19">
        <v>39</v>
      </c>
      <c r="V41" s="5"/>
    </row>
    <row r="42" spans="5:22" x14ac:dyDescent="0.15">
      <c r="E42" s="5"/>
      <c r="H42" s="19">
        <v>40</v>
      </c>
      <c r="I42">
        <v>110057</v>
      </c>
      <c r="J42" t="s">
        <v>1880</v>
      </c>
      <c r="K42">
        <v>115.75</v>
      </c>
      <c r="L42">
        <v>25.49</v>
      </c>
      <c r="M42">
        <v>141.24</v>
      </c>
      <c r="N42" s="21">
        <v>16.155080000000002</v>
      </c>
      <c r="O42" s="5" t="str">
        <f t="shared" si="3"/>
        <v>未买</v>
      </c>
      <c r="R42" s="19">
        <v>40</v>
      </c>
      <c r="V42" s="5"/>
    </row>
    <row r="43" spans="5:22" x14ac:dyDescent="0.15">
      <c r="E43" s="5"/>
      <c r="H43" s="19">
        <v>41</v>
      </c>
      <c r="I43">
        <v>123107</v>
      </c>
      <c r="J43" t="s">
        <v>1876</v>
      </c>
      <c r="K43">
        <v>129.399</v>
      </c>
      <c r="L43">
        <v>11.99</v>
      </c>
      <c r="M43">
        <v>141.38900000000001</v>
      </c>
      <c r="N43" s="21">
        <v>92.962683999999996</v>
      </c>
      <c r="O43" s="5" t="str">
        <f t="shared" si="3"/>
        <v>未买</v>
      </c>
      <c r="R43" s="19">
        <v>41</v>
      </c>
      <c r="V43" s="16"/>
    </row>
    <row r="44" spans="5:22" x14ac:dyDescent="0.15">
      <c r="E44" s="5"/>
      <c r="H44" s="19">
        <v>42</v>
      </c>
      <c r="I44">
        <v>113516</v>
      </c>
      <c r="J44" t="s">
        <v>1882</v>
      </c>
      <c r="K44">
        <v>119.16</v>
      </c>
      <c r="L44">
        <v>22.45</v>
      </c>
      <c r="M44">
        <v>141.60999999999999</v>
      </c>
      <c r="N44" s="21">
        <v>12.886039999999999</v>
      </c>
      <c r="O44" s="5" t="str">
        <f t="shared" si="3"/>
        <v>未买</v>
      </c>
      <c r="R44" s="19">
        <v>42</v>
      </c>
      <c r="V44" s="16"/>
    </row>
    <row r="45" spans="5:22" x14ac:dyDescent="0.15">
      <c r="E45" s="5"/>
      <c r="H45" s="19">
        <v>43</v>
      </c>
      <c r="I45">
        <v>110068</v>
      </c>
      <c r="J45" t="s">
        <v>1839</v>
      </c>
      <c r="K45">
        <v>133.08000000000001</v>
      </c>
      <c r="L45">
        <v>8.75</v>
      </c>
      <c r="M45">
        <v>141.83000000000001</v>
      </c>
      <c r="N45" s="21">
        <v>19.99512</v>
      </c>
      <c r="O45" s="5" t="str">
        <f t="shared" si="3"/>
        <v>未买</v>
      </c>
      <c r="R45" s="19">
        <v>43</v>
      </c>
    </row>
    <row r="46" spans="5:22" x14ac:dyDescent="0.15">
      <c r="E46" s="5"/>
      <c r="H46" s="19">
        <v>44</v>
      </c>
      <c r="I46">
        <v>128119</v>
      </c>
      <c r="J46" t="s">
        <v>246</v>
      </c>
      <c r="K46">
        <v>127.435</v>
      </c>
      <c r="L46">
        <v>14.93</v>
      </c>
      <c r="M46">
        <v>142.36500000000001</v>
      </c>
      <c r="N46" s="21">
        <v>9.4607820000000018</v>
      </c>
      <c r="O46" s="5" t="str">
        <f t="shared" si="3"/>
        <v>未买</v>
      </c>
      <c r="R46" s="19">
        <v>44</v>
      </c>
      <c r="V46" s="16"/>
    </row>
    <row r="47" spans="5:22" x14ac:dyDescent="0.15">
      <c r="E47" s="5"/>
      <c r="H47" s="19">
        <v>45</v>
      </c>
      <c r="I47">
        <v>110063</v>
      </c>
      <c r="J47" t="s">
        <v>1892</v>
      </c>
      <c r="K47">
        <v>114.06</v>
      </c>
      <c r="L47">
        <v>28.32</v>
      </c>
      <c r="M47">
        <v>142.38</v>
      </c>
      <c r="N47" s="21">
        <v>18.444659999999999</v>
      </c>
      <c r="O47" s="5" t="str">
        <f t="shared" si="3"/>
        <v>未买</v>
      </c>
      <c r="R47" s="19">
        <v>45</v>
      </c>
      <c r="V47" s="16"/>
    </row>
    <row r="48" spans="5:22" x14ac:dyDescent="0.15">
      <c r="E48" s="5"/>
      <c r="H48" s="19">
        <v>46</v>
      </c>
      <c r="I48">
        <v>128085</v>
      </c>
      <c r="J48" t="s">
        <v>1883</v>
      </c>
      <c r="K48">
        <v>118.762</v>
      </c>
      <c r="L48">
        <v>23.83</v>
      </c>
      <c r="M48">
        <v>142.59199999999998</v>
      </c>
      <c r="N48" s="21">
        <v>3.374628</v>
      </c>
      <c r="O48" s="5" t="str">
        <f t="shared" si="3"/>
        <v>未买</v>
      </c>
      <c r="R48" s="19">
        <v>46</v>
      </c>
      <c r="V48" s="16"/>
    </row>
    <row r="49" spans="5:18" x14ac:dyDescent="0.15">
      <c r="E49" s="5"/>
      <c r="H49" s="19">
        <v>47</v>
      </c>
      <c r="I49">
        <v>127045</v>
      </c>
      <c r="J49" t="s">
        <v>1872</v>
      </c>
      <c r="K49">
        <v>130.13999999999999</v>
      </c>
      <c r="L49">
        <v>12.61</v>
      </c>
      <c r="M49">
        <v>142.75</v>
      </c>
      <c r="N49" s="21">
        <v>95.473815999999999</v>
      </c>
      <c r="O49" s="5" t="str">
        <f t="shared" si="3"/>
        <v>未买</v>
      </c>
      <c r="R49" s="19">
        <v>47</v>
      </c>
    </row>
    <row r="50" spans="5:18" x14ac:dyDescent="0.15">
      <c r="E50" s="5"/>
      <c r="H50" s="19">
        <v>48</v>
      </c>
      <c r="I50">
        <v>128037</v>
      </c>
      <c r="J50" t="s">
        <v>73</v>
      </c>
      <c r="K50">
        <v>114.655</v>
      </c>
      <c r="L50">
        <v>28.78</v>
      </c>
      <c r="M50">
        <v>143.435</v>
      </c>
      <c r="N50" s="21">
        <v>6.0227560000000002</v>
      </c>
      <c r="O50" s="5" t="str">
        <f t="shared" si="3"/>
        <v>未买</v>
      </c>
      <c r="R50" s="19">
        <v>48</v>
      </c>
    </row>
    <row r="51" spans="5:18" x14ac:dyDescent="0.15">
      <c r="E51" s="5"/>
      <c r="H51" s="19">
        <v>49</v>
      </c>
      <c r="I51">
        <v>113570</v>
      </c>
      <c r="J51" t="s">
        <v>42</v>
      </c>
      <c r="K51">
        <v>126.91</v>
      </c>
      <c r="L51">
        <v>16.89</v>
      </c>
      <c r="M51">
        <v>143.80000000000001</v>
      </c>
      <c r="N51" s="21">
        <v>2.7993199999999998</v>
      </c>
      <c r="O51" s="5" t="str">
        <f t="shared" si="3"/>
        <v>未买</v>
      </c>
      <c r="R51" s="19">
        <v>49</v>
      </c>
    </row>
    <row r="52" spans="5:18" x14ac:dyDescent="0.15">
      <c r="E52" s="5"/>
      <c r="H52" s="19">
        <v>50</v>
      </c>
      <c r="I52">
        <v>110047</v>
      </c>
      <c r="J52" t="s">
        <v>1898</v>
      </c>
      <c r="K52">
        <v>113.98</v>
      </c>
      <c r="L52">
        <v>29.86</v>
      </c>
      <c r="M52">
        <v>143.84</v>
      </c>
      <c r="N52" s="21">
        <v>22.461320000000001</v>
      </c>
      <c r="O52" s="5" t="str">
        <f t="shared" si="3"/>
        <v>未买</v>
      </c>
      <c r="R52" s="19">
        <v>50</v>
      </c>
    </row>
    <row r="53" spans="5:18" x14ac:dyDescent="0.15">
      <c r="E53" s="5"/>
      <c r="H53" s="19">
        <v>51</v>
      </c>
      <c r="I53">
        <v>113057</v>
      </c>
      <c r="J53" t="s">
        <v>1894</v>
      </c>
      <c r="K53">
        <v>118.65</v>
      </c>
      <c r="L53">
        <v>25.52</v>
      </c>
      <c r="M53">
        <v>144.17000000000002</v>
      </c>
      <c r="N53" s="21">
        <v>78</v>
      </c>
      <c r="O53" s="5" t="str">
        <f t="shared" si="3"/>
        <v>未买</v>
      </c>
      <c r="R53" s="19">
        <v>51</v>
      </c>
    </row>
    <row r="54" spans="5:18" x14ac:dyDescent="0.15">
      <c r="E54" s="5"/>
      <c r="H54" s="19">
        <v>52</v>
      </c>
      <c r="I54">
        <v>113056</v>
      </c>
      <c r="J54" t="s">
        <v>1928</v>
      </c>
      <c r="K54">
        <v>101.19</v>
      </c>
      <c r="L54">
        <v>43.21</v>
      </c>
      <c r="M54">
        <v>144.4</v>
      </c>
      <c r="N54" s="21">
        <v>130</v>
      </c>
      <c r="O54" s="5" t="str">
        <f t="shared" si="3"/>
        <v>未买</v>
      </c>
      <c r="R54" s="19">
        <v>52</v>
      </c>
    </row>
    <row r="55" spans="5:18" x14ac:dyDescent="0.15">
      <c r="E55" s="5"/>
      <c r="H55" s="19">
        <v>53</v>
      </c>
      <c r="I55">
        <v>123063</v>
      </c>
      <c r="J55" t="s">
        <v>91</v>
      </c>
      <c r="K55">
        <v>133.15799999999999</v>
      </c>
      <c r="L55">
        <v>11.44</v>
      </c>
      <c r="M55">
        <v>144.59799999999998</v>
      </c>
      <c r="N55" s="21">
        <v>6.3456590000000004</v>
      </c>
      <c r="O55" s="5" t="str">
        <f t="shared" si="3"/>
        <v>未买</v>
      </c>
      <c r="R55" s="19">
        <v>53</v>
      </c>
    </row>
    <row r="56" spans="5:18" x14ac:dyDescent="0.15">
      <c r="E56" s="5"/>
      <c r="H56" s="19">
        <v>54</v>
      </c>
      <c r="I56">
        <v>127028</v>
      </c>
      <c r="J56" t="s">
        <v>62</v>
      </c>
      <c r="K56">
        <v>119.623</v>
      </c>
      <c r="L56">
        <v>25.04</v>
      </c>
      <c r="M56">
        <v>144.66300000000001</v>
      </c>
      <c r="N56" s="21">
        <v>5.9824770000000003</v>
      </c>
      <c r="O56" s="5" t="str">
        <f t="shared" si="3"/>
        <v>未买</v>
      </c>
      <c r="R56" s="19">
        <v>54</v>
      </c>
    </row>
    <row r="57" spans="5:18" x14ac:dyDescent="0.15">
      <c r="E57" s="5"/>
      <c r="H57" s="19">
        <v>55</v>
      </c>
      <c r="I57">
        <v>127042</v>
      </c>
      <c r="J57" t="s">
        <v>93</v>
      </c>
      <c r="K57">
        <v>113.502</v>
      </c>
      <c r="L57">
        <v>31.34</v>
      </c>
      <c r="M57">
        <v>144.84199999999998</v>
      </c>
      <c r="N57" s="21">
        <v>7.4982559999999996</v>
      </c>
      <c r="O57" s="5" t="str">
        <f t="shared" si="3"/>
        <v>Yes</v>
      </c>
      <c r="R57" s="19">
        <v>55</v>
      </c>
    </row>
    <row r="58" spans="5:18" x14ac:dyDescent="0.15">
      <c r="E58" s="5"/>
      <c r="H58" s="19">
        <v>56</v>
      </c>
      <c r="I58">
        <v>128141</v>
      </c>
      <c r="J58" t="s">
        <v>1826</v>
      </c>
      <c r="K58">
        <v>137.12200000000001</v>
      </c>
      <c r="L58">
        <v>7.87</v>
      </c>
      <c r="M58">
        <v>144.99200000000002</v>
      </c>
      <c r="N58" s="21">
        <v>12.701738000000001</v>
      </c>
      <c r="O58" s="5" t="str">
        <f t="shared" si="3"/>
        <v>未买</v>
      </c>
      <c r="R58" s="19">
        <v>56</v>
      </c>
    </row>
    <row r="59" spans="5:18" x14ac:dyDescent="0.15">
      <c r="E59" s="5"/>
      <c r="H59" s="19">
        <v>57</v>
      </c>
      <c r="I59">
        <v>127029</v>
      </c>
      <c r="J59" t="s">
        <v>1851</v>
      </c>
      <c r="K59">
        <v>128</v>
      </c>
      <c r="L59">
        <v>17.190000000000001</v>
      </c>
      <c r="M59">
        <v>145.19</v>
      </c>
      <c r="N59" s="21">
        <v>8.191396000000001</v>
      </c>
      <c r="O59" s="5" t="str">
        <f t="shared" si="3"/>
        <v>未买</v>
      </c>
      <c r="R59" s="19">
        <v>57</v>
      </c>
    </row>
    <row r="60" spans="5:18" x14ac:dyDescent="0.15">
      <c r="E60" s="5"/>
      <c r="H60" s="19">
        <v>58</v>
      </c>
      <c r="I60">
        <v>123105</v>
      </c>
      <c r="J60" t="s">
        <v>234</v>
      </c>
      <c r="K60">
        <v>130.398</v>
      </c>
      <c r="L60">
        <v>14.97</v>
      </c>
      <c r="M60">
        <v>145.36799999999999</v>
      </c>
      <c r="N60" s="21">
        <v>7.9986300000000004</v>
      </c>
      <c r="O60" s="5" t="str">
        <f t="shared" si="3"/>
        <v>未买</v>
      </c>
      <c r="R60" s="19">
        <v>58</v>
      </c>
    </row>
    <row r="61" spans="5:18" x14ac:dyDescent="0.15">
      <c r="E61" s="5"/>
      <c r="H61" s="19">
        <v>59</v>
      </c>
      <c r="I61">
        <v>128022</v>
      </c>
      <c r="J61" t="s">
        <v>159</v>
      </c>
      <c r="K61">
        <v>122.351</v>
      </c>
      <c r="L61">
        <v>23.39</v>
      </c>
      <c r="M61">
        <v>145.74099999999999</v>
      </c>
      <c r="N61" s="21">
        <v>4.5522299999999998</v>
      </c>
      <c r="O61" s="5" t="str">
        <f t="shared" si="3"/>
        <v>未买</v>
      </c>
      <c r="R61" s="19">
        <v>59</v>
      </c>
    </row>
    <row r="62" spans="5:18" x14ac:dyDescent="0.15">
      <c r="E62" s="5"/>
      <c r="H62" s="19">
        <v>60</v>
      </c>
      <c r="I62">
        <v>128139</v>
      </c>
      <c r="J62" t="s">
        <v>164</v>
      </c>
      <c r="K62">
        <v>134.999</v>
      </c>
      <c r="L62">
        <v>11.44</v>
      </c>
      <c r="M62">
        <v>146.43899999999999</v>
      </c>
      <c r="N62" s="21">
        <v>6.4690849999999998</v>
      </c>
      <c r="O62" s="5" t="str">
        <f t="shared" si="3"/>
        <v>未买</v>
      </c>
      <c r="R62" s="19">
        <v>60</v>
      </c>
    </row>
    <row r="63" spans="5:18" x14ac:dyDescent="0.15">
      <c r="E63" s="5"/>
      <c r="H63" s="19">
        <v>61</v>
      </c>
      <c r="I63">
        <v>113640</v>
      </c>
      <c r="J63" t="s">
        <v>784</v>
      </c>
      <c r="K63">
        <v>124.15</v>
      </c>
      <c r="L63">
        <v>22.59</v>
      </c>
      <c r="M63">
        <v>146.74</v>
      </c>
      <c r="N63" s="21">
        <v>9.5721100000000003</v>
      </c>
      <c r="O63" s="5" t="str">
        <f t="shared" si="3"/>
        <v>未买</v>
      </c>
      <c r="R63" s="19">
        <v>61</v>
      </c>
    </row>
    <row r="64" spans="5:18" x14ac:dyDescent="0.15">
      <c r="E64" s="5"/>
      <c r="H64" s="19">
        <v>62</v>
      </c>
      <c r="I64">
        <v>113037</v>
      </c>
      <c r="J64" t="s">
        <v>1925</v>
      </c>
      <c r="K64">
        <v>104.27</v>
      </c>
      <c r="L64">
        <v>42.52</v>
      </c>
      <c r="M64">
        <v>146.79</v>
      </c>
      <c r="N64" s="21">
        <v>44.996189999999999</v>
      </c>
      <c r="O64" s="5" t="str">
        <f t="shared" si="3"/>
        <v>未买</v>
      </c>
      <c r="R64" s="19">
        <v>62</v>
      </c>
    </row>
    <row r="65" spans="5:18" x14ac:dyDescent="0.15">
      <c r="E65" s="5"/>
      <c r="H65" s="19">
        <v>63</v>
      </c>
      <c r="I65">
        <v>113532</v>
      </c>
      <c r="J65" t="s">
        <v>202</v>
      </c>
      <c r="K65">
        <v>115.98</v>
      </c>
      <c r="L65">
        <v>30.87</v>
      </c>
      <c r="M65">
        <v>146.85</v>
      </c>
      <c r="N65" s="21">
        <v>4.5855300000000003</v>
      </c>
      <c r="O65" s="5" t="str">
        <f t="shared" si="3"/>
        <v>未买</v>
      </c>
      <c r="R65" s="19">
        <v>63</v>
      </c>
    </row>
    <row r="66" spans="5:18" x14ac:dyDescent="0.15">
      <c r="E66" s="5"/>
      <c r="H66" s="19">
        <v>64</v>
      </c>
      <c r="I66">
        <v>128127</v>
      </c>
      <c r="J66" t="s">
        <v>218</v>
      </c>
      <c r="K66">
        <v>110.752</v>
      </c>
      <c r="L66">
        <v>36.14</v>
      </c>
      <c r="M66">
        <v>146.892</v>
      </c>
      <c r="N66" s="21">
        <v>9.4930299999999992</v>
      </c>
      <c r="O66" s="5" t="str">
        <f t="shared" si="3"/>
        <v>Yes</v>
      </c>
      <c r="R66" s="19">
        <v>64</v>
      </c>
    </row>
    <row r="67" spans="5:18" x14ac:dyDescent="0.15">
      <c r="E67" s="5"/>
      <c r="H67" s="19">
        <v>65</v>
      </c>
      <c r="I67">
        <v>113609</v>
      </c>
      <c r="J67" t="s">
        <v>83</v>
      </c>
      <c r="K67">
        <v>110.15</v>
      </c>
      <c r="L67">
        <v>37</v>
      </c>
      <c r="M67">
        <v>147.15</v>
      </c>
      <c r="N67" s="21">
        <v>7.3419100000000004</v>
      </c>
      <c r="O67" s="5" t="str">
        <f t="shared" si="3"/>
        <v>未买</v>
      </c>
      <c r="R67" s="19">
        <v>65</v>
      </c>
    </row>
    <row r="68" spans="5:18" x14ac:dyDescent="0.15">
      <c r="E68" s="5"/>
      <c r="H68" s="19">
        <v>66</v>
      </c>
      <c r="I68">
        <v>127032</v>
      </c>
      <c r="J68" t="s">
        <v>1900</v>
      </c>
      <c r="K68">
        <v>114.288</v>
      </c>
      <c r="L68">
        <v>32.99</v>
      </c>
      <c r="M68">
        <v>147.27799999999999</v>
      </c>
      <c r="N68" s="21">
        <v>49.995682000000002</v>
      </c>
      <c r="O68" s="5" t="str">
        <f t="shared" ref="O68:O131" si="8">IF(ISNA(MATCH(I68,$A$3:$A$1000,0)),"未买","Yes")</f>
        <v>未买</v>
      </c>
      <c r="R68" s="19">
        <v>66</v>
      </c>
    </row>
    <row r="69" spans="5:18" x14ac:dyDescent="0.15">
      <c r="E69" s="5"/>
      <c r="H69" s="19">
        <v>67</v>
      </c>
      <c r="I69">
        <v>128121</v>
      </c>
      <c r="J69" t="s">
        <v>47</v>
      </c>
      <c r="K69">
        <v>124.25</v>
      </c>
      <c r="L69">
        <v>23.25</v>
      </c>
      <c r="M69">
        <v>147.5</v>
      </c>
      <c r="N69" s="21">
        <v>6.6985929999999989</v>
      </c>
      <c r="O69" s="5" t="str">
        <f t="shared" si="8"/>
        <v>未买</v>
      </c>
      <c r="R69" s="19">
        <v>67</v>
      </c>
    </row>
    <row r="70" spans="5:18" x14ac:dyDescent="0.15">
      <c r="E70" s="5"/>
      <c r="H70" s="19">
        <v>68</v>
      </c>
      <c r="I70">
        <v>127035</v>
      </c>
      <c r="J70" t="s">
        <v>228</v>
      </c>
      <c r="K70">
        <v>116.98099999999999</v>
      </c>
      <c r="L70">
        <v>30.53</v>
      </c>
      <c r="M70">
        <v>147.511</v>
      </c>
      <c r="N70" s="21">
        <v>6.2622609999999996</v>
      </c>
      <c r="O70" s="5" t="str">
        <f t="shared" si="8"/>
        <v>未买</v>
      </c>
      <c r="R70" s="19">
        <v>68</v>
      </c>
    </row>
    <row r="71" spans="5:18" x14ac:dyDescent="0.15">
      <c r="E71" s="5"/>
      <c r="H71" s="19">
        <v>69</v>
      </c>
      <c r="I71">
        <v>128075</v>
      </c>
      <c r="J71" t="s">
        <v>125</v>
      </c>
      <c r="K71">
        <v>121.7</v>
      </c>
      <c r="L71">
        <v>25.98</v>
      </c>
      <c r="M71">
        <v>147.68</v>
      </c>
      <c r="N71" s="21">
        <v>5.4375109999999998</v>
      </c>
      <c r="O71" s="5" t="str">
        <f t="shared" si="8"/>
        <v>未买</v>
      </c>
      <c r="R71" s="19">
        <v>69</v>
      </c>
    </row>
    <row r="72" spans="5:18" x14ac:dyDescent="0.15">
      <c r="E72" s="5"/>
      <c r="H72" s="19">
        <v>70</v>
      </c>
      <c r="I72">
        <v>110064</v>
      </c>
      <c r="J72" t="s">
        <v>1848</v>
      </c>
      <c r="K72">
        <v>122.81</v>
      </c>
      <c r="L72">
        <v>25.02</v>
      </c>
      <c r="M72">
        <v>147.83000000000001</v>
      </c>
      <c r="N72" s="21">
        <v>12.645960000000001</v>
      </c>
      <c r="O72" s="5" t="str">
        <f t="shared" si="8"/>
        <v>未买</v>
      </c>
      <c r="R72" s="19">
        <v>70</v>
      </c>
    </row>
    <row r="73" spans="5:18" x14ac:dyDescent="0.15">
      <c r="E73" s="5"/>
      <c r="H73" s="19">
        <v>71</v>
      </c>
      <c r="I73">
        <v>123080</v>
      </c>
      <c r="J73" t="s">
        <v>54</v>
      </c>
      <c r="K73">
        <v>127.99</v>
      </c>
      <c r="L73">
        <v>19.98</v>
      </c>
      <c r="M73">
        <v>147.97</v>
      </c>
      <c r="N73" s="21">
        <v>2.4344640000000002</v>
      </c>
      <c r="O73" s="5" t="str">
        <f t="shared" si="8"/>
        <v>未买</v>
      </c>
      <c r="R73" s="19">
        <v>71</v>
      </c>
    </row>
    <row r="74" spans="5:18" x14ac:dyDescent="0.15">
      <c r="E74" s="5"/>
      <c r="H74" s="19">
        <v>72</v>
      </c>
      <c r="I74">
        <v>128044</v>
      </c>
      <c r="J74" t="s">
        <v>131</v>
      </c>
      <c r="K74">
        <v>115.26</v>
      </c>
      <c r="L74">
        <v>33.11</v>
      </c>
      <c r="M74">
        <v>148.37</v>
      </c>
      <c r="N74" s="21">
        <v>6.5742089999999997</v>
      </c>
      <c r="O74" s="5" t="str">
        <f t="shared" si="8"/>
        <v>未买</v>
      </c>
      <c r="R74" s="19">
        <v>72</v>
      </c>
    </row>
    <row r="75" spans="5:18" x14ac:dyDescent="0.15">
      <c r="E75" s="5"/>
      <c r="H75" s="19">
        <v>73</v>
      </c>
      <c r="I75">
        <v>127039</v>
      </c>
      <c r="J75" t="s">
        <v>1873</v>
      </c>
      <c r="K75">
        <v>124.15</v>
      </c>
      <c r="L75">
        <v>24.3</v>
      </c>
      <c r="M75">
        <v>148.45000000000002</v>
      </c>
      <c r="N75" s="21">
        <v>17.631454000000002</v>
      </c>
      <c r="O75" s="5" t="str">
        <f t="shared" si="8"/>
        <v>未买</v>
      </c>
      <c r="R75" s="19">
        <v>73</v>
      </c>
    </row>
    <row r="76" spans="5:18" x14ac:dyDescent="0.15">
      <c r="E76" s="5"/>
      <c r="H76" s="19">
        <v>74</v>
      </c>
      <c r="I76">
        <v>123144</v>
      </c>
      <c r="J76" t="s">
        <v>1926</v>
      </c>
      <c r="K76">
        <v>128.779</v>
      </c>
      <c r="L76">
        <v>19.690000000000001</v>
      </c>
      <c r="M76">
        <v>148.46899999999999</v>
      </c>
      <c r="N76" s="21">
        <v>6</v>
      </c>
      <c r="O76" s="5" t="str">
        <f t="shared" si="8"/>
        <v>未买</v>
      </c>
      <c r="R76" s="19">
        <v>74</v>
      </c>
    </row>
    <row r="77" spans="5:18" x14ac:dyDescent="0.15">
      <c r="E77" s="5"/>
      <c r="H77" s="19">
        <v>75</v>
      </c>
      <c r="I77">
        <v>128042</v>
      </c>
      <c r="J77" t="s">
        <v>207</v>
      </c>
      <c r="K77">
        <v>121.104</v>
      </c>
      <c r="L77">
        <v>27.69</v>
      </c>
      <c r="M77">
        <v>148.79400000000001</v>
      </c>
      <c r="N77" s="21">
        <v>4.1551119999999999</v>
      </c>
      <c r="O77" s="5" t="str">
        <f t="shared" si="8"/>
        <v>未买</v>
      </c>
      <c r="R77" s="19">
        <v>75</v>
      </c>
    </row>
    <row r="78" spans="5:18" x14ac:dyDescent="0.15">
      <c r="E78" s="5"/>
      <c r="H78" s="19">
        <v>76</v>
      </c>
      <c r="I78">
        <v>128133</v>
      </c>
      <c r="J78" t="s">
        <v>226</v>
      </c>
      <c r="K78">
        <v>126.6</v>
      </c>
      <c r="L78">
        <v>22.21</v>
      </c>
      <c r="M78">
        <v>148.81</v>
      </c>
      <c r="N78" s="21">
        <v>7.9943249999999999</v>
      </c>
      <c r="O78" s="5" t="str">
        <f t="shared" si="8"/>
        <v>未买</v>
      </c>
      <c r="R78" s="19">
        <v>76</v>
      </c>
    </row>
    <row r="79" spans="5:18" x14ac:dyDescent="0.15">
      <c r="E79" s="5"/>
      <c r="H79" s="19">
        <v>77</v>
      </c>
      <c r="I79">
        <v>127022</v>
      </c>
      <c r="J79" t="s">
        <v>1909</v>
      </c>
      <c r="K79">
        <v>127.20099999999999</v>
      </c>
      <c r="L79">
        <v>21.67</v>
      </c>
      <c r="M79">
        <v>148.87099999999998</v>
      </c>
      <c r="N79" s="21">
        <v>19.9983</v>
      </c>
      <c r="O79" s="5" t="str">
        <f t="shared" si="8"/>
        <v>未买</v>
      </c>
      <c r="R79" s="19">
        <v>77</v>
      </c>
    </row>
    <row r="80" spans="5:18" x14ac:dyDescent="0.15">
      <c r="E80" s="5"/>
      <c r="H80" s="19">
        <v>78</v>
      </c>
      <c r="I80">
        <v>113052</v>
      </c>
      <c r="J80" t="s">
        <v>1914</v>
      </c>
      <c r="K80">
        <v>110.11</v>
      </c>
      <c r="L80">
        <v>39.01</v>
      </c>
      <c r="M80">
        <v>149.12</v>
      </c>
      <c r="N80" s="21">
        <v>500</v>
      </c>
      <c r="O80" s="5" t="str">
        <f t="shared" si="8"/>
        <v>未买</v>
      </c>
      <c r="R80" s="19">
        <v>78</v>
      </c>
    </row>
    <row r="81" spans="5:18" x14ac:dyDescent="0.15">
      <c r="E81" s="5"/>
      <c r="H81" s="19">
        <v>79</v>
      </c>
      <c r="I81">
        <v>127019</v>
      </c>
      <c r="J81" t="s">
        <v>176</v>
      </c>
      <c r="K81">
        <v>113.98099999999999</v>
      </c>
      <c r="L81">
        <v>35.31</v>
      </c>
      <c r="M81">
        <v>149.291</v>
      </c>
      <c r="N81" s="21">
        <v>8.4978960000000008</v>
      </c>
      <c r="O81" s="5" t="str">
        <f t="shared" si="8"/>
        <v>未买</v>
      </c>
      <c r="R81" s="19">
        <v>79</v>
      </c>
    </row>
    <row r="82" spans="5:18" x14ac:dyDescent="0.15">
      <c r="E82" s="5"/>
      <c r="H82" s="19">
        <v>80</v>
      </c>
      <c r="I82">
        <v>113630</v>
      </c>
      <c r="J82" t="s">
        <v>188</v>
      </c>
      <c r="K82">
        <v>145.41999999999999</v>
      </c>
      <c r="L82">
        <v>4</v>
      </c>
      <c r="M82">
        <v>149.41999999999999</v>
      </c>
      <c r="N82" s="21">
        <v>6.9971800000000002</v>
      </c>
      <c r="O82" s="5" t="str">
        <f t="shared" si="8"/>
        <v>未买</v>
      </c>
      <c r="R82" s="19">
        <v>80</v>
      </c>
    </row>
    <row r="83" spans="5:18" x14ac:dyDescent="0.15">
      <c r="E83" s="5"/>
      <c r="H83" s="19">
        <v>81</v>
      </c>
      <c r="I83">
        <v>113054</v>
      </c>
      <c r="J83" t="s">
        <v>1920</v>
      </c>
      <c r="K83">
        <v>108.93</v>
      </c>
      <c r="L83">
        <v>40.94</v>
      </c>
      <c r="M83">
        <v>149.87</v>
      </c>
      <c r="N83" s="21">
        <v>23.6</v>
      </c>
      <c r="O83" s="5" t="str">
        <f t="shared" si="8"/>
        <v>未买</v>
      </c>
      <c r="R83" s="19">
        <v>81</v>
      </c>
    </row>
    <row r="84" spans="5:18" x14ac:dyDescent="0.15">
      <c r="E84" s="5"/>
      <c r="H84" s="19">
        <v>82</v>
      </c>
      <c r="I84">
        <v>123091</v>
      </c>
      <c r="J84" t="s">
        <v>244</v>
      </c>
      <c r="K84">
        <v>131.9</v>
      </c>
      <c r="L84">
        <v>18.36</v>
      </c>
      <c r="M84">
        <v>150.26</v>
      </c>
      <c r="N84" s="21">
        <v>5.4975870000000002</v>
      </c>
      <c r="O84" s="5" t="str">
        <f t="shared" si="8"/>
        <v>未买</v>
      </c>
      <c r="R84" s="19">
        <v>82</v>
      </c>
    </row>
    <row r="85" spans="5:18" x14ac:dyDescent="0.15">
      <c r="E85" s="5"/>
      <c r="H85" s="19">
        <v>83</v>
      </c>
      <c r="I85">
        <v>123127</v>
      </c>
      <c r="J85" t="s">
        <v>115</v>
      </c>
      <c r="K85">
        <v>126.498</v>
      </c>
      <c r="L85">
        <v>23.85</v>
      </c>
      <c r="M85">
        <v>150.34800000000001</v>
      </c>
      <c r="N85" s="21">
        <v>3.9997519999999995</v>
      </c>
      <c r="O85" s="5" t="str">
        <f t="shared" si="8"/>
        <v>未买</v>
      </c>
      <c r="R85" s="19">
        <v>83</v>
      </c>
    </row>
    <row r="86" spans="5:18" x14ac:dyDescent="0.15">
      <c r="E86" s="5"/>
      <c r="H86" s="19">
        <v>84</v>
      </c>
      <c r="I86">
        <v>110075</v>
      </c>
      <c r="J86" t="s">
        <v>1886</v>
      </c>
      <c r="K86">
        <v>128.01</v>
      </c>
      <c r="L86">
        <v>22.51</v>
      </c>
      <c r="M86">
        <v>150.51999999999998</v>
      </c>
      <c r="N86" s="21">
        <v>58.964379999999998</v>
      </c>
      <c r="O86" s="5" t="str">
        <f t="shared" si="8"/>
        <v>未买</v>
      </c>
      <c r="R86" s="19">
        <v>84</v>
      </c>
    </row>
    <row r="87" spans="5:18" x14ac:dyDescent="0.15">
      <c r="E87" s="5"/>
      <c r="H87" s="19">
        <v>85</v>
      </c>
      <c r="I87">
        <v>110052</v>
      </c>
      <c r="J87" t="s">
        <v>1889</v>
      </c>
      <c r="K87">
        <v>115.3</v>
      </c>
      <c r="L87">
        <v>35.229999999999997</v>
      </c>
      <c r="M87">
        <v>150.53</v>
      </c>
      <c r="N87" s="21">
        <v>14.217930000000001</v>
      </c>
      <c r="O87" s="5" t="str">
        <f t="shared" si="8"/>
        <v>未买</v>
      </c>
      <c r="R87" s="19">
        <v>85</v>
      </c>
    </row>
    <row r="88" spans="5:18" x14ac:dyDescent="0.15">
      <c r="E88" s="5"/>
      <c r="H88" s="19">
        <v>86</v>
      </c>
      <c r="I88">
        <v>113620</v>
      </c>
      <c r="J88" t="s">
        <v>1864</v>
      </c>
      <c r="K88">
        <v>145.41999999999999</v>
      </c>
      <c r="L88">
        <v>5.12</v>
      </c>
      <c r="M88">
        <v>150.54</v>
      </c>
      <c r="N88" s="21">
        <v>8.4636899999999997</v>
      </c>
      <c r="O88" s="5" t="str">
        <f t="shared" si="8"/>
        <v>未买</v>
      </c>
      <c r="R88" s="19">
        <v>86</v>
      </c>
    </row>
    <row r="89" spans="5:18" x14ac:dyDescent="0.15">
      <c r="E89" s="5"/>
      <c r="H89" s="19">
        <v>87</v>
      </c>
      <c r="I89">
        <v>127036</v>
      </c>
      <c r="J89" t="s">
        <v>1939</v>
      </c>
      <c r="K89">
        <v>129.80000000000001</v>
      </c>
      <c r="L89">
        <v>20.98</v>
      </c>
      <c r="M89">
        <v>150.78</v>
      </c>
      <c r="N89" s="21">
        <v>29.992529999999999</v>
      </c>
      <c r="O89" s="5" t="str">
        <f t="shared" si="8"/>
        <v>未买</v>
      </c>
      <c r="R89" s="19">
        <v>87</v>
      </c>
    </row>
    <row r="90" spans="5:18" x14ac:dyDescent="0.15">
      <c r="E90" s="5"/>
      <c r="H90" s="19">
        <v>88</v>
      </c>
      <c r="I90">
        <v>113641</v>
      </c>
      <c r="J90" t="s">
        <v>1922</v>
      </c>
      <c r="K90">
        <v>130.4</v>
      </c>
      <c r="L90">
        <v>20.55</v>
      </c>
      <c r="M90">
        <v>150.95000000000002</v>
      </c>
      <c r="N90" s="21">
        <v>76</v>
      </c>
      <c r="O90" s="5" t="str">
        <f t="shared" si="8"/>
        <v>未买</v>
      </c>
      <c r="R90" s="19">
        <v>88</v>
      </c>
    </row>
    <row r="91" spans="5:18" x14ac:dyDescent="0.15">
      <c r="E91" s="5"/>
      <c r="H91" s="19">
        <v>89</v>
      </c>
      <c r="I91">
        <v>128109</v>
      </c>
      <c r="J91" t="s">
        <v>1899</v>
      </c>
      <c r="K91">
        <v>129.19999999999999</v>
      </c>
      <c r="L91">
        <v>21.78</v>
      </c>
      <c r="M91">
        <v>150.97999999999999</v>
      </c>
      <c r="N91" s="21">
        <v>18.225552</v>
      </c>
      <c r="O91" s="5" t="str">
        <f t="shared" si="8"/>
        <v>未买</v>
      </c>
      <c r="R91" s="19">
        <v>89</v>
      </c>
    </row>
    <row r="92" spans="5:18" x14ac:dyDescent="0.15">
      <c r="E92" s="5"/>
      <c r="H92" s="19">
        <v>90</v>
      </c>
      <c r="I92">
        <v>113013</v>
      </c>
      <c r="J92" t="s">
        <v>1913</v>
      </c>
      <c r="K92">
        <v>113.25</v>
      </c>
      <c r="L92">
        <v>37.82</v>
      </c>
      <c r="M92">
        <v>151.07</v>
      </c>
      <c r="N92" s="21">
        <v>69.901759999999996</v>
      </c>
      <c r="O92" s="5" t="str">
        <f t="shared" si="8"/>
        <v>未买</v>
      </c>
      <c r="R92" s="19">
        <v>90</v>
      </c>
    </row>
    <row r="93" spans="5:18" x14ac:dyDescent="0.15">
      <c r="E93" s="5"/>
      <c r="H93" s="19">
        <v>91</v>
      </c>
      <c r="I93">
        <v>110061</v>
      </c>
      <c r="J93" t="s">
        <v>1831</v>
      </c>
      <c r="K93">
        <v>141.69999999999999</v>
      </c>
      <c r="L93">
        <v>9.5500000000000007</v>
      </c>
      <c r="M93">
        <v>151.25</v>
      </c>
      <c r="N93" s="21">
        <v>39.615589999999997</v>
      </c>
      <c r="O93" s="5" t="str">
        <f t="shared" si="8"/>
        <v>未买</v>
      </c>
      <c r="R93" s="19">
        <v>91</v>
      </c>
    </row>
    <row r="94" spans="5:18" x14ac:dyDescent="0.15">
      <c r="E94" s="5"/>
      <c r="H94" s="19">
        <v>92</v>
      </c>
      <c r="I94">
        <v>113549</v>
      </c>
      <c r="J94" t="s">
        <v>100</v>
      </c>
      <c r="K94">
        <v>117.78</v>
      </c>
      <c r="L94">
        <v>33.549999999999997</v>
      </c>
      <c r="M94">
        <v>151.32999999999998</v>
      </c>
      <c r="N94" s="21">
        <v>8.0473300000000005</v>
      </c>
      <c r="O94" s="5" t="str">
        <f t="shared" si="8"/>
        <v>未买</v>
      </c>
      <c r="R94" s="19">
        <v>92</v>
      </c>
    </row>
    <row r="95" spans="5:18" x14ac:dyDescent="0.15">
      <c r="E95" s="5"/>
      <c r="H95" s="19">
        <v>93</v>
      </c>
      <c r="I95">
        <v>113545</v>
      </c>
      <c r="J95" t="s">
        <v>85</v>
      </c>
      <c r="K95">
        <v>127.82</v>
      </c>
      <c r="L95">
        <v>23.56</v>
      </c>
      <c r="M95">
        <v>151.38</v>
      </c>
      <c r="N95" s="21">
        <v>9.8657599999999999</v>
      </c>
      <c r="O95" s="5" t="str">
        <f t="shared" si="8"/>
        <v>未买</v>
      </c>
      <c r="R95" s="19">
        <v>93</v>
      </c>
    </row>
    <row r="96" spans="5:18" x14ac:dyDescent="0.15">
      <c r="E96" s="5"/>
      <c r="H96" s="19">
        <v>94</v>
      </c>
      <c r="I96">
        <v>110072</v>
      </c>
      <c r="J96" t="s">
        <v>1927</v>
      </c>
      <c r="K96">
        <v>100.13</v>
      </c>
      <c r="L96">
        <v>51.71</v>
      </c>
      <c r="M96">
        <v>151.84</v>
      </c>
      <c r="N96" s="21">
        <v>33.662709999999997</v>
      </c>
      <c r="O96" s="5" t="str">
        <f t="shared" si="8"/>
        <v>未买</v>
      </c>
      <c r="R96" s="19">
        <v>94</v>
      </c>
    </row>
    <row r="97" spans="5:18" x14ac:dyDescent="0.15">
      <c r="E97" s="5"/>
      <c r="H97" s="19">
        <v>95</v>
      </c>
      <c r="I97">
        <v>113598</v>
      </c>
      <c r="J97" t="s">
        <v>101</v>
      </c>
      <c r="K97">
        <v>126.09</v>
      </c>
      <c r="L97">
        <v>25.96</v>
      </c>
      <c r="M97">
        <v>152.05000000000001</v>
      </c>
      <c r="N97" s="21">
        <v>2.7526000000000002</v>
      </c>
      <c r="O97" s="5" t="str">
        <f t="shared" si="8"/>
        <v>未买</v>
      </c>
      <c r="R97" s="19">
        <v>95</v>
      </c>
    </row>
    <row r="98" spans="5:18" x14ac:dyDescent="0.15">
      <c r="E98" s="5"/>
      <c r="H98" s="19">
        <v>96</v>
      </c>
      <c r="I98">
        <v>123098</v>
      </c>
      <c r="J98" t="s">
        <v>1857</v>
      </c>
      <c r="K98">
        <v>130.751</v>
      </c>
      <c r="L98">
        <v>21.61</v>
      </c>
      <c r="M98">
        <v>152.36099999999999</v>
      </c>
      <c r="N98" s="21">
        <v>4.2361170000000001</v>
      </c>
      <c r="O98" s="5" t="str">
        <f t="shared" si="8"/>
        <v>未买</v>
      </c>
      <c r="R98" s="19">
        <v>96</v>
      </c>
    </row>
    <row r="99" spans="5:18" x14ac:dyDescent="0.15">
      <c r="E99" s="5"/>
      <c r="H99" s="19">
        <v>97</v>
      </c>
      <c r="I99">
        <v>127027</v>
      </c>
      <c r="J99" t="s">
        <v>1815</v>
      </c>
      <c r="K99">
        <v>150.25700000000001</v>
      </c>
      <c r="L99">
        <v>2.16</v>
      </c>
      <c r="M99">
        <v>152.417</v>
      </c>
      <c r="N99" s="21">
        <v>19.474136999999999</v>
      </c>
      <c r="O99" s="5" t="str">
        <f t="shared" si="8"/>
        <v>Yes</v>
      </c>
      <c r="R99" s="19">
        <v>97</v>
      </c>
    </row>
    <row r="100" spans="5:18" x14ac:dyDescent="0.15">
      <c r="E100" s="5"/>
      <c r="H100" s="19">
        <v>98</v>
      </c>
      <c r="I100">
        <v>123087</v>
      </c>
      <c r="J100" t="s">
        <v>72</v>
      </c>
      <c r="K100">
        <v>122.5</v>
      </c>
      <c r="L100">
        <v>30.03</v>
      </c>
      <c r="M100">
        <v>152.53</v>
      </c>
      <c r="N100" s="21">
        <v>4.1892620000000003</v>
      </c>
      <c r="O100" s="5" t="str">
        <f t="shared" si="8"/>
        <v>未买</v>
      </c>
      <c r="R100" s="19">
        <v>98</v>
      </c>
    </row>
    <row r="101" spans="5:18" x14ac:dyDescent="0.15">
      <c r="E101" s="5"/>
      <c r="H101" s="19">
        <v>99</v>
      </c>
      <c r="I101">
        <v>128025</v>
      </c>
      <c r="J101" t="s">
        <v>50</v>
      </c>
      <c r="K101">
        <v>132.04599999999999</v>
      </c>
      <c r="L101">
        <v>20.5</v>
      </c>
      <c r="M101">
        <v>152.54599999999999</v>
      </c>
      <c r="N101" s="21">
        <v>2.9767039999999998</v>
      </c>
      <c r="O101" s="5" t="str">
        <f t="shared" si="8"/>
        <v>未买</v>
      </c>
      <c r="R101" s="19">
        <v>99</v>
      </c>
    </row>
    <row r="102" spans="5:18" x14ac:dyDescent="0.15">
      <c r="E102" s="5"/>
      <c r="H102" s="19">
        <v>100</v>
      </c>
      <c r="I102">
        <v>127025</v>
      </c>
      <c r="J102" t="s">
        <v>1919</v>
      </c>
      <c r="K102">
        <v>112.252</v>
      </c>
      <c r="L102">
        <v>40.42</v>
      </c>
      <c r="M102">
        <v>152.672</v>
      </c>
      <c r="N102" s="21">
        <v>17.76455</v>
      </c>
      <c r="O102" s="5" t="str">
        <f t="shared" si="8"/>
        <v>未买</v>
      </c>
      <c r="R102" s="19">
        <v>100</v>
      </c>
    </row>
    <row r="103" spans="5:18" x14ac:dyDescent="0.15">
      <c r="E103" s="5"/>
      <c r="H103" s="19">
        <v>101</v>
      </c>
      <c r="I103">
        <v>113058</v>
      </c>
      <c r="J103" t="s">
        <v>1903</v>
      </c>
      <c r="K103">
        <v>117.43</v>
      </c>
      <c r="L103">
        <v>35.299999999999997</v>
      </c>
      <c r="M103">
        <v>152.73000000000002</v>
      </c>
      <c r="N103" s="21">
        <v>20</v>
      </c>
      <c r="O103" s="5" t="str">
        <f t="shared" si="8"/>
        <v>未买</v>
      </c>
      <c r="R103" s="19">
        <v>101</v>
      </c>
    </row>
    <row r="104" spans="5:18" x14ac:dyDescent="0.15">
      <c r="E104" s="5"/>
      <c r="H104" s="19">
        <v>102</v>
      </c>
      <c r="I104">
        <v>128145</v>
      </c>
      <c r="J104" t="s">
        <v>105</v>
      </c>
      <c r="K104">
        <v>127.229</v>
      </c>
      <c r="L104">
        <v>25.55</v>
      </c>
      <c r="M104">
        <v>152.779</v>
      </c>
      <c r="N104" s="21">
        <v>3.7962730000000007</v>
      </c>
      <c r="O104" s="5" t="str">
        <f t="shared" si="8"/>
        <v>未买</v>
      </c>
      <c r="R104" s="19">
        <v>102</v>
      </c>
    </row>
    <row r="105" spans="5:18" x14ac:dyDescent="0.15">
      <c r="E105" s="5"/>
      <c r="H105" s="19">
        <v>103</v>
      </c>
      <c r="I105">
        <v>127021</v>
      </c>
      <c r="J105" t="s">
        <v>220</v>
      </c>
      <c r="K105">
        <v>120.95099999999999</v>
      </c>
      <c r="L105">
        <v>32.130000000000003</v>
      </c>
      <c r="M105">
        <v>153.08099999999999</v>
      </c>
      <c r="N105" s="21">
        <v>4.1596060000000001</v>
      </c>
      <c r="O105" s="5" t="str">
        <f t="shared" si="8"/>
        <v>未买</v>
      </c>
      <c r="R105" s="19">
        <v>103</v>
      </c>
    </row>
    <row r="106" spans="5:18" x14ac:dyDescent="0.15">
      <c r="E106" s="5"/>
      <c r="H106" s="19">
        <v>104</v>
      </c>
      <c r="I106">
        <v>113644</v>
      </c>
      <c r="J106" t="s">
        <v>1938</v>
      </c>
      <c r="K106">
        <v>114.63</v>
      </c>
      <c r="L106">
        <v>38.51</v>
      </c>
      <c r="M106">
        <v>153.13999999999999</v>
      </c>
      <c r="N106" s="21">
        <v>10</v>
      </c>
      <c r="O106" s="5" t="str">
        <f t="shared" si="8"/>
        <v>未买</v>
      </c>
      <c r="R106" s="19">
        <v>104</v>
      </c>
    </row>
    <row r="107" spans="5:18" x14ac:dyDescent="0.15">
      <c r="E107" s="5"/>
      <c r="H107" s="19">
        <v>105</v>
      </c>
      <c r="I107">
        <v>127005</v>
      </c>
      <c r="J107" t="s">
        <v>1916</v>
      </c>
      <c r="K107">
        <v>116.51</v>
      </c>
      <c r="L107">
        <v>36.64</v>
      </c>
      <c r="M107">
        <v>153.15</v>
      </c>
      <c r="N107" s="21">
        <v>49.964184000000003</v>
      </c>
      <c r="O107" s="5" t="str">
        <f t="shared" si="8"/>
        <v>未买</v>
      </c>
      <c r="R107" s="19">
        <v>105</v>
      </c>
    </row>
    <row r="108" spans="5:18" x14ac:dyDescent="0.15">
      <c r="E108" s="5"/>
      <c r="H108" s="19">
        <v>106</v>
      </c>
      <c r="I108">
        <v>123123</v>
      </c>
      <c r="J108" t="s">
        <v>196</v>
      </c>
      <c r="K108">
        <v>136.39599999999999</v>
      </c>
      <c r="L108">
        <v>16.93</v>
      </c>
      <c r="M108">
        <v>153.32599999999999</v>
      </c>
      <c r="N108" s="21">
        <v>5.1604099999999997</v>
      </c>
      <c r="O108" s="5" t="str">
        <f t="shared" si="8"/>
        <v>未买</v>
      </c>
      <c r="R108" s="19">
        <v>106</v>
      </c>
    </row>
    <row r="109" spans="5:18" x14ac:dyDescent="0.15">
      <c r="E109" s="5"/>
      <c r="H109" s="19">
        <v>107</v>
      </c>
      <c r="I109">
        <v>113636</v>
      </c>
      <c r="J109" t="s">
        <v>251</v>
      </c>
      <c r="K109">
        <v>127.25</v>
      </c>
      <c r="L109">
        <v>26.09</v>
      </c>
      <c r="M109">
        <v>153.34</v>
      </c>
      <c r="N109" s="21">
        <v>9.99986</v>
      </c>
      <c r="O109" s="5" t="str">
        <f t="shared" si="8"/>
        <v>未买</v>
      </c>
      <c r="R109" s="19">
        <v>107</v>
      </c>
    </row>
    <row r="110" spans="5:18" x14ac:dyDescent="0.15">
      <c r="E110" s="5"/>
      <c r="H110" s="19">
        <v>108</v>
      </c>
      <c r="I110">
        <v>127031</v>
      </c>
      <c r="J110" t="s">
        <v>187</v>
      </c>
      <c r="K110">
        <v>127.6</v>
      </c>
      <c r="L110">
        <v>25.74</v>
      </c>
      <c r="M110">
        <v>153.34</v>
      </c>
      <c r="N110" s="21">
        <v>9.9994130000000006</v>
      </c>
      <c r="O110" s="5" t="str">
        <f t="shared" si="8"/>
        <v>未买</v>
      </c>
      <c r="R110" s="19">
        <v>108</v>
      </c>
    </row>
    <row r="111" spans="5:18" x14ac:dyDescent="0.15">
      <c r="E111" s="5"/>
      <c r="H111" s="19">
        <v>109</v>
      </c>
      <c r="I111">
        <v>113053</v>
      </c>
      <c r="J111" t="s">
        <v>1904</v>
      </c>
      <c r="K111">
        <v>128.82</v>
      </c>
      <c r="L111">
        <v>24.58</v>
      </c>
      <c r="M111">
        <v>153.39999999999998</v>
      </c>
      <c r="N111" s="21">
        <v>70</v>
      </c>
      <c r="O111" s="5" t="str">
        <f t="shared" si="8"/>
        <v>未买</v>
      </c>
      <c r="R111" s="19">
        <v>109</v>
      </c>
    </row>
    <row r="112" spans="5:18" x14ac:dyDescent="0.15">
      <c r="E112" s="5"/>
      <c r="H112" s="19">
        <v>110</v>
      </c>
      <c r="I112">
        <v>113024</v>
      </c>
      <c r="J112" t="s">
        <v>1906</v>
      </c>
      <c r="K112">
        <v>118.83</v>
      </c>
      <c r="L112">
        <v>34.82</v>
      </c>
      <c r="M112">
        <v>153.65</v>
      </c>
      <c r="N112" s="21">
        <v>29.953800000000001</v>
      </c>
      <c r="O112" s="5" t="str">
        <f t="shared" si="8"/>
        <v>未买</v>
      </c>
      <c r="R112" s="19">
        <v>110</v>
      </c>
    </row>
    <row r="113" spans="5:18" x14ac:dyDescent="0.15">
      <c r="E113" s="5"/>
      <c r="H113" s="19">
        <v>111</v>
      </c>
      <c r="I113">
        <v>113568</v>
      </c>
      <c r="J113" t="s">
        <v>132</v>
      </c>
      <c r="K113">
        <v>155.29</v>
      </c>
      <c r="L113">
        <v>-1.53</v>
      </c>
      <c r="M113">
        <v>153.76</v>
      </c>
      <c r="N113" s="21">
        <v>2.8459999999999999E-2</v>
      </c>
      <c r="O113" s="5" t="str">
        <f t="shared" si="8"/>
        <v>未买</v>
      </c>
      <c r="R113" s="19">
        <v>111</v>
      </c>
    </row>
    <row r="114" spans="5:18" x14ac:dyDescent="0.15">
      <c r="E114" s="5"/>
      <c r="H114" s="19">
        <v>112</v>
      </c>
      <c r="I114">
        <v>111000</v>
      </c>
      <c r="J114" t="s">
        <v>84</v>
      </c>
      <c r="K114">
        <v>129.08000000000001</v>
      </c>
      <c r="L114">
        <v>24.69</v>
      </c>
      <c r="M114">
        <v>153.77000000000001</v>
      </c>
      <c r="N114" s="21">
        <v>9.9947700000000008</v>
      </c>
      <c r="O114" s="5" t="str">
        <f t="shared" si="8"/>
        <v>未买</v>
      </c>
      <c r="R114" s="19">
        <v>112</v>
      </c>
    </row>
    <row r="115" spans="5:18" x14ac:dyDescent="0.15">
      <c r="E115" s="5"/>
      <c r="H115" s="19">
        <v>113</v>
      </c>
      <c r="I115">
        <v>110085</v>
      </c>
      <c r="J115" t="s">
        <v>1852</v>
      </c>
      <c r="K115">
        <v>148.96</v>
      </c>
      <c r="L115">
        <v>4.84</v>
      </c>
      <c r="M115">
        <v>153.80000000000001</v>
      </c>
      <c r="N115" s="21">
        <v>120</v>
      </c>
      <c r="O115" s="5" t="str">
        <f t="shared" si="8"/>
        <v>未买</v>
      </c>
      <c r="R115" s="19">
        <v>113</v>
      </c>
    </row>
    <row r="116" spans="5:18" x14ac:dyDescent="0.15">
      <c r="E116" s="5"/>
      <c r="H116" s="19">
        <v>114</v>
      </c>
      <c r="I116">
        <v>128144</v>
      </c>
      <c r="J116" t="s">
        <v>227</v>
      </c>
      <c r="K116">
        <v>121.36</v>
      </c>
      <c r="L116">
        <v>32.6</v>
      </c>
      <c r="M116">
        <v>153.96</v>
      </c>
      <c r="N116" s="21">
        <v>9.7941780000000005</v>
      </c>
      <c r="O116" s="5" t="str">
        <f t="shared" si="8"/>
        <v>未买</v>
      </c>
      <c r="R116" s="19">
        <v>114</v>
      </c>
    </row>
    <row r="117" spans="5:18" x14ac:dyDescent="0.15">
      <c r="E117" s="5"/>
      <c r="H117" s="19">
        <v>115</v>
      </c>
      <c r="I117">
        <v>128021</v>
      </c>
      <c r="J117" t="s">
        <v>51</v>
      </c>
      <c r="K117">
        <v>141.72800000000001</v>
      </c>
      <c r="L117">
        <v>12.3</v>
      </c>
      <c r="M117">
        <v>154.02800000000002</v>
      </c>
      <c r="N117" s="21">
        <v>2.6517419999999996</v>
      </c>
      <c r="O117" s="5" t="str">
        <f t="shared" si="8"/>
        <v>未买</v>
      </c>
      <c r="R117" s="19">
        <v>115</v>
      </c>
    </row>
    <row r="118" spans="5:18" x14ac:dyDescent="0.15">
      <c r="E118" s="5"/>
      <c r="H118" s="19">
        <v>116</v>
      </c>
      <c r="I118">
        <v>127034</v>
      </c>
      <c r="J118" t="s">
        <v>204</v>
      </c>
      <c r="K118">
        <v>105.93</v>
      </c>
      <c r="L118">
        <v>48.17</v>
      </c>
      <c r="M118">
        <v>154.10000000000002</v>
      </c>
      <c r="N118" s="21">
        <v>7.1177770000000002</v>
      </c>
      <c r="O118" s="5" t="str">
        <f t="shared" si="8"/>
        <v>未买</v>
      </c>
      <c r="R118" s="19">
        <v>116</v>
      </c>
    </row>
    <row r="119" spans="5:18" x14ac:dyDescent="0.15">
      <c r="E119" s="5"/>
      <c r="H119" s="19">
        <v>117</v>
      </c>
      <c r="I119">
        <v>113039</v>
      </c>
      <c r="J119" t="s">
        <v>45</v>
      </c>
      <c r="K119">
        <v>139.36000000000001</v>
      </c>
      <c r="L119">
        <v>14.77</v>
      </c>
      <c r="M119">
        <v>154.13000000000002</v>
      </c>
      <c r="N119" s="21">
        <v>2.88409</v>
      </c>
      <c r="O119" s="5" t="str">
        <f t="shared" si="8"/>
        <v>未买</v>
      </c>
      <c r="R119" s="19">
        <v>117</v>
      </c>
    </row>
    <row r="120" spans="5:18" x14ac:dyDescent="0.15">
      <c r="E120" s="5"/>
      <c r="H120" s="19">
        <v>118</v>
      </c>
      <c r="I120">
        <v>110045</v>
      </c>
      <c r="J120" t="s">
        <v>1930</v>
      </c>
      <c r="K120">
        <v>108.84</v>
      </c>
      <c r="L120">
        <v>45.39</v>
      </c>
      <c r="M120">
        <v>154.23000000000002</v>
      </c>
      <c r="N120" s="21">
        <v>29.496179999999999</v>
      </c>
      <c r="O120" s="5" t="str">
        <f t="shared" si="8"/>
        <v>未买</v>
      </c>
      <c r="R120" s="19">
        <v>118</v>
      </c>
    </row>
    <row r="121" spans="5:18" x14ac:dyDescent="0.15">
      <c r="E121" s="5"/>
      <c r="H121" s="19">
        <v>119</v>
      </c>
      <c r="I121">
        <v>113505</v>
      </c>
      <c r="J121" t="s">
        <v>242</v>
      </c>
      <c r="K121">
        <v>118.13</v>
      </c>
      <c r="L121">
        <v>36.14</v>
      </c>
      <c r="M121">
        <v>154.26999999999998</v>
      </c>
      <c r="N121" s="21">
        <v>7.4973799999999997</v>
      </c>
      <c r="O121" s="5" t="str">
        <f t="shared" si="8"/>
        <v>未买</v>
      </c>
      <c r="R121" s="19">
        <v>119</v>
      </c>
    </row>
    <row r="122" spans="5:18" x14ac:dyDescent="0.15">
      <c r="E122" s="5"/>
      <c r="H122" s="19">
        <v>120</v>
      </c>
      <c r="I122">
        <v>123097</v>
      </c>
      <c r="J122" t="s">
        <v>126</v>
      </c>
      <c r="K122">
        <v>129.21799999999999</v>
      </c>
      <c r="L122">
        <v>25.17</v>
      </c>
      <c r="M122">
        <v>154.38799999999998</v>
      </c>
      <c r="N122" s="21">
        <v>2.9987979999999999</v>
      </c>
      <c r="O122" s="5" t="str">
        <f t="shared" si="8"/>
        <v>未买</v>
      </c>
      <c r="R122" s="19">
        <v>120</v>
      </c>
    </row>
    <row r="123" spans="5:18" x14ac:dyDescent="0.15">
      <c r="E123" s="5"/>
      <c r="H123" s="19">
        <v>121</v>
      </c>
      <c r="I123">
        <v>113634</v>
      </c>
      <c r="J123" t="s">
        <v>252</v>
      </c>
      <c r="K123">
        <v>136.65</v>
      </c>
      <c r="L123">
        <v>17.88</v>
      </c>
      <c r="M123">
        <v>154.53</v>
      </c>
      <c r="N123" s="21">
        <v>7.51553</v>
      </c>
      <c r="O123" s="5" t="str">
        <f t="shared" si="8"/>
        <v>未买</v>
      </c>
      <c r="R123" s="19">
        <v>121</v>
      </c>
    </row>
    <row r="124" spans="5:18" x14ac:dyDescent="0.15">
      <c r="E124" s="5"/>
      <c r="H124" s="19">
        <v>122</v>
      </c>
      <c r="I124">
        <v>110038</v>
      </c>
      <c r="J124" t="s">
        <v>102</v>
      </c>
      <c r="K124">
        <v>139.4</v>
      </c>
      <c r="L124">
        <v>15.17</v>
      </c>
      <c r="M124">
        <v>154.57</v>
      </c>
      <c r="N124" s="21">
        <v>6.3023899999999999</v>
      </c>
      <c r="O124" s="5" t="str">
        <f t="shared" si="8"/>
        <v>未买</v>
      </c>
      <c r="R124" s="19">
        <v>122</v>
      </c>
    </row>
    <row r="125" spans="5:18" x14ac:dyDescent="0.15">
      <c r="E125" s="5"/>
      <c r="H125" s="19">
        <v>123</v>
      </c>
      <c r="I125">
        <v>127016</v>
      </c>
      <c r="J125" t="s">
        <v>1905</v>
      </c>
      <c r="K125">
        <v>114.5</v>
      </c>
      <c r="L125">
        <v>40.369999999999997</v>
      </c>
      <c r="M125">
        <v>154.87</v>
      </c>
      <c r="N125" s="21">
        <v>13.998544000000001</v>
      </c>
      <c r="O125" s="5" t="str">
        <f t="shared" si="8"/>
        <v>未买</v>
      </c>
      <c r="R125" s="19">
        <v>123</v>
      </c>
    </row>
    <row r="126" spans="5:18" x14ac:dyDescent="0.15">
      <c r="E126" s="5"/>
      <c r="H126" s="19">
        <v>124</v>
      </c>
      <c r="I126">
        <v>127047</v>
      </c>
      <c r="J126" t="s">
        <v>1933</v>
      </c>
      <c r="K126">
        <v>103.693</v>
      </c>
      <c r="L126">
        <v>51.22</v>
      </c>
      <c r="M126">
        <v>154.91300000000001</v>
      </c>
      <c r="N126" s="21">
        <v>14.999181999999999</v>
      </c>
      <c r="O126" s="5" t="str">
        <f t="shared" si="8"/>
        <v>未买</v>
      </c>
      <c r="R126" s="19">
        <v>124</v>
      </c>
    </row>
    <row r="127" spans="5:18" x14ac:dyDescent="0.15">
      <c r="E127" s="5"/>
      <c r="H127" s="19">
        <v>125</v>
      </c>
      <c r="I127">
        <v>110070</v>
      </c>
      <c r="J127" t="s">
        <v>89</v>
      </c>
      <c r="K127">
        <v>126.29</v>
      </c>
      <c r="L127">
        <v>28.78</v>
      </c>
      <c r="M127">
        <v>155.07</v>
      </c>
      <c r="N127" s="21">
        <v>2.17075</v>
      </c>
      <c r="O127" s="5" t="str">
        <f t="shared" si="8"/>
        <v>Yes</v>
      </c>
      <c r="R127" s="19">
        <v>125</v>
      </c>
    </row>
    <row r="128" spans="5:18" x14ac:dyDescent="0.15">
      <c r="E128" s="5"/>
      <c r="H128" s="19">
        <v>126</v>
      </c>
      <c r="I128">
        <v>123085</v>
      </c>
      <c r="J128" t="s">
        <v>1827</v>
      </c>
      <c r="K128">
        <v>150</v>
      </c>
      <c r="L128">
        <v>5.09</v>
      </c>
      <c r="M128">
        <v>155.09</v>
      </c>
      <c r="N128" s="21">
        <v>8.4948669999999993</v>
      </c>
      <c r="O128" s="5" t="str">
        <f t="shared" si="8"/>
        <v>未买</v>
      </c>
      <c r="R128" s="19">
        <v>126</v>
      </c>
    </row>
    <row r="129" spans="5:18" x14ac:dyDescent="0.15">
      <c r="E129" s="5"/>
      <c r="H129" s="19">
        <v>127</v>
      </c>
      <c r="I129">
        <v>123082</v>
      </c>
      <c r="J129" t="s">
        <v>75</v>
      </c>
      <c r="K129">
        <v>115.929</v>
      </c>
      <c r="L129">
        <v>39.17</v>
      </c>
      <c r="M129">
        <v>155.09899999999999</v>
      </c>
      <c r="N129" s="21">
        <v>4.9930149999999998</v>
      </c>
      <c r="O129" s="5" t="str">
        <f t="shared" si="8"/>
        <v>未买</v>
      </c>
      <c r="R129" s="19">
        <v>127</v>
      </c>
    </row>
    <row r="130" spans="5:18" x14ac:dyDescent="0.15">
      <c r="E130" s="5"/>
      <c r="H130" s="19">
        <v>128</v>
      </c>
      <c r="I130">
        <v>127033</v>
      </c>
      <c r="J130" t="s">
        <v>1895</v>
      </c>
      <c r="K130">
        <v>115.5</v>
      </c>
      <c r="L130">
        <v>39.61</v>
      </c>
      <c r="M130">
        <v>155.11000000000001</v>
      </c>
      <c r="N130" s="21">
        <v>11.594339</v>
      </c>
      <c r="O130" s="5" t="str">
        <f t="shared" si="8"/>
        <v>未买</v>
      </c>
      <c r="R130" s="19">
        <v>128</v>
      </c>
    </row>
    <row r="131" spans="5:18" x14ac:dyDescent="0.15">
      <c r="E131" s="5"/>
      <c r="H131" s="19">
        <v>129</v>
      </c>
      <c r="I131">
        <v>123125</v>
      </c>
      <c r="J131" t="s">
        <v>225</v>
      </c>
      <c r="K131">
        <v>116.3</v>
      </c>
      <c r="L131">
        <v>38.950000000000003</v>
      </c>
      <c r="M131">
        <v>155.25</v>
      </c>
      <c r="N131" s="21">
        <v>8.9997000000000007</v>
      </c>
      <c r="O131" s="5" t="str">
        <f t="shared" si="8"/>
        <v>未买</v>
      </c>
      <c r="R131" s="19">
        <v>129</v>
      </c>
    </row>
    <row r="132" spans="5:18" x14ac:dyDescent="0.15">
      <c r="E132" s="5"/>
      <c r="H132" s="19">
        <v>130</v>
      </c>
      <c r="I132">
        <v>128073</v>
      </c>
      <c r="J132" t="s">
        <v>98</v>
      </c>
      <c r="K132">
        <v>127.178</v>
      </c>
      <c r="L132">
        <v>28.33</v>
      </c>
      <c r="M132">
        <v>155.50799999999998</v>
      </c>
      <c r="N132" s="21">
        <v>2.9874689999999999</v>
      </c>
      <c r="O132" s="5" t="str">
        <f t="shared" ref="O132:O195" si="9">IF(ISNA(MATCH(I132,$A$3:$A$1000,0)),"未买","Yes")</f>
        <v>未买</v>
      </c>
      <c r="R132" s="19">
        <v>130</v>
      </c>
    </row>
    <row r="133" spans="5:18" x14ac:dyDescent="0.15">
      <c r="E133" s="5"/>
      <c r="H133" s="19">
        <v>131</v>
      </c>
      <c r="I133">
        <v>128071</v>
      </c>
      <c r="J133" t="s">
        <v>88</v>
      </c>
      <c r="K133">
        <v>115.083</v>
      </c>
      <c r="L133">
        <v>40.65</v>
      </c>
      <c r="M133">
        <v>155.733</v>
      </c>
      <c r="N133" s="21">
        <v>2.999336</v>
      </c>
      <c r="O133" s="5" t="str">
        <f t="shared" si="9"/>
        <v>未买</v>
      </c>
      <c r="R133" s="19">
        <v>131</v>
      </c>
    </row>
    <row r="134" spans="5:18" x14ac:dyDescent="0.15">
      <c r="E134" s="5"/>
      <c r="H134" s="19">
        <v>132</v>
      </c>
      <c r="I134">
        <v>113048</v>
      </c>
      <c r="J134" t="s">
        <v>1897</v>
      </c>
      <c r="K134">
        <v>128.57</v>
      </c>
      <c r="L134">
        <v>27.17</v>
      </c>
      <c r="M134">
        <v>155.74</v>
      </c>
      <c r="N134" s="21">
        <v>22.965109999999999</v>
      </c>
      <c r="O134" s="5" t="str">
        <f t="shared" si="9"/>
        <v>未买</v>
      </c>
      <c r="R134" s="19">
        <v>132</v>
      </c>
    </row>
    <row r="135" spans="5:18" x14ac:dyDescent="0.15">
      <c r="E135" s="5"/>
      <c r="H135" s="19">
        <v>133</v>
      </c>
      <c r="I135">
        <v>113628</v>
      </c>
      <c r="J135" t="s">
        <v>229</v>
      </c>
      <c r="K135">
        <v>109.2</v>
      </c>
      <c r="L135">
        <v>46.58</v>
      </c>
      <c r="M135">
        <v>155.78</v>
      </c>
      <c r="N135" s="21">
        <v>4.1498100000000004</v>
      </c>
      <c r="O135" s="5" t="str">
        <f t="shared" si="9"/>
        <v>未买</v>
      </c>
      <c r="R135" s="19">
        <v>133</v>
      </c>
    </row>
    <row r="136" spans="5:18" x14ac:dyDescent="0.15">
      <c r="E136" s="5"/>
      <c r="H136" s="19">
        <v>134</v>
      </c>
      <c r="I136">
        <v>110067</v>
      </c>
      <c r="J136" t="s">
        <v>1941</v>
      </c>
      <c r="K136">
        <v>111.82</v>
      </c>
      <c r="L136">
        <v>44.38</v>
      </c>
      <c r="M136">
        <v>156.19999999999999</v>
      </c>
      <c r="N136" s="21">
        <v>27.995080000000002</v>
      </c>
      <c r="O136" s="5" t="str">
        <f t="shared" si="9"/>
        <v>未买</v>
      </c>
      <c r="R136" s="19">
        <v>134</v>
      </c>
    </row>
    <row r="137" spans="5:18" x14ac:dyDescent="0.15">
      <c r="E137" s="5"/>
      <c r="H137" s="19">
        <v>135</v>
      </c>
      <c r="I137">
        <v>111001</v>
      </c>
      <c r="J137" t="s">
        <v>223</v>
      </c>
      <c r="K137">
        <v>124.04</v>
      </c>
      <c r="L137">
        <v>32.200000000000003</v>
      </c>
      <c r="M137">
        <v>156.24</v>
      </c>
      <c r="N137" s="21">
        <v>5.9994699999999996</v>
      </c>
      <c r="O137" s="5" t="str">
        <f t="shared" si="9"/>
        <v>未买</v>
      </c>
      <c r="R137" s="19">
        <v>135</v>
      </c>
    </row>
    <row r="138" spans="5:18" x14ac:dyDescent="0.15">
      <c r="E138" s="5"/>
      <c r="H138" s="19">
        <v>136</v>
      </c>
      <c r="I138">
        <v>110086</v>
      </c>
      <c r="J138" t="s">
        <v>1896</v>
      </c>
      <c r="K138">
        <v>117.45</v>
      </c>
      <c r="L138">
        <v>38.83</v>
      </c>
      <c r="M138">
        <v>156.28</v>
      </c>
      <c r="N138" s="21">
        <v>20</v>
      </c>
      <c r="O138" s="5" t="str">
        <f t="shared" si="9"/>
        <v>未买</v>
      </c>
      <c r="R138" s="19">
        <v>136</v>
      </c>
    </row>
    <row r="139" spans="5:18" x14ac:dyDescent="0.15">
      <c r="E139" s="5"/>
      <c r="H139" s="19">
        <v>137</v>
      </c>
      <c r="I139">
        <v>128134</v>
      </c>
      <c r="J139" t="s">
        <v>1901</v>
      </c>
      <c r="K139">
        <v>125.51</v>
      </c>
      <c r="L139">
        <v>30.86</v>
      </c>
      <c r="M139">
        <v>156.37</v>
      </c>
      <c r="N139" s="21">
        <v>15.728194999999999</v>
      </c>
      <c r="O139" s="5" t="str">
        <f t="shared" si="9"/>
        <v>未买</v>
      </c>
      <c r="R139" s="19">
        <v>137</v>
      </c>
    </row>
    <row r="140" spans="5:18" x14ac:dyDescent="0.15">
      <c r="E140" s="5"/>
      <c r="H140" s="19">
        <v>138</v>
      </c>
      <c r="I140">
        <v>123112</v>
      </c>
      <c r="J140" t="s">
        <v>127</v>
      </c>
      <c r="K140">
        <v>131.40199999999999</v>
      </c>
      <c r="L140">
        <v>24.97</v>
      </c>
      <c r="M140">
        <v>156.37199999999999</v>
      </c>
      <c r="N140" s="21">
        <v>2.4541909999999998</v>
      </c>
      <c r="O140" s="5" t="str">
        <f t="shared" si="9"/>
        <v>未买</v>
      </c>
      <c r="R140" s="19">
        <v>138</v>
      </c>
    </row>
    <row r="141" spans="5:18" x14ac:dyDescent="0.15">
      <c r="E141" s="5"/>
      <c r="H141" s="19">
        <v>139</v>
      </c>
      <c r="I141">
        <v>127013</v>
      </c>
      <c r="J141" t="s">
        <v>193</v>
      </c>
      <c r="K141">
        <v>157.01</v>
      </c>
      <c r="L141">
        <v>-0.63</v>
      </c>
      <c r="M141">
        <v>156.38</v>
      </c>
      <c r="N141" s="21">
        <v>2.3781349999999999</v>
      </c>
      <c r="O141" s="5" t="str">
        <f t="shared" si="9"/>
        <v>未买</v>
      </c>
      <c r="R141" s="19">
        <v>139</v>
      </c>
    </row>
    <row r="142" spans="5:18" x14ac:dyDescent="0.15">
      <c r="E142" s="5"/>
      <c r="H142" s="19">
        <v>140</v>
      </c>
      <c r="I142">
        <v>110060</v>
      </c>
      <c r="J142" t="s">
        <v>215</v>
      </c>
      <c r="K142">
        <v>115.81</v>
      </c>
      <c r="L142">
        <v>40.65</v>
      </c>
      <c r="M142">
        <v>156.46</v>
      </c>
      <c r="N142" s="21">
        <v>7.0625299999999998</v>
      </c>
      <c r="O142" s="5" t="str">
        <f t="shared" si="9"/>
        <v>未买</v>
      </c>
      <c r="R142" s="19">
        <v>140</v>
      </c>
    </row>
    <row r="143" spans="5:18" x14ac:dyDescent="0.15">
      <c r="E143" s="5"/>
      <c r="H143" s="19">
        <v>141</v>
      </c>
      <c r="I143">
        <v>127006</v>
      </c>
      <c r="J143" t="s">
        <v>1936</v>
      </c>
      <c r="K143">
        <v>110.1</v>
      </c>
      <c r="L143">
        <v>46.88</v>
      </c>
      <c r="M143">
        <v>156.97999999999999</v>
      </c>
      <c r="N143" s="21">
        <v>24.072253</v>
      </c>
      <c r="O143" s="5" t="str">
        <f t="shared" si="9"/>
        <v>未买</v>
      </c>
      <c r="R143" s="19">
        <v>141</v>
      </c>
    </row>
    <row r="144" spans="5:18" x14ac:dyDescent="0.15">
      <c r="E144" s="5"/>
      <c r="H144" s="19">
        <v>142</v>
      </c>
      <c r="I144">
        <v>113647</v>
      </c>
      <c r="J144" t="s">
        <v>1911</v>
      </c>
      <c r="K144">
        <v>122.11</v>
      </c>
      <c r="L144">
        <v>35.21</v>
      </c>
      <c r="M144">
        <v>157.32</v>
      </c>
      <c r="N144" s="21">
        <v>15</v>
      </c>
      <c r="O144" s="5" t="str">
        <f t="shared" si="9"/>
        <v>未买</v>
      </c>
      <c r="R144" s="19">
        <v>142</v>
      </c>
    </row>
    <row r="145" spans="5:18" x14ac:dyDescent="0.15">
      <c r="E145" s="5"/>
      <c r="H145" s="19">
        <v>143</v>
      </c>
      <c r="I145">
        <v>123089</v>
      </c>
      <c r="J145" t="s">
        <v>798</v>
      </c>
      <c r="K145">
        <v>144.19</v>
      </c>
      <c r="L145">
        <v>13.37</v>
      </c>
      <c r="M145">
        <v>157.56</v>
      </c>
      <c r="N145" s="21">
        <v>3.0624180000000001</v>
      </c>
      <c r="O145" s="5" t="str">
        <f t="shared" si="9"/>
        <v>未买</v>
      </c>
      <c r="R145" s="19">
        <v>143</v>
      </c>
    </row>
    <row r="146" spans="5:18" x14ac:dyDescent="0.15">
      <c r="E146" s="5"/>
      <c r="H146" s="19">
        <v>144</v>
      </c>
      <c r="I146">
        <v>128135</v>
      </c>
      <c r="J146" t="s">
        <v>1907</v>
      </c>
      <c r="K146">
        <v>125</v>
      </c>
      <c r="L146">
        <v>32.67</v>
      </c>
      <c r="M146">
        <v>157.67000000000002</v>
      </c>
      <c r="N146" s="21">
        <v>13.398632999999998</v>
      </c>
      <c r="O146" s="5" t="str">
        <f t="shared" si="9"/>
        <v>未买</v>
      </c>
      <c r="R146" s="19">
        <v>144</v>
      </c>
    </row>
    <row r="147" spans="5:18" x14ac:dyDescent="0.15">
      <c r="E147" s="5"/>
      <c r="H147" s="19">
        <v>145</v>
      </c>
      <c r="I147">
        <v>123010</v>
      </c>
      <c r="J147" t="s">
        <v>198</v>
      </c>
      <c r="K147">
        <v>111.199</v>
      </c>
      <c r="L147">
        <v>46.49</v>
      </c>
      <c r="M147">
        <v>157.68899999999999</v>
      </c>
      <c r="N147" s="21">
        <v>4.2960060000000002</v>
      </c>
      <c r="O147" s="5" t="str">
        <f t="shared" si="9"/>
        <v>未买</v>
      </c>
      <c r="R147" s="19">
        <v>145</v>
      </c>
    </row>
    <row r="148" spans="5:18" x14ac:dyDescent="0.15">
      <c r="E148" s="5"/>
      <c r="H148" s="19">
        <v>146</v>
      </c>
      <c r="I148">
        <v>113049</v>
      </c>
      <c r="J148" t="s">
        <v>1902</v>
      </c>
      <c r="K148">
        <v>130.94999999999999</v>
      </c>
      <c r="L148">
        <v>26.9</v>
      </c>
      <c r="M148">
        <v>157.85</v>
      </c>
      <c r="N148" s="21">
        <v>34.987200000000001</v>
      </c>
      <c r="O148" s="5" t="str">
        <f t="shared" si="9"/>
        <v>未买</v>
      </c>
      <c r="R148" s="19">
        <v>146</v>
      </c>
    </row>
    <row r="149" spans="5:18" x14ac:dyDescent="0.15">
      <c r="E149" s="5"/>
      <c r="H149" s="19">
        <v>147</v>
      </c>
      <c r="I149">
        <v>113648</v>
      </c>
      <c r="J149" t="s">
        <v>1937</v>
      </c>
      <c r="K149">
        <v>129.72</v>
      </c>
      <c r="L149">
        <v>28.81</v>
      </c>
      <c r="M149">
        <v>158.53</v>
      </c>
      <c r="N149" s="21">
        <v>10</v>
      </c>
      <c r="O149" s="5" t="str">
        <f t="shared" si="9"/>
        <v>未买</v>
      </c>
      <c r="R149" s="19">
        <v>147</v>
      </c>
    </row>
    <row r="150" spans="5:18" x14ac:dyDescent="0.15">
      <c r="E150" s="5"/>
      <c r="H150" s="19">
        <v>148</v>
      </c>
      <c r="I150">
        <v>113051</v>
      </c>
      <c r="J150" t="s">
        <v>1869</v>
      </c>
      <c r="K150">
        <v>139.04</v>
      </c>
      <c r="L150">
        <v>19.86</v>
      </c>
      <c r="M150">
        <v>158.89999999999998</v>
      </c>
      <c r="N150" s="21">
        <v>29.990659999999998</v>
      </c>
      <c r="O150" s="5" t="str">
        <f t="shared" si="9"/>
        <v>未买</v>
      </c>
      <c r="R150" s="19">
        <v>148</v>
      </c>
    </row>
    <row r="151" spans="5:18" x14ac:dyDescent="0.15">
      <c r="E151" s="5"/>
      <c r="H151" s="19">
        <v>149</v>
      </c>
      <c r="I151">
        <v>123100</v>
      </c>
      <c r="J151" t="s">
        <v>104</v>
      </c>
      <c r="K151">
        <v>116.79</v>
      </c>
      <c r="L151">
        <v>42.29</v>
      </c>
      <c r="M151">
        <v>159.08000000000001</v>
      </c>
      <c r="N151" s="21">
        <v>3.7985370000000001</v>
      </c>
      <c r="O151" s="5" t="str">
        <f t="shared" si="9"/>
        <v>未买</v>
      </c>
      <c r="R151" s="19">
        <v>149</v>
      </c>
    </row>
    <row r="152" spans="5:18" x14ac:dyDescent="0.15">
      <c r="E152" s="5"/>
      <c r="H152" s="19">
        <v>150</v>
      </c>
      <c r="I152">
        <v>123120</v>
      </c>
      <c r="J152" t="s">
        <v>239</v>
      </c>
      <c r="K152">
        <v>131.81200000000001</v>
      </c>
      <c r="L152">
        <v>27.37</v>
      </c>
      <c r="M152">
        <v>159.18200000000002</v>
      </c>
      <c r="N152" s="21">
        <v>7.9851729999999996</v>
      </c>
      <c r="O152" s="5" t="str">
        <f t="shared" si="9"/>
        <v>未买</v>
      </c>
      <c r="R152" s="19">
        <v>150</v>
      </c>
    </row>
    <row r="153" spans="5:18" x14ac:dyDescent="0.15">
      <c r="E153" s="5"/>
      <c r="H153" s="19">
        <v>151</v>
      </c>
      <c r="I153">
        <v>127054</v>
      </c>
      <c r="J153" t="s">
        <v>785</v>
      </c>
      <c r="K153">
        <v>115.35</v>
      </c>
      <c r="L153">
        <v>43.9</v>
      </c>
      <c r="M153">
        <v>159.25</v>
      </c>
      <c r="N153" s="21">
        <v>5.1364000000000001</v>
      </c>
      <c r="O153" s="5" t="str">
        <f t="shared" si="9"/>
        <v>未买</v>
      </c>
      <c r="R153" s="19">
        <v>151</v>
      </c>
    </row>
    <row r="154" spans="5:18" x14ac:dyDescent="0.15">
      <c r="E154" s="5"/>
      <c r="H154" s="19">
        <v>152</v>
      </c>
      <c r="I154">
        <v>113606</v>
      </c>
      <c r="J154" t="s">
        <v>212</v>
      </c>
      <c r="K154">
        <v>111.62</v>
      </c>
      <c r="L154">
        <v>48.35</v>
      </c>
      <c r="M154">
        <v>159.97</v>
      </c>
      <c r="N154" s="21">
        <v>5.9988799999999998</v>
      </c>
      <c r="O154" s="5" t="str">
        <f t="shared" si="9"/>
        <v>未买</v>
      </c>
      <c r="R154" s="19">
        <v>152</v>
      </c>
    </row>
    <row r="155" spans="5:18" x14ac:dyDescent="0.15">
      <c r="E155" s="5"/>
      <c r="H155" s="19">
        <v>153</v>
      </c>
      <c r="I155">
        <v>128097</v>
      </c>
      <c r="J155" t="s">
        <v>111</v>
      </c>
      <c r="K155">
        <v>120.48</v>
      </c>
      <c r="L155">
        <v>39.74</v>
      </c>
      <c r="M155">
        <v>160.22</v>
      </c>
      <c r="N155" s="21">
        <v>4.5856839999999996</v>
      </c>
      <c r="O155" s="5" t="str">
        <f t="shared" si="9"/>
        <v>未买</v>
      </c>
      <c r="R155" s="19">
        <v>153</v>
      </c>
    </row>
    <row r="156" spans="5:18" x14ac:dyDescent="0.15">
      <c r="E156" s="5"/>
      <c r="H156" s="19">
        <v>154</v>
      </c>
      <c r="I156">
        <v>113602</v>
      </c>
      <c r="J156" t="s">
        <v>1921</v>
      </c>
      <c r="K156">
        <v>121.09</v>
      </c>
      <c r="L156">
        <v>39.17</v>
      </c>
      <c r="M156">
        <v>160.26</v>
      </c>
      <c r="N156" s="21">
        <v>17.798739999999999</v>
      </c>
      <c r="O156" s="5" t="str">
        <f t="shared" si="9"/>
        <v>未买</v>
      </c>
      <c r="R156" s="19">
        <v>154</v>
      </c>
    </row>
    <row r="157" spans="5:18" x14ac:dyDescent="0.15">
      <c r="E157" s="5"/>
      <c r="H157" s="19">
        <v>155</v>
      </c>
      <c r="I157">
        <v>128137</v>
      </c>
      <c r="J157" t="s">
        <v>1923</v>
      </c>
      <c r="K157">
        <v>122</v>
      </c>
      <c r="L157">
        <v>38.4</v>
      </c>
      <c r="M157">
        <v>160.4</v>
      </c>
      <c r="N157" s="21">
        <v>5.9940730000000002</v>
      </c>
      <c r="O157" s="5" t="str">
        <f t="shared" si="9"/>
        <v>未买</v>
      </c>
      <c r="R157" s="19">
        <v>155</v>
      </c>
    </row>
    <row r="158" spans="5:18" x14ac:dyDescent="0.15">
      <c r="E158" s="5"/>
      <c r="H158" s="19">
        <v>156</v>
      </c>
      <c r="I158">
        <v>113637</v>
      </c>
      <c r="J158" t="s">
        <v>273</v>
      </c>
      <c r="K158">
        <v>135.97</v>
      </c>
      <c r="L158">
        <v>24.56</v>
      </c>
      <c r="M158">
        <v>160.53</v>
      </c>
      <c r="N158" s="21">
        <v>8</v>
      </c>
      <c r="O158" s="5" t="str">
        <f t="shared" si="9"/>
        <v>未买</v>
      </c>
      <c r="R158" s="19">
        <v>156</v>
      </c>
    </row>
    <row r="159" spans="5:18" x14ac:dyDescent="0.15">
      <c r="E159" s="5"/>
      <c r="H159" s="19">
        <v>157</v>
      </c>
      <c r="I159">
        <v>113030</v>
      </c>
      <c r="J159" t="s">
        <v>96</v>
      </c>
      <c r="K159">
        <v>125.79</v>
      </c>
      <c r="L159">
        <v>34.75</v>
      </c>
      <c r="M159">
        <v>160.54000000000002</v>
      </c>
      <c r="N159" s="21">
        <v>2.9510800000000001</v>
      </c>
      <c r="O159" s="5" t="str">
        <f t="shared" si="9"/>
        <v>未买</v>
      </c>
      <c r="R159" s="19">
        <v>157</v>
      </c>
    </row>
    <row r="160" spans="5:18" x14ac:dyDescent="0.15">
      <c r="E160" s="5"/>
      <c r="H160" s="19">
        <v>158</v>
      </c>
      <c r="I160">
        <v>127014</v>
      </c>
      <c r="J160" t="s">
        <v>231</v>
      </c>
      <c r="K160">
        <v>134.5</v>
      </c>
      <c r="L160">
        <v>26.15</v>
      </c>
      <c r="M160">
        <v>160.65</v>
      </c>
      <c r="N160" s="21">
        <v>5.3444160000000007</v>
      </c>
      <c r="O160" s="5" t="str">
        <f t="shared" si="9"/>
        <v>未买</v>
      </c>
      <c r="R160" s="19">
        <v>158</v>
      </c>
    </row>
    <row r="161" spans="5:18" x14ac:dyDescent="0.15">
      <c r="E161" s="5"/>
      <c r="H161" s="19">
        <v>159</v>
      </c>
      <c r="I161">
        <v>113601</v>
      </c>
      <c r="J161" t="s">
        <v>65</v>
      </c>
      <c r="K161">
        <v>114.37</v>
      </c>
      <c r="L161">
        <v>46.35</v>
      </c>
      <c r="M161">
        <v>160.72</v>
      </c>
      <c r="N161" s="21">
        <v>5.4290200000000004</v>
      </c>
      <c r="O161" s="5" t="str">
        <f t="shared" si="9"/>
        <v>未买</v>
      </c>
      <c r="R161" s="19">
        <v>159</v>
      </c>
    </row>
    <row r="162" spans="5:18" x14ac:dyDescent="0.15">
      <c r="E162" s="5"/>
      <c r="H162" s="19">
        <v>160</v>
      </c>
      <c r="I162">
        <v>128049</v>
      </c>
      <c r="J162" t="s">
        <v>205</v>
      </c>
      <c r="K162">
        <v>110.96899999999999</v>
      </c>
      <c r="L162">
        <v>49.8</v>
      </c>
      <c r="M162">
        <v>160.76900000000001</v>
      </c>
      <c r="N162" s="21">
        <v>3.6314389999999999</v>
      </c>
      <c r="O162" s="5" t="str">
        <f t="shared" si="9"/>
        <v>未买</v>
      </c>
      <c r="R162" s="19">
        <v>160</v>
      </c>
    </row>
    <row r="163" spans="5:18" x14ac:dyDescent="0.15">
      <c r="E163" s="5"/>
      <c r="H163" s="19">
        <v>161</v>
      </c>
      <c r="I163">
        <v>118003</v>
      </c>
      <c r="J163" t="s">
        <v>253</v>
      </c>
      <c r="K163">
        <v>126.06</v>
      </c>
      <c r="L163">
        <v>34.71</v>
      </c>
      <c r="M163">
        <v>160.77000000000001</v>
      </c>
      <c r="N163" s="21">
        <v>7.9993499999999997</v>
      </c>
      <c r="O163" s="5" t="str">
        <f t="shared" si="9"/>
        <v>未买</v>
      </c>
      <c r="R163" s="19">
        <v>161</v>
      </c>
    </row>
    <row r="164" spans="5:18" x14ac:dyDescent="0.15">
      <c r="E164" s="5"/>
      <c r="H164" s="19">
        <v>162</v>
      </c>
      <c r="I164">
        <v>113579</v>
      </c>
      <c r="J164" t="s">
        <v>108</v>
      </c>
      <c r="K164">
        <v>127.04</v>
      </c>
      <c r="L164">
        <v>33.81</v>
      </c>
      <c r="M164">
        <v>160.85000000000002</v>
      </c>
      <c r="N164" s="21">
        <v>5.0250199999999996</v>
      </c>
      <c r="O164" s="5" t="str">
        <f t="shared" si="9"/>
        <v>未买</v>
      </c>
      <c r="R164" s="19">
        <v>162</v>
      </c>
    </row>
    <row r="165" spans="5:18" x14ac:dyDescent="0.15">
      <c r="E165" s="5"/>
      <c r="H165" s="19">
        <v>163</v>
      </c>
      <c r="I165">
        <v>123137</v>
      </c>
      <c r="J165" t="s">
        <v>786</v>
      </c>
      <c r="K165">
        <v>130.29900000000001</v>
      </c>
      <c r="L165">
        <v>30.57</v>
      </c>
      <c r="M165">
        <v>160.869</v>
      </c>
      <c r="N165" s="21">
        <v>8.9700000000000006</v>
      </c>
      <c r="O165" s="5" t="str">
        <f t="shared" si="9"/>
        <v>未买</v>
      </c>
      <c r="R165" s="19">
        <v>163</v>
      </c>
    </row>
    <row r="166" spans="5:18" x14ac:dyDescent="0.15">
      <c r="E166" s="5"/>
      <c r="H166" s="19">
        <v>164</v>
      </c>
      <c r="I166">
        <v>127050</v>
      </c>
      <c r="J166" t="s">
        <v>1940</v>
      </c>
      <c r="K166">
        <v>128.76599999999999</v>
      </c>
      <c r="L166">
        <v>32.31</v>
      </c>
      <c r="M166">
        <v>161.07599999999999</v>
      </c>
      <c r="N166" s="21">
        <v>21.989139000000002</v>
      </c>
      <c r="O166" s="5" t="str">
        <f t="shared" si="9"/>
        <v>未买</v>
      </c>
      <c r="R166" s="19">
        <v>164</v>
      </c>
    </row>
    <row r="167" spans="5:18" x14ac:dyDescent="0.15">
      <c r="E167" s="5"/>
      <c r="H167" s="19">
        <v>165</v>
      </c>
      <c r="I167">
        <v>113524</v>
      </c>
      <c r="J167" t="s">
        <v>222</v>
      </c>
      <c r="K167">
        <v>116.32</v>
      </c>
      <c r="L167">
        <v>44.78</v>
      </c>
      <c r="M167">
        <v>161.1</v>
      </c>
      <c r="N167" s="21">
        <v>3.2980100000000001</v>
      </c>
      <c r="O167" s="5" t="str">
        <f t="shared" si="9"/>
        <v>未买</v>
      </c>
      <c r="R167" s="19">
        <v>165</v>
      </c>
    </row>
    <row r="168" spans="5:18" x14ac:dyDescent="0.15">
      <c r="E168" s="5"/>
      <c r="H168" s="19">
        <v>166</v>
      </c>
      <c r="I168">
        <v>110056</v>
      </c>
      <c r="J168" t="s">
        <v>1932</v>
      </c>
      <c r="K168">
        <v>127</v>
      </c>
      <c r="L168">
        <v>34.36</v>
      </c>
      <c r="M168">
        <v>161.36000000000001</v>
      </c>
      <c r="N168" s="21">
        <v>17.100950000000001</v>
      </c>
      <c r="O168" s="5" t="str">
        <f t="shared" si="9"/>
        <v>未买</v>
      </c>
      <c r="R168" s="19">
        <v>166</v>
      </c>
    </row>
    <row r="169" spans="5:18" x14ac:dyDescent="0.15">
      <c r="E169" s="5"/>
      <c r="H169" s="19">
        <v>167</v>
      </c>
      <c r="I169">
        <v>127056</v>
      </c>
      <c r="J169" t="s">
        <v>1929</v>
      </c>
      <c r="K169">
        <v>116.2</v>
      </c>
      <c r="L169">
        <v>45.18</v>
      </c>
      <c r="M169">
        <v>161.38</v>
      </c>
      <c r="N169" s="21">
        <v>50</v>
      </c>
      <c r="O169" s="5" t="str">
        <f t="shared" si="9"/>
        <v>未买</v>
      </c>
      <c r="R169" s="19">
        <v>167</v>
      </c>
    </row>
    <row r="170" spans="5:18" x14ac:dyDescent="0.15">
      <c r="E170" s="5"/>
      <c r="H170" s="19">
        <v>168</v>
      </c>
      <c r="I170">
        <v>113504</v>
      </c>
      <c r="J170" t="s">
        <v>128</v>
      </c>
      <c r="K170">
        <v>148.56</v>
      </c>
      <c r="L170">
        <v>13.12</v>
      </c>
      <c r="M170">
        <v>161.68</v>
      </c>
      <c r="N170" s="21">
        <v>4.6275899999999996</v>
      </c>
      <c r="O170" s="5" t="str">
        <f t="shared" si="9"/>
        <v>未买</v>
      </c>
      <c r="R170" s="19">
        <v>168</v>
      </c>
    </row>
    <row r="171" spans="5:18" x14ac:dyDescent="0.15">
      <c r="E171" s="5"/>
      <c r="H171" s="19">
        <v>169</v>
      </c>
      <c r="I171">
        <v>113567</v>
      </c>
      <c r="J171" t="s">
        <v>1838</v>
      </c>
      <c r="K171">
        <v>137.91999999999999</v>
      </c>
      <c r="L171">
        <v>23.79</v>
      </c>
      <c r="M171">
        <v>161.70999999999998</v>
      </c>
      <c r="N171" s="21">
        <v>1.9354</v>
      </c>
      <c r="O171" s="5" t="str">
        <f t="shared" si="9"/>
        <v>未买</v>
      </c>
      <c r="R171" s="19">
        <v>169</v>
      </c>
    </row>
    <row r="172" spans="5:18" x14ac:dyDescent="0.15">
      <c r="E172" s="5"/>
      <c r="H172" s="19">
        <v>170</v>
      </c>
      <c r="I172">
        <v>128076</v>
      </c>
      <c r="J172" t="s">
        <v>130</v>
      </c>
      <c r="K172">
        <v>125.8</v>
      </c>
      <c r="L172">
        <v>36</v>
      </c>
      <c r="M172">
        <v>161.80000000000001</v>
      </c>
      <c r="N172" s="21">
        <v>2.1374019999999998</v>
      </c>
      <c r="O172" s="5" t="str">
        <f t="shared" si="9"/>
        <v>未买</v>
      </c>
      <c r="R172" s="19">
        <v>170</v>
      </c>
    </row>
    <row r="173" spans="5:18" x14ac:dyDescent="0.15">
      <c r="E173" s="5"/>
      <c r="H173" s="19">
        <v>171</v>
      </c>
      <c r="I173">
        <v>123145</v>
      </c>
      <c r="J173" t="s">
        <v>1918</v>
      </c>
      <c r="K173">
        <v>131.12</v>
      </c>
      <c r="L173">
        <v>30.68</v>
      </c>
      <c r="M173">
        <v>161.80000000000001</v>
      </c>
      <c r="N173" s="21">
        <v>11.5</v>
      </c>
      <c r="O173" s="5" t="str">
        <f t="shared" si="9"/>
        <v>未买</v>
      </c>
      <c r="R173" s="19">
        <v>171</v>
      </c>
    </row>
    <row r="174" spans="5:18" x14ac:dyDescent="0.15">
      <c r="E174" s="5"/>
      <c r="H174" s="19">
        <v>172</v>
      </c>
      <c r="I174">
        <v>113618</v>
      </c>
      <c r="J174" t="s">
        <v>1875</v>
      </c>
      <c r="K174">
        <v>141.72</v>
      </c>
      <c r="L174">
        <v>20.260000000000002</v>
      </c>
      <c r="M174">
        <v>161.97999999999999</v>
      </c>
      <c r="N174" s="21">
        <v>4.7702799999999996</v>
      </c>
      <c r="O174" s="5" t="str">
        <f t="shared" si="9"/>
        <v>未买</v>
      </c>
      <c r="R174" s="19">
        <v>172</v>
      </c>
    </row>
    <row r="175" spans="5:18" x14ac:dyDescent="0.15">
      <c r="E175" s="5"/>
      <c r="H175" s="19">
        <v>173</v>
      </c>
      <c r="I175">
        <v>113519</v>
      </c>
      <c r="J175" t="s">
        <v>174</v>
      </c>
      <c r="K175">
        <v>117.38</v>
      </c>
      <c r="L175">
        <v>44.63</v>
      </c>
      <c r="M175">
        <v>162.01</v>
      </c>
      <c r="N175" s="21">
        <v>6.9611099999999997</v>
      </c>
      <c r="O175" s="5" t="str">
        <f t="shared" si="9"/>
        <v>未买</v>
      </c>
      <c r="R175" s="19">
        <v>173</v>
      </c>
    </row>
    <row r="176" spans="5:18" x14ac:dyDescent="0.15">
      <c r="E176" s="5"/>
      <c r="H176" s="19">
        <v>174</v>
      </c>
      <c r="I176">
        <v>123118</v>
      </c>
      <c r="J176" t="s">
        <v>241</v>
      </c>
      <c r="K176">
        <v>114.83</v>
      </c>
      <c r="L176">
        <v>47.27</v>
      </c>
      <c r="M176">
        <v>162.1</v>
      </c>
      <c r="N176" s="21">
        <v>3.1992880000000001</v>
      </c>
      <c r="O176" s="5" t="str">
        <f t="shared" si="9"/>
        <v>未买</v>
      </c>
      <c r="R176" s="19">
        <v>174</v>
      </c>
    </row>
    <row r="177" spans="5:18" x14ac:dyDescent="0.15">
      <c r="E177" s="5"/>
      <c r="H177" s="19">
        <v>175</v>
      </c>
      <c r="I177">
        <v>111004</v>
      </c>
      <c r="J177" t="s">
        <v>816</v>
      </c>
      <c r="K177">
        <v>143.22999999999999</v>
      </c>
      <c r="L177">
        <v>18.88</v>
      </c>
      <c r="M177">
        <v>162.10999999999999</v>
      </c>
      <c r="N177" s="21">
        <v>6.73</v>
      </c>
      <c r="O177" s="5" t="str">
        <f t="shared" si="9"/>
        <v>未买</v>
      </c>
      <c r="R177" s="19">
        <v>175</v>
      </c>
    </row>
    <row r="178" spans="5:18" x14ac:dyDescent="0.15">
      <c r="E178" s="5"/>
      <c r="H178" s="19">
        <v>176</v>
      </c>
      <c r="I178">
        <v>128033</v>
      </c>
      <c r="J178" t="s">
        <v>69</v>
      </c>
      <c r="K178">
        <v>119.88800000000001</v>
      </c>
      <c r="L178">
        <v>42.28</v>
      </c>
      <c r="M178">
        <v>162.16800000000001</v>
      </c>
      <c r="N178" s="21">
        <v>2.973023</v>
      </c>
      <c r="O178" s="5" t="str">
        <f t="shared" si="9"/>
        <v>未买</v>
      </c>
      <c r="R178" s="19">
        <v>176</v>
      </c>
    </row>
    <row r="179" spans="5:18" x14ac:dyDescent="0.15">
      <c r="E179" s="5"/>
      <c r="H179" s="19">
        <v>177</v>
      </c>
      <c r="I179">
        <v>113021</v>
      </c>
      <c r="J179" t="s">
        <v>1942</v>
      </c>
      <c r="K179">
        <v>109.2</v>
      </c>
      <c r="L179">
        <v>53.74</v>
      </c>
      <c r="M179">
        <v>162.94</v>
      </c>
      <c r="N179" s="21">
        <v>399.99664999999999</v>
      </c>
      <c r="O179" s="5" t="str">
        <f t="shared" si="9"/>
        <v>未买</v>
      </c>
      <c r="R179" s="19">
        <v>177</v>
      </c>
    </row>
    <row r="180" spans="5:18" x14ac:dyDescent="0.15">
      <c r="E180" s="5"/>
      <c r="H180" s="19">
        <v>178</v>
      </c>
      <c r="I180">
        <v>123035</v>
      </c>
      <c r="J180" t="s">
        <v>124</v>
      </c>
      <c r="K180">
        <v>126.294</v>
      </c>
      <c r="L180">
        <v>36.79</v>
      </c>
      <c r="M180">
        <v>163.084</v>
      </c>
      <c r="N180" s="21">
        <v>7.9877429999999991</v>
      </c>
      <c r="O180" s="5" t="str">
        <f t="shared" si="9"/>
        <v>未买</v>
      </c>
      <c r="R180" s="19">
        <v>178</v>
      </c>
    </row>
    <row r="181" spans="5:18" x14ac:dyDescent="0.15">
      <c r="E181" s="5"/>
      <c r="H181" s="19">
        <v>179</v>
      </c>
      <c r="I181">
        <v>128132</v>
      </c>
      <c r="J181" t="s">
        <v>160</v>
      </c>
      <c r="K181">
        <v>118.95</v>
      </c>
      <c r="L181">
        <v>44.44</v>
      </c>
      <c r="M181">
        <v>163.38999999999999</v>
      </c>
      <c r="N181" s="21">
        <v>8.4894379999999998</v>
      </c>
      <c r="O181" s="5" t="str">
        <f t="shared" si="9"/>
        <v>未买</v>
      </c>
      <c r="R181" s="19">
        <v>179</v>
      </c>
    </row>
    <row r="182" spans="5:18" x14ac:dyDescent="0.15">
      <c r="E182" s="5"/>
      <c r="H182" s="19">
        <v>180</v>
      </c>
      <c r="I182">
        <v>127030</v>
      </c>
      <c r="J182" t="s">
        <v>783</v>
      </c>
      <c r="K182">
        <v>150.58799999999999</v>
      </c>
      <c r="L182">
        <v>12.88</v>
      </c>
      <c r="M182">
        <v>163.46799999999999</v>
      </c>
      <c r="N182" s="21">
        <v>49.981955999999997</v>
      </c>
      <c r="O182" s="5" t="str">
        <f t="shared" si="9"/>
        <v>未买</v>
      </c>
      <c r="R182" s="19">
        <v>180</v>
      </c>
    </row>
    <row r="183" spans="5:18" x14ac:dyDescent="0.15">
      <c r="E183" s="5"/>
      <c r="H183" s="19">
        <v>181</v>
      </c>
      <c r="I183">
        <v>123002</v>
      </c>
      <c r="J183" t="s">
        <v>81</v>
      </c>
      <c r="K183">
        <v>116.996</v>
      </c>
      <c r="L183">
        <v>46.52</v>
      </c>
      <c r="M183">
        <v>163.51599999999999</v>
      </c>
      <c r="N183" s="21">
        <v>2.5214889999999999</v>
      </c>
      <c r="O183" s="5" t="str">
        <f t="shared" si="9"/>
        <v>Yes</v>
      </c>
      <c r="R183" s="19">
        <v>181</v>
      </c>
    </row>
    <row r="184" spans="5:18" x14ac:dyDescent="0.15">
      <c r="E184" s="5"/>
      <c r="H184" s="19">
        <v>182</v>
      </c>
      <c r="I184">
        <v>123077</v>
      </c>
      <c r="J184" t="s">
        <v>216</v>
      </c>
      <c r="K184">
        <v>127</v>
      </c>
      <c r="L184">
        <v>36.74</v>
      </c>
      <c r="M184">
        <v>163.74</v>
      </c>
      <c r="N184" s="21">
        <v>9.3675669999999993</v>
      </c>
      <c r="O184" s="5" t="str">
        <f t="shared" si="9"/>
        <v>未买</v>
      </c>
      <c r="R184" s="19">
        <v>182</v>
      </c>
    </row>
    <row r="185" spans="5:18" x14ac:dyDescent="0.15">
      <c r="E185" s="5"/>
      <c r="H185" s="19">
        <v>183</v>
      </c>
      <c r="I185">
        <v>123110</v>
      </c>
      <c r="J185" t="s">
        <v>107</v>
      </c>
      <c r="K185">
        <v>131.9</v>
      </c>
      <c r="L185">
        <v>32.11</v>
      </c>
      <c r="M185">
        <v>164.01</v>
      </c>
      <c r="N185" s="21">
        <v>2.6979679999999999</v>
      </c>
      <c r="O185" s="5" t="str">
        <f t="shared" si="9"/>
        <v>未买</v>
      </c>
      <c r="R185" s="19">
        <v>183</v>
      </c>
    </row>
    <row r="186" spans="5:18" x14ac:dyDescent="0.15">
      <c r="E186" s="5"/>
      <c r="H186" s="19">
        <v>184</v>
      </c>
      <c r="I186">
        <v>113642</v>
      </c>
      <c r="J186" t="s">
        <v>1917</v>
      </c>
      <c r="K186">
        <v>149.16999999999999</v>
      </c>
      <c r="L186">
        <v>14.93</v>
      </c>
      <c r="M186">
        <v>164.1</v>
      </c>
      <c r="N186" s="21">
        <v>24.7</v>
      </c>
      <c r="O186" s="5" t="str">
        <f t="shared" si="9"/>
        <v>未买</v>
      </c>
      <c r="R186" s="19">
        <v>184</v>
      </c>
    </row>
    <row r="187" spans="5:18" x14ac:dyDescent="0.15">
      <c r="E187" s="5"/>
      <c r="H187" s="19">
        <v>185</v>
      </c>
      <c r="I187">
        <v>118001</v>
      </c>
      <c r="J187" t="s">
        <v>243</v>
      </c>
      <c r="K187">
        <v>140.13999999999999</v>
      </c>
      <c r="L187">
        <v>24.19</v>
      </c>
      <c r="M187">
        <v>164.32999999999998</v>
      </c>
      <c r="N187" s="21">
        <v>5.9984200000000003</v>
      </c>
      <c r="O187" s="5" t="str">
        <f t="shared" si="9"/>
        <v>未买</v>
      </c>
      <c r="R187" s="19">
        <v>185</v>
      </c>
    </row>
    <row r="188" spans="5:18" x14ac:dyDescent="0.15">
      <c r="E188" s="5"/>
      <c r="H188" s="19">
        <v>186</v>
      </c>
      <c r="I188">
        <v>123121</v>
      </c>
      <c r="J188" t="s">
        <v>237</v>
      </c>
      <c r="K188">
        <v>151</v>
      </c>
      <c r="L188">
        <v>13.37</v>
      </c>
      <c r="M188">
        <v>164.37</v>
      </c>
      <c r="N188" s="21">
        <v>8.3953559999999996</v>
      </c>
      <c r="O188" s="5" t="str">
        <f t="shared" si="9"/>
        <v>未买</v>
      </c>
      <c r="R188" s="19">
        <v>186</v>
      </c>
    </row>
    <row r="189" spans="5:18" x14ac:dyDescent="0.15">
      <c r="E189" s="5"/>
      <c r="H189" s="19">
        <v>187</v>
      </c>
      <c r="I189">
        <v>127017</v>
      </c>
      <c r="J189" t="s">
        <v>197</v>
      </c>
      <c r="K189">
        <v>120.9</v>
      </c>
      <c r="L189">
        <v>43.86</v>
      </c>
      <c r="M189">
        <v>164.76</v>
      </c>
      <c r="N189" s="21">
        <v>9.9959450000000007</v>
      </c>
      <c r="O189" s="5" t="str">
        <f t="shared" si="9"/>
        <v>未买</v>
      </c>
      <c r="R189" s="19">
        <v>187</v>
      </c>
    </row>
    <row r="190" spans="5:18" x14ac:dyDescent="0.15">
      <c r="E190" s="5"/>
      <c r="H190" s="19">
        <v>188</v>
      </c>
      <c r="I190">
        <v>113588</v>
      </c>
      <c r="J190" t="s">
        <v>219</v>
      </c>
      <c r="K190">
        <v>112.23</v>
      </c>
      <c r="L190">
        <v>52.53</v>
      </c>
      <c r="M190">
        <v>164.76</v>
      </c>
      <c r="N190" s="21">
        <v>5.49885</v>
      </c>
      <c r="O190" s="5" t="str">
        <f t="shared" si="9"/>
        <v>未买</v>
      </c>
      <c r="R190" s="19">
        <v>188</v>
      </c>
    </row>
    <row r="191" spans="5:18" x14ac:dyDescent="0.15">
      <c r="E191" s="5"/>
      <c r="H191" s="19">
        <v>189</v>
      </c>
      <c r="I191">
        <v>127015</v>
      </c>
      <c r="J191" t="s">
        <v>169</v>
      </c>
      <c r="K191">
        <v>116.999</v>
      </c>
      <c r="L191">
        <v>47.93</v>
      </c>
      <c r="M191">
        <v>164.929</v>
      </c>
      <c r="N191" s="21">
        <v>9.4969169999999998</v>
      </c>
      <c r="O191" s="5" t="str">
        <f t="shared" si="9"/>
        <v>未买</v>
      </c>
      <c r="R191" s="19">
        <v>189</v>
      </c>
    </row>
    <row r="192" spans="5:18" x14ac:dyDescent="0.15">
      <c r="E192" s="5"/>
      <c r="H192" s="19">
        <v>190</v>
      </c>
      <c r="I192">
        <v>113047</v>
      </c>
      <c r="J192" t="s">
        <v>1910</v>
      </c>
      <c r="K192">
        <v>131.36000000000001</v>
      </c>
      <c r="L192">
        <v>33.590000000000003</v>
      </c>
      <c r="M192">
        <v>164.95000000000002</v>
      </c>
      <c r="N192" s="21">
        <v>14.98789</v>
      </c>
      <c r="O192" s="5" t="str">
        <f t="shared" si="9"/>
        <v>未买</v>
      </c>
      <c r="R192" s="19">
        <v>190</v>
      </c>
    </row>
    <row r="193" spans="5:18" x14ac:dyDescent="0.15">
      <c r="E193" s="5"/>
      <c r="H193" s="19">
        <v>191</v>
      </c>
      <c r="I193">
        <v>127026</v>
      </c>
      <c r="J193" t="s">
        <v>235</v>
      </c>
      <c r="K193">
        <v>116.63</v>
      </c>
      <c r="L193">
        <v>48.8</v>
      </c>
      <c r="M193">
        <v>165.43</v>
      </c>
      <c r="N193" s="21">
        <v>6.9970939999999997</v>
      </c>
      <c r="O193" s="5" t="str">
        <f t="shared" si="9"/>
        <v>未买</v>
      </c>
      <c r="R193" s="19">
        <v>191</v>
      </c>
    </row>
    <row r="194" spans="5:18" x14ac:dyDescent="0.15">
      <c r="E194" s="5"/>
      <c r="H194" s="19">
        <v>192</v>
      </c>
      <c r="I194">
        <v>123103</v>
      </c>
      <c r="J194" t="s">
        <v>818</v>
      </c>
      <c r="K194">
        <v>151.90100000000001</v>
      </c>
      <c r="L194">
        <v>13.6</v>
      </c>
      <c r="M194">
        <v>165.501</v>
      </c>
      <c r="N194" s="21">
        <v>2.4949330000000005</v>
      </c>
      <c r="O194" s="5" t="str">
        <f t="shared" si="9"/>
        <v>未买</v>
      </c>
      <c r="R194" s="19">
        <v>192</v>
      </c>
    </row>
    <row r="195" spans="5:18" x14ac:dyDescent="0.15">
      <c r="E195" s="5"/>
      <c r="H195" s="19">
        <v>193</v>
      </c>
      <c r="I195">
        <v>118005</v>
      </c>
      <c r="J195" t="s">
        <v>787</v>
      </c>
      <c r="K195">
        <v>132.54</v>
      </c>
      <c r="L195">
        <v>33.21</v>
      </c>
      <c r="M195">
        <v>165.75</v>
      </c>
      <c r="N195" s="21">
        <v>8.3000000000000007</v>
      </c>
      <c r="O195" s="5" t="str">
        <f t="shared" si="9"/>
        <v>未买</v>
      </c>
      <c r="R195" s="19">
        <v>193</v>
      </c>
    </row>
    <row r="196" spans="5:18" x14ac:dyDescent="0.15">
      <c r="E196" s="5"/>
      <c r="H196" s="19">
        <v>194</v>
      </c>
      <c r="I196">
        <v>123044</v>
      </c>
      <c r="J196" t="s">
        <v>170</v>
      </c>
      <c r="K196">
        <v>116.25</v>
      </c>
      <c r="L196">
        <v>49.88</v>
      </c>
      <c r="M196">
        <v>166.13</v>
      </c>
      <c r="N196" s="21">
        <v>5.4958999999999998</v>
      </c>
      <c r="O196" s="5" t="str">
        <f t="shared" ref="O196:O259" si="10">IF(ISNA(MATCH(I196,$A$3:$A$1000,0)),"未买","Yes")</f>
        <v>未买</v>
      </c>
      <c r="R196" s="19">
        <v>194</v>
      </c>
    </row>
    <row r="197" spans="5:18" x14ac:dyDescent="0.15">
      <c r="E197" s="5"/>
      <c r="H197" s="19">
        <v>195</v>
      </c>
      <c r="I197">
        <v>128128</v>
      </c>
      <c r="J197" t="s">
        <v>1830</v>
      </c>
      <c r="K197">
        <v>158.11500000000001</v>
      </c>
      <c r="L197">
        <v>8.26</v>
      </c>
      <c r="M197">
        <v>166.375</v>
      </c>
      <c r="N197" s="21">
        <v>6.8042189999999998</v>
      </c>
      <c r="O197" s="5" t="str">
        <f t="shared" si="10"/>
        <v>未买</v>
      </c>
      <c r="R197" s="19">
        <v>195</v>
      </c>
    </row>
    <row r="198" spans="5:18" x14ac:dyDescent="0.15">
      <c r="E198" s="5"/>
      <c r="H198" s="19">
        <v>196</v>
      </c>
      <c r="I198">
        <v>113610</v>
      </c>
      <c r="J198" t="s">
        <v>112</v>
      </c>
      <c r="K198">
        <v>112.45</v>
      </c>
      <c r="L198">
        <v>54.66</v>
      </c>
      <c r="M198">
        <v>167.11</v>
      </c>
      <c r="N198" s="21">
        <v>4.5794600000000001</v>
      </c>
      <c r="O198" s="5" t="str">
        <f t="shared" si="10"/>
        <v>未买</v>
      </c>
      <c r="R198" s="19">
        <v>196</v>
      </c>
    </row>
    <row r="199" spans="5:18" x14ac:dyDescent="0.15">
      <c r="E199" s="5"/>
      <c r="H199" s="19">
        <v>197</v>
      </c>
      <c r="I199">
        <v>123142</v>
      </c>
      <c r="J199" t="s">
        <v>782</v>
      </c>
      <c r="K199">
        <v>119.5</v>
      </c>
      <c r="L199">
        <v>47.69</v>
      </c>
      <c r="M199">
        <v>167.19</v>
      </c>
      <c r="N199" s="21">
        <v>5.5</v>
      </c>
      <c r="O199" s="5" t="str">
        <f t="shared" si="10"/>
        <v>未买</v>
      </c>
      <c r="R199" s="19">
        <v>197</v>
      </c>
    </row>
    <row r="200" spans="5:18" x14ac:dyDescent="0.15">
      <c r="E200" s="5"/>
      <c r="H200" s="19">
        <v>198</v>
      </c>
      <c r="I200">
        <v>118000</v>
      </c>
      <c r="J200" t="s">
        <v>1908</v>
      </c>
      <c r="K200">
        <v>139.02000000000001</v>
      </c>
      <c r="L200">
        <v>28.22</v>
      </c>
      <c r="M200">
        <v>167.24</v>
      </c>
      <c r="N200" s="21">
        <v>9.7853200000000005</v>
      </c>
      <c r="O200" s="5" t="str">
        <f t="shared" si="10"/>
        <v>未买</v>
      </c>
      <c r="R200" s="19">
        <v>198</v>
      </c>
    </row>
    <row r="201" spans="5:18" x14ac:dyDescent="0.15">
      <c r="E201" s="5"/>
      <c r="H201" s="19">
        <v>199</v>
      </c>
      <c r="I201">
        <v>128140</v>
      </c>
      <c r="J201" t="s">
        <v>1877</v>
      </c>
      <c r="K201">
        <v>149.42400000000001</v>
      </c>
      <c r="L201">
        <v>18.5</v>
      </c>
      <c r="M201">
        <v>167.92400000000001</v>
      </c>
      <c r="N201" s="21">
        <v>10.896400999999999</v>
      </c>
      <c r="O201" s="5" t="str">
        <f t="shared" si="10"/>
        <v>未买</v>
      </c>
      <c r="R201" s="19">
        <v>199</v>
      </c>
    </row>
    <row r="202" spans="5:18" x14ac:dyDescent="0.15">
      <c r="E202" s="5"/>
      <c r="H202" s="19">
        <v>200</v>
      </c>
      <c r="I202">
        <v>110073</v>
      </c>
      <c r="J202" t="s">
        <v>1948</v>
      </c>
      <c r="K202">
        <v>107.14</v>
      </c>
      <c r="L202">
        <v>60.94</v>
      </c>
      <c r="M202">
        <v>168.07999999999998</v>
      </c>
      <c r="N202" s="21">
        <v>79.993309999999994</v>
      </c>
      <c r="O202" s="5" t="str">
        <f t="shared" si="10"/>
        <v>未买</v>
      </c>
      <c r="R202" s="19">
        <v>200</v>
      </c>
    </row>
    <row r="203" spans="5:18" x14ac:dyDescent="0.15">
      <c r="E203" s="5"/>
      <c r="H203" s="19">
        <v>201</v>
      </c>
      <c r="I203">
        <v>113046</v>
      </c>
      <c r="J203" t="s">
        <v>1943</v>
      </c>
      <c r="K203">
        <v>109.93</v>
      </c>
      <c r="L203">
        <v>58.29</v>
      </c>
      <c r="M203">
        <v>168.22</v>
      </c>
      <c r="N203" s="21">
        <v>14.998810000000001</v>
      </c>
      <c r="O203" s="5" t="str">
        <f t="shared" si="10"/>
        <v>未买</v>
      </c>
      <c r="R203" s="19">
        <v>201</v>
      </c>
    </row>
    <row r="204" spans="5:18" x14ac:dyDescent="0.15">
      <c r="E204" s="5"/>
      <c r="H204" s="19">
        <v>202</v>
      </c>
      <c r="I204">
        <v>128023</v>
      </c>
      <c r="J204" t="s">
        <v>214</v>
      </c>
      <c r="K204">
        <v>123.20399999999999</v>
      </c>
      <c r="L204">
        <v>45.34</v>
      </c>
      <c r="M204">
        <v>168.54399999999998</v>
      </c>
      <c r="N204" s="21">
        <v>9.9863979999999994</v>
      </c>
      <c r="O204" s="5" t="str">
        <f t="shared" si="10"/>
        <v>未买</v>
      </c>
      <c r="R204" s="19">
        <v>202</v>
      </c>
    </row>
    <row r="205" spans="5:18" x14ac:dyDescent="0.15">
      <c r="E205" s="5"/>
      <c r="H205" s="19">
        <v>203</v>
      </c>
      <c r="I205">
        <v>123075</v>
      </c>
      <c r="J205" t="s">
        <v>70</v>
      </c>
      <c r="K205">
        <v>125.2</v>
      </c>
      <c r="L205">
        <v>43.45</v>
      </c>
      <c r="M205">
        <v>168.65</v>
      </c>
      <c r="N205" s="21">
        <v>5.9963300000000004</v>
      </c>
      <c r="O205" s="5" t="str">
        <f t="shared" si="10"/>
        <v>未买</v>
      </c>
      <c r="R205" s="19">
        <v>203</v>
      </c>
    </row>
    <row r="206" spans="5:18" x14ac:dyDescent="0.15">
      <c r="E206" s="5"/>
      <c r="H206" s="19">
        <v>204</v>
      </c>
      <c r="I206">
        <v>113619</v>
      </c>
      <c r="J206" t="s">
        <v>230</v>
      </c>
      <c r="K206">
        <v>122.43</v>
      </c>
      <c r="L206">
        <v>46.22</v>
      </c>
      <c r="M206">
        <v>168.65</v>
      </c>
      <c r="N206" s="21">
        <v>9.9967699999999997</v>
      </c>
      <c r="O206" s="5" t="str">
        <f t="shared" si="10"/>
        <v>未买</v>
      </c>
      <c r="R206" s="19">
        <v>204</v>
      </c>
    </row>
    <row r="207" spans="5:18" x14ac:dyDescent="0.15">
      <c r="E207" s="5"/>
      <c r="H207" s="19">
        <v>205</v>
      </c>
      <c r="I207">
        <v>113629</v>
      </c>
      <c r="J207" t="s">
        <v>80</v>
      </c>
      <c r="K207">
        <v>143.38999999999999</v>
      </c>
      <c r="L207">
        <v>25.32</v>
      </c>
      <c r="M207">
        <v>168.70999999999998</v>
      </c>
      <c r="N207" s="21">
        <v>6.1969399999999997</v>
      </c>
      <c r="O207" s="5" t="str">
        <f t="shared" si="10"/>
        <v>未买</v>
      </c>
      <c r="R207" s="19">
        <v>205</v>
      </c>
    </row>
    <row r="208" spans="5:18" x14ac:dyDescent="0.15">
      <c r="E208" s="5"/>
      <c r="H208" s="19">
        <v>206</v>
      </c>
      <c r="I208">
        <v>113546</v>
      </c>
      <c r="J208" t="s">
        <v>87</v>
      </c>
      <c r="K208">
        <v>124.01</v>
      </c>
      <c r="L208">
        <v>45.4</v>
      </c>
      <c r="M208">
        <v>169.41</v>
      </c>
      <c r="N208" s="21">
        <v>2.2968000000000002</v>
      </c>
      <c r="O208" s="5" t="str">
        <f t="shared" si="10"/>
        <v>未买</v>
      </c>
      <c r="R208" s="19">
        <v>206</v>
      </c>
    </row>
    <row r="209" spans="5:18" x14ac:dyDescent="0.15">
      <c r="E209" s="5"/>
      <c r="H209" s="19">
        <v>207</v>
      </c>
      <c r="I209">
        <v>113502</v>
      </c>
      <c r="J209" t="s">
        <v>133</v>
      </c>
      <c r="K209">
        <v>140.38999999999999</v>
      </c>
      <c r="L209">
        <v>29.5</v>
      </c>
      <c r="M209">
        <v>169.89</v>
      </c>
      <c r="N209" s="21">
        <v>1.8425100000000001</v>
      </c>
      <c r="O209" s="5" t="str">
        <f t="shared" si="10"/>
        <v>未买</v>
      </c>
      <c r="R209" s="19">
        <v>207</v>
      </c>
    </row>
    <row r="210" spans="5:18" x14ac:dyDescent="0.15">
      <c r="E210" s="5"/>
      <c r="H210" s="19">
        <v>208</v>
      </c>
      <c r="I210">
        <v>113635</v>
      </c>
      <c r="J210" t="s">
        <v>1945</v>
      </c>
      <c r="K210">
        <v>125.8</v>
      </c>
      <c r="L210">
        <v>44.12</v>
      </c>
      <c r="M210">
        <v>169.92</v>
      </c>
      <c r="N210" s="21">
        <v>13.499040000000001</v>
      </c>
      <c r="O210" s="5" t="str">
        <f t="shared" si="10"/>
        <v>未买</v>
      </c>
      <c r="R210" s="19">
        <v>208</v>
      </c>
    </row>
    <row r="211" spans="5:18" x14ac:dyDescent="0.15">
      <c r="E211" s="5"/>
      <c r="H211" s="19">
        <v>209</v>
      </c>
      <c r="I211">
        <v>123106</v>
      </c>
      <c r="J211" t="s">
        <v>64</v>
      </c>
      <c r="K211">
        <v>114.46299999999999</v>
      </c>
      <c r="L211">
        <v>55.6</v>
      </c>
      <c r="M211">
        <v>170.06299999999999</v>
      </c>
      <c r="N211" s="21">
        <v>3.199684</v>
      </c>
      <c r="O211" s="5" t="str">
        <f t="shared" si="10"/>
        <v>未买</v>
      </c>
      <c r="R211" s="19">
        <v>209</v>
      </c>
    </row>
    <row r="212" spans="5:18" x14ac:dyDescent="0.15">
      <c r="E212" s="5"/>
      <c r="H212" s="19">
        <v>210</v>
      </c>
      <c r="I212">
        <v>128029</v>
      </c>
      <c r="J212" t="s">
        <v>1844</v>
      </c>
      <c r="K212">
        <v>159.30000000000001</v>
      </c>
      <c r="L212">
        <v>11.24</v>
      </c>
      <c r="M212">
        <v>170.54000000000002</v>
      </c>
      <c r="N212" s="21">
        <v>9.0859769999999997</v>
      </c>
      <c r="O212" s="5" t="str">
        <f t="shared" si="10"/>
        <v>未买</v>
      </c>
      <c r="R212" s="19">
        <v>210</v>
      </c>
    </row>
    <row r="213" spans="5:18" x14ac:dyDescent="0.15">
      <c r="E213" s="5"/>
      <c r="H213" s="19">
        <v>211</v>
      </c>
      <c r="I213">
        <v>128078</v>
      </c>
      <c r="J213" t="s">
        <v>1935</v>
      </c>
      <c r="K213">
        <v>125.333</v>
      </c>
      <c r="L213">
        <v>45.21</v>
      </c>
      <c r="M213">
        <v>170.54300000000001</v>
      </c>
      <c r="N213" s="21">
        <v>9.5993570000000012</v>
      </c>
      <c r="O213" s="5" t="str">
        <f t="shared" si="10"/>
        <v>未买</v>
      </c>
      <c r="R213" s="19">
        <v>211</v>
      </c>
    </row>
    <row r="214" spans="5:18" x14ac:dyDescent="0.15">
      <c r="E214" s="5"/>
      <c r="H214" s="19">
        <v>212</v>
      </c>
      <c r="I214">
        <v>127055</v>
      </c>
      <c r="J214" t="s">
        <v>781</v>
      </c>
      <c r="K214">
        <v>115.94799999999999</v>
      </c>
      <c r="L214">
        <v>54.95</v>
      </c>
      <c r="M214">
        <v>170.898</v>
      </c>
      <c r="N214" s="21">
        <v>5.77</v>
      </c>
      <c r="O214" s="5" t="str">
        <f t="shared" si="10"/>
        <v>未买</v>
      </c>
      <c r="R214" s="19">
        <v>212</v>
      </c>
    </row>
    <row r="215" spans="5:18" x14ac:dyDescent="0.15">
      <c r="E215" s="5"/>
      <c r="H215" s="19">
        <v>213</v>
      </c>
      <c r="I215">
        <v>123132</v>
      </c>
      <c r="J215" t="s">
        <v>254</v>
      </c>
      <c r="K215">
        <v>123.99</v>
      </c>
      <c r="L215">
        <v>46.92</v>
      </c>
      <c r="M215">
        <v>170.91</v>
      </c>
      <c r="N215" s="21">
        <v>7</v>
      </c>
      <c r="O215" s="5" t="str">
        <f t="shared" si="10"/>
        <v>未买</v>
      </c>
      <c r="R215" s="19">
        <v>213</v>
      </c>
    </row>
    <row r="216" spans="5:18" x14ac:dyDescent="0.15">
      <c r="E216" s="5"/>
      <c r="H216" s="19">
        <v>214</v>
      </c>
      <c r="I216">
        <v>113043</v>
      </c>
      <c r="J216" t="s">
        <v>1949</v>
      </c>
      <c r="K216">
        <v>110.1</v>
      </c>
      <c r="L216">
        <v>60.89</v>
      </c>
      <c r="M216">
        <v>170.99</v>
      </c>
      <c r="N216" s="21">
        <v>37.99765</v>
      </c>
      <c r="O216" s="5" t="str">
        <f t="shared" si="10"/>
        <v>未买</v>
      </c>
      <c r="R216" s="19">
        <v>214</v>
      </c>
    </row>
    <row r="217" spans="5:18" x14ac:dyDescent="0.15">
      <c r="E217" s="5"/>
      <c r="H217" s="19">
        <v>215</v>
      </c>
      <c r="I217">
        <v>123050</v>
      </c>
      <c r="J217" t="s">
        <v>68</v>
      </c>
      <c r="K217">
        <v>126.25700000000001</v>
      </c>
      <c r="L217">
        <v>45.11</v>
      </c>
      <c r="M217">
        <v>171.36700000000002</v>
      </c>
      <c r="N217" s="21">
        <v>3.7459980000000006</v>
      </c>
      <c r="O217" s="5" t="str">
        <f t="shared" si="10"/>
        <v>未买</v>
      </c>
      <c r="R217" s="19">
        <v>215</v>
      </c>
    </row>
    <row r="218" spans="5:18" x14ac:dyDescent="0.15">
      <c r="E218" s="5"/>
      <c r="H218" s="19">
        <v>216</v>
      </c>
      <c r="I218">
        <v>123114</v>
      </c>
      <c r="J218" t="s">
        <v>1861</v>
      </c>
      <c r="K218">
        <v>151.41</v>
      </c>
      <c r="L218">
        <v>20.260000000000002</v>
      </c>
      <c r="M218">
        <v>171.67</v>
      </c>
      <c r="N218" s="21">
        <v>9.0089469999999992</v>
      </c>
      <c r="O218" s="5" t="str">
        <f t="shared" si="10"/>
        <v>未买</v>
      </c>
      <c r="R218" s="19">
        <v>216</v>
      </c>
    </row>
    <row r="219" spans="5:18" x14ac:dyDescent="0.15">
      <c r="E219" s="5"/>
      <c r="H219" s="19">
        <v>217</v>
      </c>
      <c r="I219">
        <v>127037</v>
      </c>
      <c r="J219" t="s">
        <v>233</v>
      </c>
      <c r="K219">
        <v>133</v>
      </c>
      <c r="L219">
        <v>39.06</v>
      </c>
      <c r="M219">
        <v>172.06</v>
      </c>
      <c r="N219" s="21">
        <v>6.9975529999999999</v>
      </c>
      <c r="O219" s="5" t="str">
        <f t="shared" si="10"/>
        <v>未买</v>
      </c>
      <c r="R219" s="19">
        <v>217</v>
      </c>
    </row>
    <row r="220" spans="5:18" x14ac:dyDescent="0.15">
      <c r="E220" s="5"/>
      <c r="H220" s="19">
        <v>218</v>
      </c>
      <c r="I220">
        <v>113527</v>
      </c>
      <c r="J220" t="s">
        <v>119</v>
      </c>
      <c r="K220">
        <v>124.42</v>
      </c>
      <c r="L220">
        <v>47.75</v>
      </c>
      <c r="M220">
        <v>172.17000000000002</v>
      </c>
      <c r="N220" s="21">
        <v>2.8627899999999999</v>
      </c>
      <c r="O220" s="5" t="str">
        <f t="shared" si="10"/>
        <v>未买</v>
      </c>
      <c r="R220" s="19">
        <v>218</v>
      </c>
    </row>
    <row r="221" spans="5:18" x14ac:dyDescent="0.15">
      <c r="E221" s="5"/>
      <c r="H221" s="19">
        <v>219</v>
      </c>
      <c r="I221">
        <v>123131</v>
      </c>
      <c r="J221" t="s">
        <v>250</v>
      </c>
      <c r="K221">
        <v>126.247</v>
      </c>
      <c r="L221">
        <v>45.97</v>
      </c>
      <c r="M221">
        <v>172.21699999999998</v>
      </c>
      <c r="N221" s="21">
        <v>6.3498640000000002</v>
      </c>
      <c r="O221" s="5" t="str">
        <f t="shared" si="10"/>
        <v>未买</v>
      </c>
      <c r="R221" s="19">
        <v>219</v>
      </c>
    </row>
    <row r="222" spans="5:18" x14ac:dyDescent="0.15">
      <c r="E222" s="5"/>
      <c r="H222" s="19">
        <v>220</v>
      </c>
      <c r="I222">
        <v>123133</v>
      </c>
      <c r="J222" t="s">
        <v>278</v>
      </c>
      <c r="K222">
        <v>126.5</v>
      </c>
      <c r="L222">
        <v>45.94</v>
      </c>
      <c r="M222">
        <v>172.44</v>
      </c>
      <c r="N222" s="21">
        <v>7.2</v>
      </c>
      <c r="O222" s="5" t="str">
        <f t="shared" si="10"/>
        <v>未买</v>
      </c>
      <c r="R222" s="19">
        <v>220</v>
      </c>
    </row>
    <row r="223" spans="5:18" x14ac:dyDescent="0.15">
      <c r="E223" s="5"/>
      <c r="H223" s="19">
        <v>221</v>
      </c>
      <c r="I223">
        <v>113565</v>
      </c>
      <c r="J223" t="s">
        <v>123</v>
      </c>
      <c r="K223">
        <v>124.3</v>
      </c>
      <c r="L223">
        <v>48.38</v>
      </c>
      <c r="M223">
        <v>172.68</v>
      </c>
      <c r="N223" s="21">
        <v>2.24926</v>
      </c>
      <c r="O223" s="5" t="str">
        <f t="shared" si="10"/>
        <v>未买</v>
      </c>
      <c r="R223" s="19">
        <v>221</v>
      </c>
    </row>
    <row r="224" spans="5:18" x14ac:dyDescent="0.15">
      <c r="E224" s="5"/>
      <c r="H224" s="19">
        <v>222</v>
      </c>
      <c r="I224">
        <v>128120</v>
      </c>
      <c r="J224" t="s">
        <v>117</v>
      </c>
      <c r="K224">
        <v>120.57299999999999</v>
      </c>
      <c r="L224">
        <v>52.26</v>
      </c>
      <c r="M224">
        <v>172.833</v>
      </c>
      <c r="N224" s="21">
        <v>2.5996240000000004</v>
      </c>
      <c r="O224" s="5" t="str">
        <f t="shared" si="10"/>
        <v>未买</v>
      </c>
      <c r="R224" s="19">
        <v>222</v>
      </c>
    </row>
    <row r="225" spans="5:18" x14ac:dyDescent="0.15">
      <c r="E225" s="5"/>
      <c r="H225" s="19">
        <v>223</v>
      </c>
      <c r="I225">
        <v>123057</v>
      </c>
      <c r="J225" t="s">
        <v>1855</v>
      </c>
      <c r="K225">
        <v>164.5</v>
      </c>
      <c r="L225">
        <v>8.4499999999999993</v>
      </c>
      <c r="M225">
        <v>172.95</v>
      </c>
      <c r="N225" s="21">
        <v>2.0650419999999996</v>
      </c>
      <c r="O225" s="5" t="str">
        <f t="shared" si="10"/>
        <v>未买</v>
      </c>
      <c r="R225" s="19">
        <v>223</v>
      </c>
    </row>
    <row r="226" spans="5:18" x14ac:dyDescent="0.15">
      <c r="E226" s="5"/>
      <c r="H226" s="19">
        <v>224</v>
      </c>
      <c r="I226">
        <v>113045</v>
      </c>
      <c r="J226" t="s">
        <v>1952</v>
      </c>
      <c r="K226">
        <v>112.87</v>
      </c>
      <c r="L226">
        <v>60.92</v>
      </c>
      <c r="M226">
        <v>173.79000000000002</v>
      </c>
      <c r="N226" s="21">
        <v>34.499510000000001</v>
      </c>
      <c r="O226" s="5" t="str">
        <f t="shared" si="10"/>
        <v>未买</v>
      </c>
      <c r="R226" s="19">
        <v>224</v>
      </c>
    </row>
    <row r="227" spans="5:18" x14ac:dyDescent="0.15">
      <c r="E227" s="5"/>
      <c r="H227" s="19">
        <v>225</v>
      </c>
      <c r="I227">
        <v>123059</v>
      </c>
      <c r="J227" t="s">
        <v>211</v>
      </c>
      <c r="K227">
        <v>119.71599999999999</v>
      </c>
      <c r="L227">
        <v>54.17</v>
      </c>
      <c r="M227">
        <v>173.886</v>
      </c>
      <c r="N227" s="21">
        <v>3.912433</v>
      </c>
      <c r="O227" s="5" t="str">
        <f t="shared" si="10"/>
        <v>未买</v>
      </c>
      <c r="R227" s="19">
        <v>225</v>
      </c>
    </row>
    <row r="228" spans="5:18" x14ac:dyDescent="0.15">
      <c r="E228" s="5"/>
      <c r="H228" s="19">
        <v>226</v>
      </c>
      <c r="I228">
        <v>111002</v>
      </c>
      <c r="J228" t="s">
        <v>249</v>
      </c>
      <c r="K228">
        <v>133.96</v>
      </c>
      <c r="L228">
        <v>40.33</v>
      </c>
      <c r="M228">
        <v>174.29000000000002</v>
      </c>
      <c r="N228" s="21">
        <v>6.6999399999999998</v>
      </c>
      <c r="O228" s="5" t="str">
        <f t="shared" si="10"/>
        <v>未买</v>
      </c>
      <c r="R228" s="19">
        <v>226</v>
      </c>
    </row>
    <row r="229" spans="5:18" x14ac:dyDescent="0.15">
      <c r="E229" s="5"/>
      <c r="H229" s="19">
        <v>227</v>
      </c>
      <c r="I229">
        <v>123115</v>
      </c>
      <c r="J229" t="s">
        <v>1944</v>
      </c>
      <c r="K229">
        <v>119.6</v>
      </c>
      <c r="L229">
        <v>54.9</v>
      </c>
      <c r="M229">
        <v>174.5</v>
      </c>
      <c r="N229" s="21">
        <v>11.946304</v>
      </c>
      <c r="O229" s="5" t="str">
        <f t="shared" si="10"/>
        <v>未买</v>
      </c>
      <c r="R229" s="19">
        <v>227</v>
      </c>
    </row>
    <row r="230" spans="5:18" x14ac:dyDescent="0.15">
      <c r="E230" s="5"/>
      <c r="H230" s="19">
        <v>228</v>
      </c>
      <c r="I230">
        <v>128123</v>
      </c>
      <c r="J230" t="s">
        <v>165</v>
      </c>
      <c r="K230">
        <v>114.9</v>
      </c>
      <c r="L230">
        <v>59.63</v>
      </c>
      <c r="M230">
        <v>174.53</v>
      </c>
      <c r="N230" s="21">
        <v>3.1992560000000001</v>
      </c>
      <c r="O230" s="5" t="str">
        <f t="shared" si="10"/>
        <v>未买</v>
      </c>
      <c r="R230" s="19">
        <v>228</v>
      </c>
    </row>
    <row r="231" spans="5:18" x14ac:dyDescent="0.15">
      <c r="E231" s="5"/>
      <c r="H231" s="19">
        <v>229</v>
      </c>
      <c r="I231">
        <v>123048</v>
      </c>
      <c r="J231" t="s">
        <v>236</v>
      </c>
      <c r="K231">
        <v>126.3</v>
      </c>
      <c r="L231">
        <v>48.34</v>
      </c>
      <c r="M231">
        <v>174.64</v>
      </c>
      <c r="N231" s="21">
        <v>3.7914160000000008</v>
      </c>
      <c r="O231" s="5" t="str">
        <f t="shared" si="10"/>
        <v>未买</v>
      </c>
      <c r="R231" s="19">
        <v>229</v>
      </c>
    </row>
    <row r="232" spans="5:18" x14ac:dyDescent="0.15">
      <c r="E232" s="5"/>
      <c r="H232" s="19">
        <v>230</v>
      </c>
      <c r="I232">
        <v>113563</v>
      </c>
      <c r="J232" t="s">
        <v>167</v>
      </c>
      <c r="K232">
        <v>109.15</v>
      </c>
      <c r="L232">
        <v>65.78</v>
      </c>
      <c r="M232">
        <v>174.93</v>
      </c>
      <c r="N232" s="21">
        <v>8.0190199999999994</v>
      </c>
      <c r="O232" s="5" t="str">
        <f t="shared" si="10"/>
        <v>未买</v>
      </c>
      <c r="R232" s="19">
        <v>230</v>
      </c>
    </row>
    <row r="233" spans="5:18" x14ac:dyDescent="0.15">
      <c r="E233" s="5"/>
      <c r="H233" s="19">
        <v>231</v>
      </c>
      <c r="I233">
        <v>113042</v>
      </c>
      <c r="J233" t="s">
        <v>1951</v>
      </c>
      <c r="K233">
        <v>105.13</v>
      </c>
      <c r="L233">
        <v>70.09</v>
      </c>
      <c r="M233">
        <v>175.22</v>
      </c>
      <c r="N233" s="21">
        <v>199.98693</v>
      </c>
      <c r="O233" s="5" t="str">
        <f t="shared" si="10"/>
        <v>未买</v>
      </c>
      <c r="R233" s="19">
        <v>231</v>
      </c>
    </row>
    <row r="234" spans="5:18" x14ac:dyDescent="0.15">
      <c r="E234" s="5"/>
      <c r="H234" s="19">
        <v>232</v>
      </c>
      <c r="I234">
        <v>113643</v>
      </c>
      <c r="J234" t="s">
        <v>817</v>
      </c>
      <c r="K234">
        <v>125.26</v>
      </c>
      <c r="L234">
        <v>50.05</v>
      </c>
      <c r="M234">
        <v>175.31</v>
      </c>
      <c r="N234" s="21">
        <v>5</v>
      </c>
      <c r="O234" s="5" t="str">
        <f t="shared" si="10"/>
        <v>未买</v>
      </c>
      <c r="R234" s="19">
        <v>232</v>
      </c>
    </row>
    <row r="235" spans="5:18" x14ac:dyDescent="0.15">
      <c r="E235" s="5"/>
      <c r="H235" s="19">
        <v>233</v>
      </c>
      <c r="I235">
        <v>127043</v>
      </c>
      <c r="J235" t="s">
        <v>1822</v>
      </c>
      <c r="K235">
        <v>174.5</v>
      </c>
      <c r="L235">
        <v>1.07</v>
      </c>
      <c r="M235">
        <v>175.57</v>
      </c>
      <c r="N235" s="21">
        <v>10.448248</v>
      </c>
      <c r="O235" s="5" t="str">
        <f t="shared" si="10"/>
        <v>未买</v>
      </c>
      <c r="R235" s="19">
        <v>233</v>
      </c>
    </row>
    <row r="236" spans="5:18" x14ac:dyDescent="0.15">
      <c r="E236" s="5"/>
      <c r="H236" s="19">
        <v>234</v>
      </c>
      <c r="I236">
        <v>123064</v>
      </c>
      <c r="J236" t="s">
        <v>142</v>
      </c>
      <c r="K236">
        <v>121.2</v>
      </c>
      <c r="L236">
        <v>55.29</v>
      </c>
      <c r="M236">
        <v>176.49</v>
      </c>
      <c r="N236" s="21">
        <v>5.9814829999999999</v>
      </c>
      <c r="O236" s="5" t="str">
        <f t="shared" si="10"/>
        <v>未买</v>
      </c>
      <c r="R236" s="19">
        <v>234</v>
      </c>
    </row>
    <row r="237" spans="5:18" x14ac:dyDescent="0.15">
      <c r="E237" s="5"/>
      <c r="H237" s="19">
        <v>235</v>
      </c>
      <c r="I237">
        <v>128105</v>
      </c>
      <c r="J237" t="s">
        <v>186</v>
      </c>
      <c r="K237">
        <v>101.59</v>
      </c>
      <c r="L237">
        <v>75.459999999999994</v>
      </c>
      <c r="M237">
        <v>177.05</v>
      </c>
      <c r="N237" s="21">
        <v>7.9952110000000003</v>
      </c>
      <c r="O237" s="5" t="str">
        <f t="shared" si="10"/>
        <v>未买</v>
      </c>
      <c r="R237" s="19">
        <v>235</v>
      </c>
    </row>
    <row r="238" spans="5:18" x14ac:dyDescent="0.15">
      <c r="E238" s="5"/>
      <c r="H238" s="19">
        <v>236</v>
      </c>
      <c r="I238">
        <v>123025</v>
      </c>
      <c r="J238" t="s">
        <v>67</v>
      </c>
      <c r="K238">
        <v>126.07299999999999</v>
      </c>
      <c r="L238">
        <v>50.99</v>
      </c>
      <c r="M238">
        <v>177.06299999999999</v>
      </c>
      <c r="N238" s="21">
        <v>3.0864669999999998</v>
      </c>
      <c r="O238" s="5" t="str">
        <f t="shared" si="10"/>
        <v>未买</v>
      </c>
      <c r="R238" s="19">
        <v>236</v>
      </c>
    </row>
    <row r="239" spans="5:18" x14ac:dyDescent="0.15">
      <c r="E239" s="5"/>
      <c r="H239" s="19">
        <v>237</v>
      </c>
      <c r="I239">
        <v>123071</v>
      </c>
      <c r="J239" t="s">
        <v>1885</v>
      </c>
      <c r="K239">
        <v>157.18</v>
      </c>
      <c r="L239">
        <v>19.93</v>
      </c>
      <c r="M239">
        <v>177.11</v>
      </c>
      <c r="N239" s="21">
        <v>6.9424029999999997</v>
      </c>
      <c r="O239" s="5" t="str">
        <f t="shared" si="10"/>
        <v>未买</v>
      </c>
      <c r="R239" s="19">
        <v>237</v>
      </c>
    </row>
    <row r="240" spans="5:18" x14ac:dyDescent="0.15">
      <c r="E240" s="5"/>
      <c r="H240" s="19">
        <v>238</v>
      </c>
      <c r="I240">
        <v>110058</v>
      </c>
      <c r="J240" t="s">
        <v>78</v>
      </c>
      <c r="K240">
        <v>116.41</v>
      </c>
      <c r="L240">
        <v>60.74</v>
      </c>
      <c r="M240">
        <v>177.15</v>
      </c>
      <c r="N240" s="21">
        <v>2.6102099999999999</v>
      </c>
      <c r="O240" s="5" t="str">
        <f t="shared" si="10"/>
        <v>未买</v>
      </c>
      <c r="R240" s="19">
        <v>238</v>
      </c>
    </row>
    <row r="241" spans="5:18" x14ac:dyDescent="0.15">
      <c r="E241" s="5"/>
      <c r="H241" s="19">
        <v>239</v>
      </c>
      <c r="I241">
        <v>113621</v>
      </c>
      <c r="J241" t="s">
        <v>248</v>
      </c>
      <c r="K241">
        <v>130.9</v>
      </c>
      <c r="L241">
        <v>46.29</v>
      </c>
      <c r="M241">
        <v>177.19</v>
      </c>
      <c r="N241" s="21">
        <v>5.3671432979999993</v>
      </c>
      <c r="O241" s="5" t="str">
        <f t="shared" si="10"/>
        <v>未买</v>
      </c>
      <c r="R241" s="19">
        <v>239</v>
      </c>
    </row>
    <row r="242" spans="5:18" x14ac:dyDescent="0.15">
      <c r="E242" s="5"/>
      <c r="H242" s="19">
        <v>240</v>
      </c>
      <c r="I242">
        <v>113623</v>
      </c>
      <c r="J242" t="s">
        <v>1946</v>
      </c>
      <c r="K242">
        <v>113.38</v>
      </c>
      <c r="L242">
        <v>64.06</v>
      </c>
      <c r="M242">
        <v>177.44</v>
      </c>
      <c r="N242" s="21">
        <v>24.99952</v>
      </c>
      <c r="O242" s="5" t="str">
        <f t="shared" si="10"/>
        <v>未买</v>
      </c>
      <c r="R242" s="19">
        <v>240</v>
      </c>
    </row>
    <row r="243" spans="5:18" x14ac:dyDescent="0.15">
      <c r="E243" s="5"/>
      <c r="H243" s="19">
        <v>241</v>
      </c>
      <c r="I243">
        <v>113600</v>
      </c>
      <c r="J243" t="s">
        <v>275</v>
      </c>
      <c r="K243">
        <v>133.21</v>
      </c>
      <c r="L243">
        <v>44.28</v>
      </c>
      <c r="M243">
        <v>177.49</v>
      </c>
      <c r="N243" s="21">
        <v>4.5331000000000001</v>
      </c>
      <c r="O243" s="5" t="str">
        <f t="shared" si="10"/>
        <v>未买</v>
      </c>
      <c r="R243" s="19">
        <v>241</v>
      </c>
    </row>
    <row r="244" spans="5:18" x14ac:dyDescent="0.15">
      <c r="E244" s="5"/>
      <c r="H244" s="19">
        <v>242</v>
      </c>
      <c r="I244">
        <v>127048</v>
      </c>
      <c r="J244" t="s">
        <v>221</v>
      </c>
      <c r="K244">
        <v>126.783</v>
      </c>
      <c r="L244">
        <v>50.9</v>
      </c>
      <c r="M244">
        <v>177.68299999999999</v>
      </c>
      <c r="N244" s="21">
        <v>2.6998060000000002</v>
      </c>
      <c r="O244" s="5" t="str">
        <f t="shared" si="10"/>
        <v>未买</v>
      </c>
      <c r="R244" s="19">
        <v>242</v>
      </c>
    </row>
    <row r="245" spans="5:18" x14ac:dyDescent="0.15">
      <c r="E245" s="5"/>
      <c r="H245" s="19">
        <v>243</v>
      </c>
      <c r="I245">
        <v>128090</v>
      </c>
      <c r="J245" t="s">
        <v>122</v>
      </c>
      <c r="K245">
        <v>137.36000000000001</v>
      </c>
      <c r="L245">
        <v>41.03</v>
      </c>
      <c r="M245">
        <v>178.39000000000001</v>
      </c>
      <c r="N245" s="21">
        <v>3.0994130000000002</v>
      </c>
      <c r="O245" s="5" t="str">
        <f t="shared" si="10"/>
        <v>未买</v>
      </c>
      <c r="R245" s="19">
        <v>243</v>
      </c>
    </row>
    <row r="246" spans="5:18" x14ac:dyDescent="0.15">
      <c r="E246" s="5"/>
      <c r="H246" s="19">
        <v>244</v>
      </c>
      <c r="I246">
        <v>113638</v>
      </c>
      <c r="J246" t="s">
        <v>277</v>
      </c>
      <c r="K246">
        <v>120.01</v>
      </c>
      <c r="L246">
        <v>58.91</v>
      </c>
      <c r="M246">
        <v>178.92000000000002</v>
      </c>
      <c r="N246" s="21">
        <v>6</v>
      </c>
      <c r="O246" s="5" t="str">
        <f t="shared" si="10"/>
        <v>未买</v>
      </c>
      <c r="R246" s="19">
        <v>244</v>
      </c>
    </row>
    <row r="247" spans="5:18" x14ac:dyDescent="0.15">
      <c r="E247" s="5"/>
      <c r="H247" s="19">
        <v>245</v>
      </c>
      <c r="I247">
        <v>123004</v>
      </c>
      <c r="J247" t="s">
        <v>181</v>
      </c>
      <c r="K247">
        <v>106.26</v>
      </c>
      <c r="L247">
        <v>72.72</v>
      </c>
      <c r="M247">
        <v>178.98000000000002</v>
      </c>
      <c r="N247" s="21">
        <v>8.0317070000000008</v>
      </c>
      <c r="O247" s="5" t="str">
        <f t="shared" si="10"/>
        <v>未买</v>
      </c>
      <c r="R247" s="19">
        <v>245</v>
      </c>
    </row>
    <row r="248" spans="5:18" x14ac:dyDescent="0.15">
      <c r="E248" s="5"/>
      <c r="H248" s="19">
        <v>246</v>
      </c>
      <c r="I248">
        <v>128039</v>
      </c>
      <c r="J248" t="s">
        <v>120</v>
      </c>
      <c r="K248">
        <v>122.489</v>
      </c>
      <c r="L248">
        <v>56.56</v>
      </c>
      <c r="M248">
        <v>179.04900000000001</v>
      </c>
      <c r="N248" s="21">
        <v>2.0240990000000001</v>
      </c>
      <c r="O248" s="5" t="str">
        <f t="shared" si="10"/>
        <v>未买</v>
      </c>
      <c r="R248" s="19">
        <v>246</v>
      </c>
    </row>
    <row r="249" spans="5:18" x14ac:dyDescent="0.15">
      <c r="E249" s="5"/>
      <c r="H249" s="19">
        <v>247</v>
      </c>
      <c r="I249">
        <v>123122</v>
      </c>
      <c r="J249" t="s">
        <v>177</v>
      </c>
      <c r="K249">
        <v>117.797</v>
      </c>
      <c r="L249">
        <v>61.72</v>
      </c>
      <c r="M249">
        <v>179.517</v>
      </c>
      <c r="N249" s="21">
        <v>5.8072530000000002</v>
      </c>
      <c r="O249" s="5" t="str">
        <f t="shared" si="10"/>
        <v>未买</v>
      </c>
      <c r="R249" s="19">
        <v>247</v>
      </c>
    </row>
    <row r="250" spans="5:18" x14ac:dyDescent="0.15">
      <c r="E250" s="5"/>
      <c r="H250" s="19">
        <v>248</v>
      </c>
      <c r="I250">
        <v>128143</v>
      </c>
      <c r="J250" t="s">
        <v>118</v>
      </c>
      <c r="K250">
        <v>130.28100000000001</v>
      </c>
      <c r="L250">
        <v>49.4</v>
      </c>
      <c r="M250">
        <v>179.68100000000001</v>
      </c>
      <c r="N250" s="21">
        <v>2.4437519999999999</v>
      </c>
      <c r="O250" s="5" t="str">
        <f t="shared" si="10"/>
        <v>未买</v>
      </c>
      <c r="R250" s="19">
        <v>248</v>
      </c>
    </row>
    <row r="251" spans="5:18" x14ac:dyDescent="0.15">
      <c r="E251" s="5"/>
      <c r="H251" s="19">
        <v>249</v>
      </c>
      <c r="I251">
        <v>110082</v>
      </c>
      <c r="J251" t="s">
        <v>1947</v>
      </c>
      <c r="K251">
        <v>120.21</v>
      </c>
      <c r="L251">
        <v>59.6</v>
      </c>
      <c r="M251">
        <v>179.81</v>
      </c>
      <c r="N251" s="21">
        <v>19.999379999999999</v>
      </c>
      <c r="O251" s="5" t="str">
        <f t="shared" si="10"/>
        <v>未买</v>
      </c>
      <c r="R251" s="19">
        <v>249</v>
      </c>
    </row>
    <row r="252" spans="5:18" x14ac:dyDescent="0.15">
      <c r="E252" s="5"/>
      <c r="H252" s="19">
        <v>250</v>
      </c>
      <c r="I252">
        <v>110062</v>
      </c>
      <c r="J252" t="s">
        <v>1956</v>
      </c>
      <c r="K252">
        <v>108</v>
      </c>
      <c r="L252">
        <v>71.87</v>
      </c>
      <c r="M252">
        <v>179.87</v>
      </c>
      <c r="N252" s="21">
        <v>30.87631</v>
      </c>
      <c r="O252" s="5" t="str">
        <f t="shared" si="10"/>
        <v>未买</v>
      </c>
      <c r="R252" s="19">
        <v>250</v>
      </c>
    </row>
    <row r="253" spans="5:18" x14ac:dyDescent="0.15">
      <c r="E253" s="5"/>
      <c r="H253" s="19">
        <v>251</v>
      </c>
      <c r="I253">
        <v>128026</v>
      </c>
      <c r="J253" t="s">
        <v>192</v>
      </c>
      <c r="K253">
        <v>107.351</v>
      </c>
      <c r="L253">
        <v>74.41</v>
      </c>
      <c r="M253">
        <v>181.761</v>
      </c>
      <c r="N253" s="21">
        <v>4.0879250000000003</v>
      </c>
      <c r="O253" s="5" t="str">
        <f t="shared" si="10"/>
        <v>未买</v>
      </c>
      <c r="R253" s="19">
        <v>251</v>
      </c>
    </row>
    <row r="254" spans="5:18" x14ac:dyDescent="0.15">
      <c r="E254" s="5"/>
      <c r="H254" s="19">
        <v>252</v>
      </c>
      <c r="I254">
        <v>127007</v>
      </c>
      <c r="J254" t="s">
        <v>1834</v>
      </c>
      <c r="K254">
        <v>170.685</v>
      </c>
      <c r="L254">
        <v>11.14</v>
      </c>
      <c r="M254">
        <v>181.82499999999999</v>
      </c>
      <c r="N254" s="21">
        <v>3.6974049999999998</v>
      </c>
      <c r="O254" s="5" t="str">
        <f t="shared" si="10"/>
        <v>未买</v>
      </c>
      <c r="R254" s="19">
        <v>252</v>
      </c>
    </row>
    <row r="255" spans="5:18" x14ac:dyDescent="0.15">
      <c r="E255" s="5"/>
      <c r="H255" s="19">
        <v>253</v>
      </c>
      <c r="I255">
        <v>123130</v>
      </c>
      <c r="J255" t="s">
        <v>71</v>
      </c>
      <c r="K255">
        <v>149</v>
      </c>
      <c r="L255">
        <v>32.89</v>
      </c>
      <c r="M255">
        <v>181.89</v>
      </c>
      <c r="N255" s="21">
        <v>3.7562310000000001</v>
      </c>
      <c r="O255" s="5" t="str">
        <f t="shared" si="10"/>
        <v>未买</v>
      </c>
      <c r="R255" s="19">
        <v>253</v>
      </c>
    </row>
    <row r="256" spans="5:18" x14ac:dyDescent="0.15">
      <c r="E256" s="5"/>
      <c r="H256" s="19">
        <v>254</v>
      </c>
      <c r="I256">
        <v>123078</v>
      </c>
      <c r="J256" t="s">
        <v>1845</v>
      </c>
      <c r="K256">
        <v>165.601</v>
      </c>
      <c r="L256">
        <v>17.18</v>
      </c>
      <c r="M256">
        <v>182.78100000000001</v>
      </c>
      <c r="N256" s="21">
        <v>6.1840570000000001</v>
      </c>
      <c r="O256" s="5" t="str">
        <f t="shared" si="10"/>
        <v>未买</v>
      </c>
      <c r="R256" s="19">
        <v>254</v>
      </c>
    </row>
    <row r="257" spans="5:18" x14ac:dyDescent="0.15">
      <c r="E257" s="5"/>
      <c r="H257" s="19">
        <v>255</v>
      </c>
      <c r="I257">
        <v>123052</v>
      </c>
      <c r="J257" t="s">
        <v>1888</v>
      </c>
      <c r="K257">
        <v>149.298</v>
      </c>
      <c r="L257">
        <v>33.58</v>
      </c>
      <c r="M257">
        <v>182.87799999999999</v>
      </c>
      <c r="N257" s="21">
        <v>1.503663</v>
      </c>
      <c r="O257" s="5" t="str">
        <f t="shared" si="10"/>
        <v>未买</v>
      </c>
      <c r="R257" s="19">
        <v>255</v>
      </c>
    </row>
    <row r="258" spans="5:18" x14ac:dyDescent="0.15">
      <c r="E258" s="5"/>
      <c r="H258" s="19">
        <v>256</v>
      </c>
      <c r="I258">
        <v>123096</v>
      </c>
      <c r="J258" t="s">
        <v>210</v>
      </c>
      <c r="K258">
        <v>105.971</v>
      </c>
      <c r="L258">
        <v>77.06</v>
      </c>
      <c r="M258">
        <v>183.03100000000001</v>
      </c>
      <c r="N258" s="21">
        <v>8.1692780000000003</v>
      </c>
      <c r="O258" s="5" t="str">
        <f t="shared" si="10"/>
        <v>未买</v>
      </c>
      <c r="R258" s="19">
        <v>256</v>
      </c>
    </row>
    <row r="259" spans="5:18" x14ac:dyDescent="0.15">
      <c r="E259" s="5"/>
      <c r="H259" s="19">
        <v>257</v>
      </c>
      <c r="I259">
        <v>110081</v>
      </c>
      <c r="J259" t="s">
        <v>1955</v>
      </c>
      <c r="K259">
        <v>116.06</v>
      </c>
      <c r="L259">
        <v>67.23</v>
      </c>
      <c r="M259">
        <v>183.29000000000002</v>
      </c>
      <c r="N259" s="21">
        <v>85.983429999999998</v>
      </c>
      <c r="O259" s="5" t="str">
        <f t="shared" si="10"/>
        <v>未买</v>
      </c>
      <c r="R259" s="19">
        <v>257</v>
      </c>
    </row>
    <row r="260" spans="5:18" x14ac:dyDescent="0.15">
      <c r="E260" s="5"/>
      <c r="H260" s="19">
        <v>258</v>
      </c>
      <c r="I260">
        <v>123086</v>
      </c>
      <c r="J260" t="s">
        <v>1816</v>
      </c>
      <c r="K260">
        <v>182.15899999999999</v>
      </c>
      <c r="L260">
        <v>1.24</v>
      </c>
      <c r="M260">
        <v>183.399</v>
      </c>
      <c r="N260" s="21">
        <v>3.9790749999999999</v>
      </c>
      <c r="O260" s="5" t="str">
        <f t="shared" ref="O260:O323" si="11">IF(ISNA(MATCH(I260,$A$3:$A$1000,0)),"未买","Yes")</f>
        <v>未买</v>
      </c>
      <c r="R260" s="19">
        <v>258</v>
      </c>
    </row>
    <row r="261" spans="5:18" x14ac:dyDescent="0.15">
      <c r="E261" s="5"/>
      <c r="H261" s="19">
        <v>259</v>
      </c>
      <c r="I261">
        <v>128117</v>
      </c>
      <c r="J261" t="s">
        <v>155</v>
      </c>
      <c r="K261">
        <v>112.78700000000001</v>
      </c>
      <c r="L261">
        <v>70.97</v>
      </c>
      <c r="M261">
        <v>183.75700000000001</v>
      </c>
      <c r="N261" s="21">
        <v>3.5988519999999995</v>
      </c>
      <c r="O261" s="5" t="str">
        <f t="shared" si="11"/>
        <v>未买</v>
      </c>
      <c r="R261" s="19">
        <v>259</v>
      </c>
    </row>
    <row r="262" spans="5:18" x14ac:dyDescent="0.15">
      <c r="E262" s="5"/>
      <c r="H262" s="19">
        <v>260</v>
      </c>
      <c r="I262">
        <v>127038</v>
      </c>
      <c r="J262" t="s">
        <v>1860</v>
      </c>
      <c r="K262">
        <v>167.602</v>
      </c>
      <c r="L262">
        <v>16.989999999999998</v>
      </c>
      <c r="M262">
        <v>184.59200000000001</v>
      </c>
      <c r="N262" s="21">
        <v>14.938332000000001</v>
      </c>
      <c r="O262" s="5" t="str">
        <f t="shared" si="11"/>
        <v>未买</v>
      </c>
      <c r="R262" s="19">
        <v>260</v>
      </c>
    </row>
    <row r="263" spans="5:18" x14ac:dyDescent="0.15">
      <c r="E263" s="5"/>
      <c r="H263" s="19">
        <v>261</v>
      </c>
      <c r="I263">
        <v>128142</v>
      </c>
      <c r="J263" t="s">
        <v>201</v>
      </c>
      <c r="K263">
        <v>112.848</v>
      </c>
      <c r="L263">
        <v>71.89</v>
      </c>
      <c r="M263">
        <v>184.738</v>
      </c>
      <c r="N263" s="21">
        <v>7.1797839999999997</v>
      </c>
      <c r="O263" s="5" t="str">
        <f t="shared" si="11"/>
        <v>未买</v>
      </c>
      <c r="R263" s="19">
        <v>261</v>
      </c>
    </row>
    <row r="264" spans="5:18" x14ac:dyDescent="0.15">
      <c r="E264" s="5"/>
      <c r="H264" s="19">
        <v>262</v>
      </c>
      <c r="I264">
        <v>123061</v>
      </c>
      <c r="J264" t="s">
        <v>95</v>
      </c>
      <c r="K264">
        <v>122</v>
      </c>
      <c r="L264">
        <v>62.78</v>
      </c>
      <c r="M264">
        <v>184.78</v>
      </c>
      <c r="N264" s="21">
        <v>2.4961600000000002</v>
      </c>
      <c r="O264" s="5" t="str">
        <f t="shared" si="11"/>
        <v>未买</v>
      </c>
      <c r="R264" s="19">
        <v>262</v>
      </c>
    </row>
    <row r="265" spans="5:18" x14ac:dyDescent="0.15">
      <c r="E265" s="5"/>
      <c r="H265" s="19">
        <v>263</v>
      </c>
      <c r="I265">
        <v>123128</v>
      </c>
      <c r="J265" t="s">
        <v>1962</v>
      </c>
      <c r="K265">
        <v>106.04</v>
      </c>
      <c r="L265">
        <v>78.790000000000006</v>
      </c>
      <c r="M265">
        <v>184.83</v>
      </c>
      <c r="N265" s="21">
        <v>13.794371</v>
      </c>
      <c r="O265" s="5" t="str">
        <f t="shared" si="11"/>
        <v>未买</v>
      </c>
      <c r="R265" s="19">
        <v>263</v>
      </c>
    </row>
    <row r="266" spans="5:18" x14ac:dyDescent="0.15">
      <c r="E266" s="5"/>
      <c r="H266" s="19">
        <v>264</v>
      </c>
      <c r="I266">
        <v>110074</v>
      </c>
      <c r="J266" t="s">
        <v>1866</v>
      </c>
      <c r="K266">
        <v>169.56</v>
      </c>
      <c r="L266">
        <v>15.32</v>
      </c>
      <c r="M266">
        <v>184.88</v>
      </c>
      <c r="N266" s="21">
        <v>5.0958899999999998</v>
      </c>
      <c r="O266" s="5" t="str">
        <f t="shared" si="11"/>
        <v>未买</v>
      </c>
      <c r="R266" s="19">
        <v>264</v>
      </c>
    </row>
    <row r="267" spans="5:18" x14ac:dyDescent="0.15">
      <c r="E267" s="5"/>
      <c r="H267" s="19">
        <v>265</v>
      </c>
      <c r="I267">
        <v>128015</v>
      </c>
      <c r="J267" t="s">
        <v>163</v>
      </c>
      <c r="K267">
        <v>109.84699999999999</v>
      </c>
      <c r="L267">
        <v>75.19</v>
      </c>
      <c r="M267">
        <v>185.03699999999998</v>
      </c>
      <c r="N267" s="21">
        <v>7.7922679999999991</v>
      </c>
      <c r="O267" s="5" t="str">
        <f t="shared" si="11"/>
        <v>未买</v>
      </c>
      <c r="R267" s="19">
        <v>265</v>
      </c>
    </row>
    <row r="268" spans="5:18" x14ac:dyDescent="0.15">
      <c r="E268" s="5"/>
      <c r="H268" s="19">
        <v>266</v>
      </c>
      <c r="I268">
        <v>127053</v>
      </c>
      <c r="J268" t="s">
        <v>793</v>
      </c>
      <c r="K268">
        <v>119.783</v>
      </c>
      <c r="L268">
        <v>65.61</v>
      </c>
      <c r="M268">
        <v>185.393</v>
      </c>
      <c r="N268" s="21">
        <v>8.24</v>
      </c>
      <c r="O268" s="5" t="str">
        <f t="shared" si="11"/>
        <v>未买</v>
      </c>
      <c r="R268" s="19">
        <v>266</v>
      </c>
    </row>
    <row r="269" spans="5:18" x14ac:dyDescent="0.15">
      <c r="E269" s="5"/>
      <c r="H269" s="19">
        <v>267</v>
      </c>
      <c r="I269">
        <v>113615</v>
      </c>
      <c r="J269" t="s">
        <v>1820</v>
      </c>
      <c r="K269">
        <v>180.45</v>
      </c>
      <c r="L269">
        <v>5.0999999999999996</v>
      </c>
      <c r="M269">
        <v>185.54999999999998</v>
      </c>
      <c r="N269" s="21">
        <v>8.4798799999999996</v>
      </c>
      <c r="O269" s="5" t="str">
        <f t="shared" si="11"/>
        <v>未买</v>
      </c>
      <c r="R269" s="19">
        <v>267</v>
      </c>
    </row>
    <row r="270" spans="5:18" x14ac:dyDescent="0.15">
      <c r="E270" s="5"/>
      <c r="H270" s="19">
        <v>268</v>
      </c>
      <c r="I270">
        <v>123090</v>
      </c>
      <c r="J270" t="s">
        <v>183</v>
      </c>
      <c r="K270">
        <v>116.2</v>
      </c>
      <c r="L270">
        <v>69.36</v>
      </c>
      <c r="M270">
        <v>185.56</v>
      </c>
      <c r="N270" s="21">
        <v>4.9996939999999999</v>
      </c>
      <c r="O270" s="5" t="str">
        <f t="shared" si="11"/>
        <v>未买</v>
      </c>
      <c r="R270" s="19">
        <v>268</v>
      </c>
    </row>
    <row r="271" spans="5:18" x14ac:dyDescent="0.15">
      <c r="E271" s="5"/>
      <c r="H271" s="19">
        <v>269</v>
      </c>
      <c r="I271">
        <v>110076</v>
      </c>
      <c r="J271" t="s">
        <v>1967</v>
      </c>
      <c r="K271">
        <v>111.6</v>
      </c>
      <c r="L271">
        <v>74.099999999999994</v>
      </c>
      <c r="M271">
        <v>185.7</v>
      </c>
      <c r="N271" s="21">
        <v>18.424399999999999</v>
      </c>
      <c r="O271" s="5" t="str">
        <f t="shared" si="11"/>
        <v>未买</v>
      </c>
      <c r="R271" s="19">
        <v>269</v>
      </c>
    </row>
    <row r="272" spans="5:18" x14ac:dyDescent="0.15">
      <c r="E272" s="5"/>
      <c r="H272" s="19">
        <v>270</v>
      </c>
      <c r="I272">
        <v>123045</v>
      </c>
      <c r="J272" t="s">
        <v>109</v>
      </c>
      <c r="K272">
        <v>145.48500000000001</v>
      </c>
      <c r="L272">
        <v>40.33</v>
      </c>
      <c r="M272">
        <v>185.815</v>
      </c>
      <c r="N272" s="21">
        <v>1.6599440000000001</v>
      </c>
      <c r="O272" s="5" t="str">
        <f t="shared" si="11"/>
        <v>未买</v>
      </c>
      <c r="R272" s="19">
        <v>270</v>
      </c>
    </row>
    <row r="273" spans="5:18" x14ac:dyDescent="0.15">
      <c r="E273" s="5"/>
      <c r="H273" s="19">
        <v>271</v>
      </c>
      <c r="I273">
        <v>123049</v>
      </c>
      <c r="J273" t="s">
        <v>194</v>
      </c>
      <c r="K273">
        <v>108.902</v>
      </c>
      <c r="L273">
        <v>76.959999999999994</v>
      </c>
      <c r="M273">
        <v>185.86199999999999</v>
      </c>
      <c r="N273" s="21">
        <v>9.1698649999999997</v>
      </c>
      <c r="O273" s="5" t="str">
        <f t="shared" si="11"/>
        <v>未买</v>
      </c>
      <c r="R273" s="19">
        <v>271</v>
      </c>
    </row>
    <row r="274" spans="5:18" x14ac:dyDescent="0.15">
      <c r="E274" s="5"/>
      <c r="H274" s="19">
        <v>272</v>
      </c>
      <c r="I274">
        <v>113535</v>
      </c>
      <c r="J274" t="s">
        <v>217</v>
      </c>
      <c r="K274">
        <v>111.85</v>
      </c>
      <c r="L274">
        <v>75.12</v>
      </c>
      <c r="M274">
        <v>186.97</v>
      </c>
      <c r="N274" s="21">
        <v>4.99613</v>
      </c>
      <c r="O274" s="5" t="str">
        <f t="shared" si="11"/>
        <v>未买</v>
      </c>
      <c r="R274" s="19">
        <v>272</v>
      </c>
    </row>
    <row r="275" spans="5:18" x14ac:dyDescent="0.15">
      <c r="E275" s="5"/>
      <c r="H275" s="19">
        <v>273</v>
      </c>
      <c r="I275">
        <v>128122</v>
      </c>
      <c r="J275" t="s">
        <v>203</v>
      </c>
      <c r="K275">
        <v>121.71</v>
      </c>
      <c r="L275">
        <v>66.73</v>
      </c>
      <c r="M275">
        <v>188.44</v>
      </c>
      <c r="N275" s="21">
        <v>2.6856749999999998</v>
      </c>
      <c r="O275" s="5" t="str">
        <f t="shared" si="11"/>
        <v>未买</v>
      </c>
      <c r="R275" s="19">
        <v>273</v>
      </c>
    </row>
    <row r="276" spans="5:18" x14ac:dyDescent="0.15">
      <c r="E276" s="5"/>
      <c r="H276" s="19">
        <v>274</v>
      </c>
      <c r="I276">
        <v>128040</v>
      </c>
      <c r="J276" t="s">
        <v>1850</v>
      </c>
      <c r="K276">
        <v>167.89</v>
      </c>
      <c r="L276">
        <v>20.83</v>
      </c>
      <c r="M276">
        <v>188.71999999999997</v>
      </c>
      <c r="N276" s="21">
        <v>2.005312</v>
      </c>
      <c r="O276" s="5" t="str">
        <f t="shared" si="11"/>
        <v>未买</v>
      </c>
      <c r="R276" s="19">
        <v>274</v>
      </c>
    </row>
    <row r="277" spans="5:18" x14ac:dyDescent="0.15">
      <c r="E277" s="5"/>
      <c r="H277" s="19">
        <v>275</v>
      </c>
      <c r="I277">
        <v>113577</v>
      </c>
      <c r="J277" t="s">
        <v>116</v>
      </c>
      <c r="K277">
        <v>132.54</v>
      </c>
      <c r="L277">
        <v>56.48</v>
      </c>
      <c r="M277">
        <v>189.01999999999998</v>
      </c>
      <c r="N277" s="21">
        <v>1.7774799999999999</v>
      </c>
      <c r="O277" s="5" t="str">
        <f t="shared" si="11"/>
        <v>未买</v>
      </c>
      <c r="R277" s="19">
        <v>275</v>
      </c>
    </row>
    <row r="278" spans="5:18" x14ac:dyDescent="0.15">
      <c r="E278" s="5"/>
      <c r="H278" s="19">
        <v>276</v>
      </c>
      <c r="I278">
        <v>127024</v>
      </c>
      <c r="J278" t="s">
        <v>1960</v>
      </c>
      <c r="K278">
        <v>106.96299999999999</v>
      </c>
      <c r="L278">
        <v>82.5</v>
      </c>
      <c r="M278">
        <v>189.46299999999999</v>
      </c>
      <c r="N278" s="21">
        <v>14.761056999999999</v>
      </c>
      <c r="O278" s="5" t="str">
        <f t="shared" si="11"/>
        <v>未买</v>
      </c>
      <c r="R278" s="19">
        <v>276</v>
      </c>
    </row>
    <row r="279" spans="5:18" x14ac:dyDescent="0.15">
      <c r="E279" s="5"/>
      <c r="H279" s="19">
        <v>277</v>
      </c>
      <c r="I279">
        <v>113542</v>
      </c>
      <c r="J279" t="s">
        <v>178</v>
      </c>
      <c r="K279">
        <v>108.77</v>
      </c>
      <c r="L279">
        <v>80.8</v>
      </c>
      <c r="M279">
        <v>189.57</v>
      </c>
      <c r="N279" s="21">
        <v>6.02719</v>
      </c>
      <c r="O279" s="5" t="str">
        <f t="shared" si="11"/>
        <v>未买</v>
      </c>
      <c r="R279" s="19">
        <v>277</v>
      </c>
    </row>
    <row r="280" spans="5:18" x14ac:dyDescent="0.15">
      <c r="E280" s="5"/>
      <c r="H280" s="19">
        <v>278</v>
      </c>
      <c r="I280">
        <v>128101</v>
      </c>
      <c r="J280" t="s">
        <v>1931</v>
      </c>
      <c r="K280">
        <v>146.61000000000001</v>
      </c>
      <c r="L280">
        <v>42.96</v>
      </c>
      <c r="M280">
        <v>189.57000000000002</v>
      </c>
      <c r="N280" s="21">
        <v>2.994561</v>
      </c>
      <c r="O280" s="5" t="str">
        <f t="shared" si="11"/>
        <v>未买</v>
      </c>
      <c r="R280" s="19">
        <v>278</v>
      </c>
    </row>
    <row r="281" spans="5:18" x14ac:dyDescent="0.15">
      <c r="E281" s="5"/>
      <c r="H281" s="19">
        <v>279</v>
      </c>
      <c r="I281">
        <v>123099</v>
      </c>
      <c r="J281" t="s">
        <v>245</v>
      </c>
      <c r="K281">
        <v>111.801</v>
      </c>
      <c r="L281">
        <v>78.37</v>
      </c>
      <c r="M281">
        <v>190.17099999999999</v>
      </c>
      <c r="N281" s="21">
        <v>8.4993130000000008</v>
      </c>
      <c r="O281" s="5" t="str">
        <f t="shared" si="11"/>
        <v>未买</v>
      </c>
      <c r="R281" s="19">
        <v>279</v>
      </c>
    </row>
    <row r="282" spans="5:18" x14ac:dyDescent="0.15">
      <c r="E282" s="5"/>
      <c r="H282" s="19">
        <v>280</v>
      </c>
      <c r="I282">
        <v>128014</v>
      </c>
      <c r="J282" t="s">
        <v>189</v>
      </c>
      <c r="K282">
        <v>110.5</v>
      </c>
      <c r="L282">
        <v>79.7</v>
      </c>
      <c r="M282">
        <v>190.2</v>
      </c>
      <c r="N282" s="21">
        <v>3.3697080000000001</v>
      </c>
      <c r="O282" s="5" t="str">
        <f t="shared" si="11"/>
        <v>未买</v>
      </c>
      <c r="R282" s="19">
        <v>280</v>
      </c>
    </row>
    <row r="283" spans="5:18" x14ac:dyDescent="0.15">
      <c r="E283" s="5"/>
      <c r="H283" s="19">
        <v>281</v>
      </c>
      <c r="I283">
        <v>123119</v>
      </c>
      <c r="J283" t="s">
        <v>1968</v>
      </c>
      <c r="K283">
        <v>112.246</v>
      </c>
      <c r="L283">
        <v>77.97</v>
      </c>
      <c r="M283">
        <v>190.21600000000001</v>
      </c>
      <c r="N283" s="21">
        <v>19.997247000000002</v>
      </c>
      <c r="O283" s="5" t="str">
        <f t="shared" si="11"/>
        <v>未买</v>
      </c>
      <c r="R283" s="19">
        <v>281</v>
      </c>
    </row>
    <row r="284" spans="5:18" x14ac:dyDescent="0.15">
      <c r="E284" s="5"/>
      <c r="H284" s="19">
        <v>282</v>
      </c>
      <c r="I284">
        <v>123056</v>
      </c>
      <c r="J284" t="s">
        <v>158</v>
      </c>
      <c r="K284">
        <v>107.911</v>
      </c>
      <c r="L284">
        <v>82.56</v>
      </c>
      <c r="M284">
        <v>190.471</v>
      </c>
      <c r="N284" s="21">
        <v>5.8400559999999997</v>
      </c>
      <c r="O284" s="5" t="str">
        <f t="shared" si="11"/>
        <v>未买</v>
      </c>
      <c r="R284" s="19">
        <v>282</v>
      </c>
    </row>
    <row r="285" spans="5:18" x14ac:dyDescent="0.15">
      <c r="E285" s="5"/>
      <c r="H285" s="19">
        <v>283</v>
      </c>
      <c r="I285">
        <v>128063</v>
      </c>
      <c r="J285" t="s">
        <v>206</v>
      </c>
      <c r="K285">
        <v>113.997</v>
      </c>
      <c r="L285">
        <v>76.52</v>
      </c>
      <c r="M285">
        <v>190.517</v>
      </c>
      <c r="N285" s="21">
        <v>6.293526</v>
      </c>
      <c r="O285" s="5" t="str">
        <f t="shared" si="11"/>
        <v>未买</v>
      </c>
      <c r="R285" s="19">
        <v>283</v>
      </c>
    </row>
    <row r="286" spans="5:18" x14ac:dyDescent="0.15">
      <c r="E286" s="5"/>
      <c r="H286" s="19">
        <v>284</v>
      </c>
      <c r="I286">
        <v>128069</v>
      </c>
      <c r="J286" t="s">
        <v>173</v>
      </c>
      <c r="K286">
        <v>117.4</v>
      </c>
      <c r="L286">
        <v>73.459999999999994</v>
      </c>
      <c r="M286">
        <v>190.86</v>
      </c>
      <c r="N286" s="21">
        <v>2.99343</v>
      </c>
      <c r="O286" s="5" t="str">
        <f t="shared" si="11"/>
        <v>未买</v>
      </c>
      <c r="R286" s="19">
        <v>284</v>
      </c>
    </row>
    <row r="287" spans="5:18" x14ac:dyDescent="0.15">
      <c r="E287" s="5"/>
      <c r="H287" s="19">
        <v>285</v>
      </c>
      <c r="I287" s="7">
        <v>113561</v>
      </c>
      <c r="J287" s="7" t="s">
        <v>86</v>
      </c>
      <c r="K287" s="7">
        <v>131.15</v>
      </c>
      <c r="L287" s="7">
        <v>59.82</v>
      </c>
      <c r="M287" s="7">
        <v>190.97</v>
      </c>
      <c r="N287" s="36">
        <v>1.4991000000000001</v>
      </c>
      <c r="O287" s="5" t="str">
        <f t="shared" si="11"/>
        <v>未买</v>
      </c>
      <c r="R287" s="19">
        <v>285</v>
      </c>
    </row>
    <row r="288" spans="5:18" x14ac:dyDescent="0.15">
      <c r="E288" s="5"/>
      <c r="H288" s="19">
        <v>286</v>
      </c>
      <c r="I288" s="7">
        <v>113604</v>
      </c>
      <c r="J288" s="7" t="s">
        <v>162</v>
      </c>
      <c r="K288" s="7">
        <v>105.13</v>
      </c>
      <c r="L288" s="7">
        <v>85.94</v>
      </c>
      <c r="M288" s="7">
        <v>191.07</v>
      </c>
      <c r="N288" s="36">
        <v>6.3988699999999996</v>
      </c>
      <c r="O288" s="5" t="str">
        <f t="shared" si="11"/>
        <v>未买</v>
      </c>
      <c r="R288" s="19">
        <v>286</v>
      </c>
    </row>
    <row r="289" spans="5:18" x14ac:dyDescent="0.15">
      <c r="E289" s="5"/>
      <c r="H289" s="19">
        <v>287</v>
      </c>
      <c r="I289" s="7">
        <v>128131</v>
      </c>
      <c r="J289" s="7" t="s">
        <v>1963</v>
      </c>
      <c r="K289" s="7">
        <v>111.88800000000001</v>
      </c>
      <c r="L289" s="7">
        <v>79.45</v>
      </c>
      <c r="M289" s="7">
        <v>191.33800000000002</v>
      </c>
      <c r="N289" s="36">
        <v>13.997867000000003</v>
      </c>
      <c r="O289" s="5" t="str">
        <f t="shared" si="11"/>
        <v>未买</v>
      </c>
      <c r="R289" s="19">
        <v>287</v>
      </c>
    </row>
    <row r="290" spans="5:18" x14ac:dyDescent="0.15">
      <c r="E290" s="5"/>
      <c r="H290" s="19">
        <v>288</v>
      </c>
      <c r="I290" s="7">
        <v>113593</v>
      </c>
      <c r="J290" s="7" t="s">
        <v>60</v>
      </c>
      <c r="K290" s="7">
        <v>115.09</v>
      </c>
      <c r="L290" s="7">
        <v>76.650000000000006</v>
      </c>
      <c r="M290" s="7">
        <v>191.74</v>
      </c>
      <c r="N290" s="36">
        <v>3.9977800000000001</v>
      </c>
      <c r="O290" s="5" t="str">
        <f t="shared" si="11"/>
        <v>未买</v>
      </c>
      <c r="R290" s="19">
        <v>288</v>
      </c>
    </row>
    <row r="291" spans="5:18" x14ac:dyDescent="0.15">
      <c r="E291" s="5"/>
      <c r="H291" s="19">
        <v>289</v>
      </c>
      <c r="I291" s="7">
        <v>110059</v>
      </c>
      <c r="J291" s="7" t="s">
        <v>1958</v>
      </c>
      <c r="K291" s="7">
        <v>106.06</v>
      </c>
      <c r="L291" s="7">
        <v>85.91</v>
      </c>
      <c r="M291" s="7">
        <v>191.97</v>
      </c>
      <c r="N291" s="36">
        <v>499.98649</v>
      </c>
      <c r="O291" s="5" t="str">
        <f t="shared" si="11"/>
        <v>未买</v>
      </c>
      <c r="R291" s="19">
        <v>289</v>
      </c>
    </row>
    <row r="292" spans="5:18" x14ac:dyDescent="0.15">
      <c r="E292" s="5"/>
      <c r="H292" s="19">
        <v>290</v>
      </c>
      <c r="I292" s="7">
        <v>113578</v>
      </c>
      <c r="J292" s="7" t="s">
        <v>175</v>
      </c>
      <c r="K292" s="7">
        <v>104.14</v>
      </c>
      <c r="L292" s="7">
        <v>87.88</v>
      </c>
      <c r="M292" s="7">
        <v>192.01999999999998</v>
      </c>
      <c r="N292" s="36">
        <v>3.8380800000000002</v>
      </c>
      <c r="O292" s="5" t="str">
        <f t="shared" si="11"/>
        <v>未买</v>
      </c>
      <c r="R292" s="19">
        <v>290</v>
      </c>
    </row>
    <row r="293" spans="5:18" x14ac:dyDescent="0.15">
      <c r="E293" s="5"/>
      <c r="H293" s="19">
        <v>291</v>
      </c>
      <c r="I293" s="7">
        <v>123022</v>
      </c>
      <c r="J293" s="7" t="s">
        <v>1915</v>
      </c>
      <c r="K293" s="7">
        <v>159.06299999999999</v>
      </c>
      <c r="L293" s="7">
        <v>34.04</v>
      </c>
      <c r="M293" s="7">
        <v>193.10299999999998</v>
      </c>
      <c r="N293" s="36">
        <v>2.5627759999999995</v>
      </c>
      <c r="O293" s="5" t="str">
        <f t="shared" si="11"/>
        <v>未买</v>
      </c>
      <c r="R293" s="19">
        <v>291</v>
      </c>
    </row>
    <row r="294" spans="5:18" x14ac:dyDescent="0.15">
      <c r="E294" s="5"/>
      <c r="H294" s="19">
        <v>292</v>
      </c>
      <c r="I294" s="7">
        <v>123108</v>
      </c>
      <c r="J294" s="7" t="s">
        <v>1961</v>
      </c>
      <c r="K294" s="7">
        <v>112.098</v>
      </c>
      <c r="L294" s="7">
        <v>81.39</v>
      </c>
      <c r="M294" s="7">
        <v>193.488</v>
      </c>
      <c r="N294" s="36">
        <v>16.377485999999998</v>
      </c>
      <c r="O294" s="5" t="str">
        <f t="shared" si="11"/>
        <v>未买</v>
      </c>
      <c r="R294" s="19">
        <v>292</v>
      </c>
    </row>
    <row r="295" spans="5:18" x14ac:dyDescent="0.15">
      <c r="E295" s="5"/>
      <c r="H295" s="19">
        <v>293</v>
      </c>
      <c r="I295" s="7">
        <v>113616</v>
      </c>
      <c r="J295" s="7" t="s">
        <v>1957</v>
      </c>
      <c r="K295" s="7">
        <v>123.06</v>
      </c>
      <c r="L295" s="7">
        <v>70.73</v>
      </c>
      <c r="M295" s="7">
        <v>193.79000000000002</v>
      </c>
      <c r="N295" s="36">
        <v>24.333670000000001</v>
      </c>
      <c r="O295" s="5" t="str">
        <f t="shared" si="11"/>
        <v>未买</v>
      </c>
      <c r="R295" s="19">
        <v>293</v>
      </c>
    </row>
    <row r="296" spans="5:18" x14ac:dyDescent="0.15">
      <c r="E296" s="5"/>
      <c r="H296" s="19">
        <v>294</v>
      </c>
      <c r="I296" s="7">
        <v>123088</v>
      </c>
      <c r="J296" s="7" t="s">
        <v>238</v>
      </c>
      <c r="K296" s="7">
        <v>126.1</v>
      </c>
      <c r="L296" s="7">
        <v>68.790000000000006</v>
      </c>
      <c r="M296" s="7">
        <v>194.89</v>
      </c>
      <c r="N296" s="36">
        <v>3.011755</v>
      </c>
      <c r="O296" s="5" t="str">
        <f t="shared" si="11"/>
        <v>未买</v>
      </c>
      <c r="R296" s="19">
        <v>294</v>
      </c>
    </row>
    <row r="297" spans="5:18" x14ac:dyDescent="0.15">
      <c r="E297" s="5"/>
      <c r="H297" s="19">
        <v>295</v>
      </c>
      <c r="I297" s="7">
        <v>113633</v>
      </c>
      <c r="J297" s="7" t="s">
        <v>1969</v>
      </c>
      <c r="K297" s="7">
        <v>115.22</v>
      </c>
      <c r="L297" s="7">
        <v>79.98</v>
      </c>
      <c r="M297" s="7">
        <v>195.2</v>
      </c>
      <c r="N297" s="36">
        <v>10.39917</v>
      </c>
      <c r="O297" s="5" t="str">
        <f t="shared" si="11"/>
        <v>未买</v>
      </c>
      <c r="R297" s="19">
        <v>295</v>
      </c>
    </row>
    <row r="298" spans="5:18" x14ac:dyDescent="0.15">
      <c r="E298" s="5"/>
      <c r="H298" s="19">
        <v>296</v>
      </c>
      <c r="I298" s="7">
        <v>128116</v>
      </c>
      <c r="J298" s="7" t="s">
        <v>185</v>
      </c>
      <c r="K298" s="7">
        <v>111.61499999999999</v>
      </c>
      <c r="L298" s="7">
        <v>83.73</v>
      </c>
      <c r="M298" s="7">
        <v>195.345</v>
      </c>
      <c r="N298" s="36">
        <v>6.4919989999999999</v>
      </c>
      <c r="O298" s="5" t="str">
        <f t="shared" si="11"/>
        <v>未买</v>
      </c>
      <c r="R298" s="19">
        <v>296</v>
      </c>
    </row>
    <row r="299" spans="5:18" x14ac:dyDescent="0.15">
      <c r="E299" s="5"/>
      <c r="H299" s="19">
        <v>297</v>
      </c>
      <c r="I299" s="7">
        <v>128053</v>
      </c>
      <c r="J299" s="7" t="s">
        <v>61</v>
      </c>
      <c r="K299" s="7">
        <v>141.45599999999999</v>
      </c>
      <c r="L299" s="7">
        <v>54.09</v>
      </c>
      <c r="M299" s="7">
        <v>195.54599999999999</v>
      </c>
      <c r="N299" s="36">
        <v>1.90018</v>
      </c>
      <c r="O299" s="5" t="str">
        <f t="shared" si="11"/>
        <v>未买</v>
      </c>
      <c r="R299" s="19">
        <v>297</v>
      </c>
    </row>
    <row r="300" spans="5:18" x14ac:dyDescent="0.15">
      <c r="E300" s="5"/>
      <c r="H300" s="19">
        <v>298</v>
      </c>
      <c r="I300" s="7">
        <v>113526</v>
      </c>
      <c r="J300" s="7" t="s">
        <v>144</v>
      </c>
      <c r="K300" s="7">
        <v>149.54</v>
      </c>
      <c r="L300" s="7">
        <v>46.46</v>
      </c>
      <c r="M300" s="7">
        <v>196</v>
      </c>
      <c r="N300" s="36">
        <v>1.9295199999999999</v>
      </c>
      <c r="O300" s="5" t="str">
        <f t="shared" si="11"/>
        <v>未买</v>
      </c>
      <c r="R300" s="19">
        <v>298</v>
      </c>
    </row>
    <row r="301" spans="5:18" x14ac:dyDescent="0.15">
      <c r="E301" s="5"/>
      <c r="H301" s="19">
        <v>299</v>
      </c>
      <c r="I301" s="7">
        <v>113608</v>
      </c>
      <c r="J301" s="7" t="s">
        <v>66</v>
      </c>
      <c r="K301" s="7">
        <v>109.59</v>
      </c>
      <c r="L301" s="7">
        <v>86.54</v>
      </c>
      <c r="M301" s="7">
        <v>196.13</v>
      </c>
      <c r="N301" s="36">
        <v>4.1998600000000001</v>
      </c>
      <c r="O301" s="5" t="str">
        <f t="shared" si="11"/>
        <v>未买</v>
      </c>
      <c r="R301" s="19">
        <v>299</v>
      </c>
    </row>
    <row r="302" spans="5:18" x14ac:dyDescent="0.15">
      <c r="E302" s="5"/>
      <c r="H302" s="19">
        <v>300</v>
      </c>
      <c r="I302" s="7">
        <v>113027</v>
      </c>
      <c r="J302" s="7" t="s">
        <v>1879</v>
      </c>
      <c r="K302" s="7">
        <v>177.07</v>
      </c>
      <c r="L302" s="7">
        <v>19.260000000000002</v>
      </c>
      <c r="M302" s="7">
        <v>196.32999999999998</v>
      </c>
      <c r="N302" s="36">
        <v>2.3872300000000002</v>
      </c>
      <c r="O302" s="5" t="str">
        <f t="shared" si="11"/>
        <v>未买</v>
      </c>
      <c r="R302" s="19">
        <v>300</v>
      </c>
    </row>
    <row r="303" spans="5:18" x14ac:dyDescent="0.15">
      <c r="E303" s="5"/>
      <c r="H303" s="19">
        <v>301</v>
      </c>
      <c r="I303" s="7">
        <v>113530</v>
      </c>
      <c r="J303" s="7" t="s">
        <v>191</v>
      </c>
      <c r="K303" s="7">
        <v>119.63</v>
      </c>
      <c r="L303" s="7">
        <v>77.52</v>
      </c>
      <c r="M303" s="7">
        <v>197.14999999999998</v>
      </c>
      <c r="N303" s="36">
        <v>6.29765</v>
      </c>
      <c r="O303" s="5" t="str">
        <f t="shared" si="11"/>
        <v>未买</v>
      </c>
      <c r="R303" s="19">
        <v>301</v>
      </c>
    </row>
    <row r="304" spans="5:18" x14ac:dyDescent="0.15">
      <c r="E304" s="5"/>
      <c r="H304" s="19">
        <v>302</v>
      </c>
      <c r="I304" s="7">
        <v>128035</v>
      </c>
      <c r="J304" s="7" t="s">
        <v>1965</v>
      </c>
      <c r="K304" s="7">
        <v>111.3</v>
      </c>
      <c r="L304" s="7">
        <v>86.24</v>
      </c>
      <c r="M304" s="7">
        <v>197.54</v>
      </c>
      <c r="N304" s="36">
        <v>22.994976000000001</v>
      </c>
      <c r="O304" s="5" t="str">
        <f t="shared" si="11"/>
        <v>未买</v>
      </c>
      <c r="R304" s="19">
        <v>302</v>
      </c>
    </row>
    <row r="305" spans="5:18" x14ac:dyDescent="0.15">
      <c r="E305" s="5"/>
      <c r="H305" s="19">
        <v>303</v>
      </c>
      <c r="I305" s="7">
        <v>123062</v>
      </c>
      <c r="J305" s="7" t="s">
        <v>103</v>
      </c>
      <c r="K305" s="7">
        <v>142.685</v>
      </c>
      <c r="L305" s="7">
        <v>55.19</v>
      </c>
      <c r="M305" s="7">
        <v>197.875</v>
      </c>
      <c r="N305" s="36">
        <v>1.947703</v>
      </c>
      <c r="O305" s="5" t="str">
        <f t="shared" si="11"/>
        <v>未买</v>
      </c>
      <c r="R305" s="19">
        <v>303</v>
      </c>
    </row>
    <row r="306" spans="5:18" x14ac:dyDescent="0.15">
      <c r="E306" s="5"/>
      <c r="H306" s="19">
        <v>304</v>
      </c>
      <c r="I306" s="7">
        <v>128046</v>
      </c>
      <c r="J306" s="7" t="s">
        <v>800</v>
      </c>
      <c r="K306" s="7">
        <v>198.797</v>
      </c>
      <c r="L306" s="7">
        <v>-0.76</v>
      </c>
      <c r="M306" s="7">
        <v>198.03700000000001</v>
      </c>
      <c r="N306" s="36">
        <v>7.7484169999999999</v>
      </c>
      <c r="O306" s="5" t="str">
        <f t="shared" si="11"/>
        <v>未买</v>
      </c>
      <c r="R306" s="19">
        <v>304</v>
      </c>
    </row>
    <row r="307" spans="5:18" x14ac:dyDescent="0.15">
      <c r="E307" s="5"/>
      <c r="H307" s="19">
        <v>305</v>
      </c>
      <c r="I307" s="7">
        <v>113594</v>
      </c>
      <c r="J307" s="7" t="s">
        <v>76</v>
      </c>
      <c r="K307" s="7">
        <v>118.09</v>
      </c>
      <c r="L307" s="7">
        <v>79.989999999999995</v>
      </c>
      <c r="M307" s="7">
        <v>198.07999999999998</v>
      </c>
      <c r="N307" s="36">
        <v>2.9975200000000002</v>
      </c>
      <c r="O307" s="5" t="str">
        <f t="shared" si="11"/>
        <v>未买</v>
      </c>
      <c r="R307" s="19">
        <v>305</v>
      </c>
    </row>
    <row r="308" spans="5:18" x14ac:dyDescent="0.15">
      <c r="E308" s="5"/>
      <c r="H308" s="19">
        <v>306</v>
      </c>
      <c r="I308" s="7">
        <v>123083</v>
      </c>
      <c r="J308" s="7" t="s">
        <v>114</v>
      </c>
      <c r="K308" s="7">
        <v>195.5</v>
      </c>
      <c r="L308" s="7">
        <v>2.94</v>
      </c>
      <c r="M308" s="7">
        <v>198.44</v>
      </c>
      <c r="N308" s="36">
        <v>5.4829610000000004</v>
      </c>
      <c r="O308" s="5" t="str">
        <f t="shared" si="11"/>
        <v>未买</v>
      </c>
      <c r="R308" s="19">
        <v>306</v>
      </c>
    </row>
    <row r="309" spans="5:18" x14ac:dyDescent="0.15">
      <c r="E309" s="5"/>
      <c r="H309" s="19">
        <v>307</v>
      </c>
      <c r="I309" s="7">
        <v>128108</v>
      </c>
      <c r="J309" s="7" t="s">
        <v>1971</v>
      </c>
      <c r="K309" s="7">
        <v>101.29</v>
      </c>
      <c r="L309" s="7">
        <v>97.6</v>
      </c>
      <c r="M309" s="7">
        <v>198.89</v>
      </c>
      <c r="N309" s="36">
        <v>15.214682</v>
      </c>
      <c r="O309" s="5" t="str">
        <f t="shared" si="11"/>
        <v>未买</v>
      </c>
      <c r="R309" s="19">
        <v>307</v>
      </c>
    </row>
    <row r="310" spans="5:18" x14ac:dyDescent="0.15">
      <c r="E310" s="5"/>
      <c r="H310" s="19">
        <v>308</v>
      </c>
      <c r="I310" s="7">
        <v>113525</v>
      </c>
      <c r="J310" s="7" t="s">
        <v>1867</v>
      </c>
      <c r="K310" s="7">
        <v>185.86</v>
      </c>
      <c r="L310" s="7">
        <v>13.5</v>
      </c>
      <c r="M310" s="7">
        <v>199.36</v>
      </c>
      <c r="N310" s="36">
        <v>1.8535699999999999</v>
      </c>
      <c r="O310" s="5" t="str">
        <f t="shared" si="11"/>
        <v>未买</v>
      </c>
      <c r="R310" s="19">
        <v>308</v>
      </c>
    </row>
    <row r="311" spans="5:18" x14ac:dyDescent="0.15">
      <c r="E311" s="5"/>
      <c r="H311" s="19">
        <v>309</v>
      </c>
      <c r="I311" s="7">
        <v>123054</v>
      </c>
      <c r="J311" s="7" t="s">
        <v>82</v>
      </c>
      <c r="K311" s="7">
        <v>139.72999999999999</v>
      </c>
      <c r="L311" s="7">
        <v>61.15</v>
      </c>
      <c r="M311" s="7">
        <v>200.88</v>
      </c>
      <c r="N311" s="36">
        <v>2.073102</v>
      </c>
      <c r="O311" s="5" t="str">
        <f t="shared" si="11"/>
        <v>未买</v>
      </c>
      <c r="R311" s="19">
        <v>309</v>
      </c>
    </row>
    <row r="312" spans="5:18" x14ac:dyDescent="0.15">
      <c r="E312" s="5"/>
      <c r="H312" s="19">
        <v>310</v>
      </c>
      <c r="I312" s="7">
        <v>127041</v>
      </c>
      <c r="J312" s="7" t="s">
        <v>200</v>
      </c>
      <c r="K312" s="7">
        <v>111.95</v>
      </c>
      <c r="L312" s="7">
        <v>89.17</v>
      </c>
      <c r="M312" s="7">
        <v>201.12</v>
      </c>
      <c r="N312" s="36">
        <v>5.9996049999999999</v>
      </c>
      <c r="O312" s="5" t="str">
        <f t="shared" si="11"/>
        <v>未买</v>
      </c>
      <c r="R312" s="19">
        <v>310</v>
      </c>
    </row>
    <row r="313" spans="5:18" x14ac:dyDescent="0.15">
      <c r="E313" s="5"/>
      <c r="H313" s="19">
        <v>311</v>
      </c>
      <c r="I313" s="7">
        <v>123109</v>
      </c>
      <c r="J313" s="7" t="s">
        <v>1966</v>
      </c>
      <c r="K313" s="7">
        <v>112.298</v>
      </c>
      <c r="L313" s="7">
        <v>89.53</v>
      </c>
      <c r="M313" s="7">
        <v>201.828</v>
      </c>
      <c r="N313" s="36">
        <v>4.5955410000000008</v>
      </c>
      <c r="O313" s="5" t="str">
        <f t="shared" si="11"/>
        <v>未买</v>
      </c>
      <c r="R313" s="19">
        <v>311</v>
      </c>
    </row>
    <row r="314" spans="5:18" x14ac:dyDescent="0.15">
      <c r="E314" s="5"/>
      <c r="H314" s="19">
        <v>312</v>
      </c>
      <c r="I314" s="7">
        <v>113566</v>
      </c>
      <c r="J314" s="7" t="s">
        <v>195</v>
      </c>
      <c r="K314" s="7">
        <v>123.94</v>
      </c>
      <c r="L314" s="7">
        <v>78.2</v>
      </c>
      <c r="M314" s="7">
        <v>202.14</v>
      </c>
      <c r="N314" s="36">
        <v>1.6127199999999999</v>
      </c>
      <c r="O314" s="5" t="str">
        <f t="shared" si="11"/>
        <v>未买</v>
      </c>
      <c r="R314" s="19">
        <v>312</v>
      </c>
    </row>
    <row r="315" spans="5:18" x14ac:dyDescent="0.15">
      <c r="E315" s="5"/>
      <c r="H315" s="19">
        <v>313</v>
      </c>
      <c r="I315" s="7">
        <v>123014</v>
      </c>
      <c r="J315" s="7" t="s">
        <v>55</v>
      </c>
      <c r="K315" s="7">
        <v>150.69999999999999</v>
      </c>
      <c r="L315" s="7">
        <v>51.64</v>
      </c>
      <c r="M315" s="7">
        <v>202.33999999999997</v>
      </c>
      <c r="N315" s="36">
        <v>1.160385</v>
      </c>
      <c r="O315" s="5" t="str">
        <f t="shared" si="11"/>
        <v>未买</v>
      </c>
      <c r="R315" s="19">
        <v>313</v>
      </c>
    </row>
    <row r="316" spans="5:18" x14ac:dyDescent="0.15">
      <c r="E316" s="5"/>
      <c r="H316" s="19">
        <v>314</v>
      </c>
      <c r="I316" s="7">
        <v>113639</v>
      </c>
      <c r="J316" s="7" t="s">
        <v>792</v>
      </c>
      <c r="K316" s="7">
        <v>115.16</v>
      </c>
      <c r="L316" s="7">
        <v>87.34</v>
      </c>
      <c r="M316" s="7">
        <v>202.5</v>
      </c>
      <c r="N316" s="36">
        <v>5.7</v>
      </c>
      <c r="O316" s="5" t="str">
        <f t="shared" si="11"/>
        <v>未买</v>
      </c>
      <c r="R316" s="19">
        <v>314</v>
      </c>
    </row>
    <row r="317" spans="5:18" x14ac:dyDescent="0.15">
      <c r="E317" s="5"/>
      <c r="H317" s="19">
        <v>315</v>
      </c>
      <c r="I317" s="7">
        <v>123124</v>
      </c>
      <c r="J317" s="7" t="s">
        <v>199</v>
      </c>
      <c r="K317" s="7">
        <v>111.82</v>
      </c>
      <c r="L317" s="7">
        <v>90.92</v>
      </c>
      <c r="M317" s="7">
        <v>202.74</v>
      </c>
      <c r="N317" s="36">
        <v>5.227792</v>
      </c>
      <c r="O317" s="5" t="str">
        <f t="shared" si="11"/>
        <v>未买</v>
      </c>
      <c r="R317" s="19">
        <v>315</v>
      </c>
    </row>
    <row r="318" spans="5:18" x14ac:dyDescent="0.15">
      <c r="E318" s="5"/>
      <c r="H318" s="19">
        <v>316</v>
      </c>
      <c r="I318" s="7">
        <v>123060</v>
      </c>
      <c r="J318" s="7" t="s">
        <v>1849</v>
      </c>
      <c r="K318" s="7">
        <v>187.1</v>
      </c>
      <c r="L318" s="7">
        <v>17.260000000000002</v>
      </c>
      <c r="M318" s="7">
        <v>204.35999999999999</v>
      </c>
      <c r="N318" s="36">
        <v>3.0963069999999999</v>
      </c>
      <c r="O318" s="5" t="str">
        <f t="shared" si="11"/>
        <v>未买</v>
      </c>
      <c r="R318" s="19">
        <v>316</v>
      </c>
    </row>
    <row r="319" spans="5:18" x14ac:dyDescent="0.15">
      <c r="E319" s="5"/>
      <c r="H319" s="19">
        <v>317</v>
      </c>
      <c r="I319" s="7">
        <v>128106</v>
      </c>
      <c r="J319" s="7" t="s">
        <v>1828</v>
      </c>
      <c r="K319" s="7">
        <v>199.99</v>
      </c>
      <c r="L319" s="7">
        <v>4.63</v>
      </c>
      <c r="M319" s="7">
        <v>204.62</v>
      </c>
      <c r="N319" s="36">
        <v>2.8922729999999999</v>
      </c>
      <c r="O319" s="5" t="str">
        <f t="shared" si="11"/>
        <v>未买</v>
      </c>
      <c r="R319" s="19">
        <v>317</v>
      </c>
    </row>
    <row r="320" spans="5:18" x14ac:dyDescent="0.15">
      <c r="E320" s="5"/>
      <c r="H320" s="19">
        <v>318</v>
      </c>
      <c r="I320" s="7">
        <v>128056</v>
      </c>
      <c r="J320" s="7" t="s">
        <v>79</v>
      </c>
      <c r="K320" s="7">
        <v>134.5</v>
      </c>
      <c r="L320" s="7">
        <v>71.38</v>
      </c>
      <c r="M320" s="7">
        <v>205.88</v>
      </c>
      <c r="N320" s="36">
        <v>1.7224740000000003</v>
      </c>
      <c r="O320" s="5" t="str">
        <f t="shared" si="11"/>
        <v>未买</v>
      </c>
      <c r="R320" s="19">
        <v>318</v>
      </c>
    </row>
    <row r="321" spans="5:18" x14ac:dyDescent="0.15">
      <c r="E321" s="5"/>
      <c r="H321" s="19">
        <v>319</v>
      </c>
      <c r="I321" s="7">
        <v>118004</v>
      </c>
      <c r="J321" s="7" t="s">
        <v>279</v>
      </c>
      <c r="K321" s="7">
        <v>121.2</v>
      </c>
      <c r="L321" s="7">
        <v>85.21</v>
      </c>
      <c r="M321" s="7">
        <v>206.41</v>
      </c>
      <c r="N321" s="36">
        <v>4.6500000000000004</v>
      </c>
      <c r="O321" s="5" t="str">
        <f t="shared" si="11"/>
        <v>未买</v>
      </c>
      <c r="R321" s="19">
        <v>319</v>
      </c>
    </row>
    <row r="322" spans="5:18" x14ac:dyDescent="0.15">
      <c r="E322" s="5"/>
      <c r="H322" s="19">
        <v>320</v>
      </c>
      <c r="I322" s="7">
        <v>128072</v>
      </c>
      <c r="J322" s="7" t="s">
        <v>156</v>
      </c>
      <c r="K322" s="7">
        <v>110.29</v>
      </c>
      <c r="L322" s="7">
        <v>96.74</v>
      </c>
      <c r="M322" s="7">
        <v>207.03</v>
      </c>
      <c r="N322" s="36">
        <v>3.0179149999999999</v>
      </c>
      <c r="O322" s="5" t="str">
        <f t="shared" si="11"/>
        <v>未买</v>
      </c>
      <c r="R322" s="19">
        <v>320</v>
      </c>
    </row>
    <row r="323" spans="5:18" x14ac:dyDescent="0.15">
      <c r="E323" s="5"/>
      <c r="H323" s="19">
        <v>321</v>
      </c>
      <c r="I323" s="7">
        <v>123084</v>
      </c>
      <c r="J323" s="7" t="s">
        <v>113</v>
      </c>
      <c r="K323" s="7">
        <v>173.49600000000001</v>
      </c>
      <c r="L323" s="7">
        <v>33.729999999999997</v>
      </c>
      <c r="M323" s="7">
        <v>207.226</v>
      </c>
      <c r="N323" s="36">
        <v>2.5422899999999999</v>
      </c>
      <c r="O323" s="5" t="str">
        <f t="shared" si="11"/>
        <v>未买</v>
      </c>
      <c r="R323" s="19">
        <v>321</v>
      </c>
    </row>
    <row r="324" spans="5:18" x14ac:dyDescent="0.15">
      <c r="E324" s="5"/>
      <c r="H324" s="19">
        <v>322</v>
      </c>
      <c r="I324" s="7">
        <v>123116</v>
      </c>
      <c r="J324" s="7" t="s">
        <v>213</v>
      </c>
      <c r="K324" s="7">
        <v>118.1</v>
      </c>
      <c r="L324" s="7">
        <v>90.3</v>
      </c>
      <c r="M324" s="7">
        <v>208.39999999999998</v>
      </c>
      <c r="N324" s="36">
        <v>3.7816160000000005</v>
      </c>
      <c r="O324" s="5" t="str">
        <f t="shared" ref="O324:O387" si="12">IF(ISNA(MATCH(I324,$A$3:$A$1000,0)),"未买","Yes")</f>
        <v>未买</v>
      </c>
      <c r="R324" s="19">
        <v>322</v>
      </c>
    </row>
    <row r="325" spans="5:18" x14ac:dyDescent="0.15">
      <c r="E325" s="5"/>
      <c r="H325" s="19">
        <v>323</v>
      </c>
      <c r="I325" s="7">
        <v>113632</v>
      </c>
      <c r="J325" s="7" t="s">
        <v>1973</v>
      </c>
      <c r="K325" s="7">
        <v>117.07</v>
      </c>
      <c r="L325" s="7">
        <v>92.26</v>
      </c>
      <c r="M325" s="7">
        <v>209.32999999999998</v>
      </c>
      <c r="N325" s="36">
        <v>20.499870000000001</v>
      </c>
      <c r="O325" s="5" t="str">
        <f t="shared" si="12"/>
        <v>未买</v>
      </c>
      <c r="R325" s="19">
        <v>323</v>
      </c>
    </row>
    <row r="326" spans="5:18" x14ac:dyDescent="0.15">
      <c r="E326" s="5"/>
      <c r="H326" s="19">
        <v>324</v>
      </c>
      <c r="I326" s="7">
        <v>113595</v>
      </c>
      <c r="J326" s="7" t="s">
        <v>141</v>
      </c>
      <c r="K326" s="7">
        <v>108.78</v>
      </c>
      <c r="L326" s="7">
        <v>100.74</v>
      </c>
      <c r="M326" s="7">
        <v>209.51999999999998</v>
      </c>
      <c r="N326" s="36">
        <v>3.2978900000000002</v>
      </c>
      <c r="O326" s="5" t="str">
        <f t="shared" si="12"/>
        <v>未买</v>
      </c>
      <c r="R326" s="19">
        <v>324</v>
      </c>
    </row>
    <row r="327" spans="5:18" x14ac:dyDescent="0.15">
      <c r="E327" s="5"/>
      <c r="H327" s="19">
        <v>325</v>
      </c>
      <c r="I327" s="7">
        <v>127044</v>
      </c>
      <c r="J327" s="7" t="s">
        <v>1972</v>
      </c>
      <c r="K327" s="7">
        <v>107.309</v>
      </c>
      <c r="L327" s="7">
        <v>103.28</v>
      </c>
      <c r="M327" s="7">
        <v>210.589</v>
      </c>
      <c r="N327" s="36">
        <v>11.688867</v>
      </c>
      <c r="O327" s="5" t="str">
        <f t="shared" si="12"/>
        <v>未买</v>
      </c>
      <c r="R327" s="19">
        <v>325</v>
      </c>
    </row>
    <row r="328" spans="5:18" x14ac:dyDescent="0.15">
      <c r="E328" s="5"/>
      <c r="H328" s="19">
        <v>326</v>
      </c>
      <c r="I328" s="7">
        <v>123117</v>
      </c>
      <c r="J328" s="7" t="s">
        <v>147</v>
      </c>
      <c r="K328" s="7">
        <v>111.851</v>
      </c>
      <c r="L328" s="7">
        <v>98.74</v>
      </c>
      <c r="M328" s="7">
        <v>210.59100000000001</v>
      </c>
      <c r="N328" s="36">
        <v>9.9991240000000001</v>
      </c>
      <c r="O328" s="5" t="str">
        <f t="shared" si="12"/>
        <v>未买</v>
      </c>
      <c r="R328" s="19">
        <v>326</v>
      </c>
    </row>
    <row r="329" spans="5:18" x14ac:dyDescent="0.15">
      <c r="E329" s="5"/>
      <c r="H329" s="19">
        <v>327</v>
      </c>
      <c r="I329" s="7">
        <v>128136</v>
      </c>
      <c r="J329" s="7" t="s">
        <v>1970</v>
      </c>
      <c r="K329" s="7">
        <v>113.5</v>
      </c>
      <c r="L329" s="7">
        <v>97.56</v>
      </c>
      <c r="M329" s="7">
        <v>211.06</v>
      </c>
      <c r="N329" s="36">
        <v>29.993306</v>
      </c>
      <c r="O329" s="5" t="str">
        <f t="shared" si="12"/>
        <v>未买</v>
      </c>
      <c r="R329" s="19">
        <v>327</v>
      </c>
    </row>
    <row r="330" spans="5:18" x14ac:dyDescent="0.15">
      <c r="E330" s="5"/>
      <c r="H330" s="19">
        <v>328</v>
      </c>
      <c r="I330" s="7">
        <v>127046</v>
      </c>
      <c r="J330" s="7" t="s">
        <v>1976</v>
      </c>
      <c r="K330" s="7">
        <v>118.1</v>
      </c>
      <c r="L330" s="7">
        <v>93.07</v>
      </c>
      <c r="M330" s="7">
        <v>211.17</v>
      </c>
      <c r="N330" s="36">
        <v>11.27816</v>
      </c>
      <c r="O330" s="5" t="str">
        <f t="shared" si="12"/>
        <v>未买</v>
      </c>
      <c r="R330" s="19">
        <v>328</v>
      </c>
    </row>
    <row r="331" spans="5:18" x14ac:dyDescent="0.15">
      <c r="E331" s="5"/>
      <c r="H331" s="19">
        <v>329</v>
      </c>
      <c r="I331" s="7">
        <v>113625</v>
      </c>
      <c r="J331" s="7" t="s">
        <v>151</v>
      </c>
      <c r="K331" s="7">
        <v>111.5</v>
      </c>
      <c r="L331" s="7">
        <v>100</v>
      </c>
      <c r="M331" s="7">
        <v>211.5</v>
      </c>
      <c r="N331" s="36">
        <v>5.8255499999999998</v>
      </c>
      <c r="O331" s="5" t="str">
        <f t="shared" si="12"/>
        <v>未买</v>
      </c>
      <c r="R331" s="19">
        <v>329</v>
      </c>
    </row>
    <row r="332" spans="5:18" x14ac:dyDescent="0.15">
      <c r="E332" s="5"/>
      <c r="H332" s="19">
        <v>330</v>
      </c>
      <c r="I332" s="7">
        <v>113582</v>
      </c>
      <c r="J332" s="7" t="s">
        <v>1862</v>
      </c>
      <c r="K332" s="7">
        <v>191.72</v>
      </c>
      <c r="L332" s="7">
        <v>19.88</v>
      </c>
      <c r="M332" s="7">
        <v>211.6</v>
      </c>
      <c r="N332" s="36">
        <v>4.1769400000000001</v>
      </c>
      <c r="O332" s="5" t="str">
        <f t="shared" si="12"/>
        <v>未买</v>
      </c>
      <c r="R332" s="19">
        <v>330</v>
      </c>
    </row>
    <row r="333" spans="5:18" x14ac:dyDescent="0.15">
      <c r="E333" s="5"/>
      <c r="H333" s="19">
        <v>331</v>
      </c>
      <c r="I333" s="7">
        <v>128074</v>
      </c>
      <c r="J333" s="7" t="s">
        <v>208</v>
      </c>
      <c r="K333" s="7">
        <v>109.999</v>
      </c>
      <c r="L333" s="7">
        <v>102.69</v>
      </c>
      <c r="M333" s="7">
        <v>212.68899999999999</v>
      </c>
      <c r="N333" s="36">
        <v>6.824916</v>
      </c>
      <c r="O333" s="5" t="str">
        <f t="shared" si="12"/>
        <v>未买</v>
      </c>
      <c r="R333" s="19">
        <v>331</v>
      </c>
    </row>
    <row r="334" spans="5:18" x14ac:dyDescent="0.15">
      <c r="E334" s="5"/>
      <c r="H334" s="19">
        <v>332</v>
      </c>
      <c r="I334" s="7">
        <v>110048</v>
      </c>
      <c r="J334" s="7" t="s">
        <v>1858</v>
      </c>
      <c r="K334" s="7">
        <v>193.97</v>
      </c>
      <c r="L334" s="7">
        <v>19.420000000000002</v>
      </c>
      <c r="M334" s="7">
        <v>213.39</v>
      </c>
      <c r="N334" s="36">
        <v>12.761939999999999</v>
      </c>
      <c r="O334" s="5" t="str">
        <f t="shared" si="12"/>
        <v>未买</v>
      </c>
      <c r="R334" s="19">
        <v>332</v>
      </c>
    </row>
    <row r="335" spans="5:18" x14ac:dyDescent="0.15">
      <c r="E335" s="5"/>
      <c r="H335" s="19">
        <v>333</v>
      </c>
      <c r="I335" s="7">
        <v>123092</v>
      </c>
      <c r="J335" s="7" t="s">
        <v>1817</v>
      </c>
      <c r="K335" s="7">
        <v>212.81100000000001</v>
      </c>
      <c r="L335" s="7">
        <v>1.28</v>
      </c>
      <c r="M335" s="7">
        <v>214.09100000000001</v>
      </c>
      <c r="N335" s="36">
        <v>4.1420399999999997</v>
      </c>
      <c r="O335" s="5" t="str">
        <f t="shared" si="12"/>
        <v>未买</v>
      </c>
      <c r="R335" s="19">
        <v>333</v>
      </c>
    </row>
    <row r="336" spans="5:18" x14ac:dyDescent="0.15">
      <c r="E336" s="5"/>
      <c r="H336" s="19">
        <v>334</v>
      </c>
      <c r="I336" s="7">
        <v>127059</v>
      </c>
      <c r="J336" s="7" t="s">
        <v>1954</v>
      </c>
      <c r="K336" s="7">
        <v>146.79499999999999</v>
      </c>
      <c r="L336" s="7">
        <v>67.75</v>
      </c>
      <c r="M336" s="7">
        <v>214.54499999999999</v>
      </c>
      <c r="N336" s="36">
        <v>3.8</v>
      </c>
      <c r="O336" s="5" t="str">
        <f t="shared" si="12"/>
        <v>未买</v>
      </c>
      <c r="R336" s="19">
        <v>334</v>
      </c>
    </row>
    <row r="337" spans="5:18" x14ac:dyDescent="0.15">
      <c r="E337" s="5"/>
      <c r="H337" s="19">
        <v>335</v>
      </c>
      <c r="I337" s="7">
        <v>128036</v>
      </c>
      <c r="J337" s="7" t="s">
        <v>182</v>
      </c>
      <c r="K337" s="7">
        <v>158.30000000000001</v>
      </c>
      <c r="L337" s="7">
        <v>56.27</v>
      </c>
      <c r="M337" s="7">
        <v>214.57000000000002</v>
      </c>
      <c r="N337" s="36">
        <v>1.4565429999999999</v>
      </c>
      <c r="O337" s="5" t="str">
        <f t="shared" si="12"/>
        <v>未买</v>
      </c>
      <c r="R337" s="19">
        <v>335</v>
      </c>
    </row>
    <row r="338" spans="5:18" x14ac:dyDescent="0.15">
      <c r="E338" s="5"/>
      <c r="H338" s="19">
        <v>336</v>
      </c>
      <c r="I338" s="7">
        <v>123126</v>
      </c>
      <c r="J338" s="7" t="s">
        <v>184</v>
      </c>
      <c r="K338" s="7">
        <v>113.949</v>
      </c>
      <c r="L338" s="7">
        <v>101.61</v>
      </c>
      <c r="M338" s="7">
        <v>215.559</v>
      </c>
      <c r="N338" s="36">
        <v>3.399826</v>
      </c>
      <c r="O338" s="5" t="str">
        <f t="shared" si="12"/>
        <v>未买</v>
      </c>
      <c r="R338" s="19">
        <v>336</v>
      </c>
    </row>
    <row r="339" spans="5:18" x14ac:dyDescent="0.15">
      <c r="E339" s="5"/>
      <c r="H339" s="19">
        <v>337</v>
      </c>
      <c r="I339" s="7">
        <v>123012</v>
      </c>
      <c r="J339" s="7" t="s">
        <v>1842</v>
      </c>
      <c r="K339" s="7">
        <v>197.79</v>
      </c>
      <c r="L339" s="7">
        <v>17.78</v>
      </c>
      <c r="M339" s="7">
        <v>215.57</v>
      </c>
      <c r="N339" s="36">
        <v>1.223781</v>
      </c>
      <c r="O339" s="5" t="str">
        <f t="shared" si="12"/>
        <v>未买</v>
      </c>
      <c r="R339" s="19">
        <v>337</v>
      </c>
    </row>
    <row r="340" spans="5:18" x14ac:dyDescent="0.15">
      <c r="E340" s="5"/>
      <c r="H340" s="19">
        <v>338</v>
      </c>
      <c r="I340" s="7">
        <v>113585</v>
      </c>
      <c r="J340" s="7" t="s">
        <v>1829</v>
      </c>
      <c r="K340" s="7">
        <v>204.18</v>
      </c>
      <c r="L340" s="7">
        <v>11.41</v>
      </c>
      <c r="M340" s="7">
        <v>215.59</v>
      </c>
      <c r="N340" s="36">
        <v>1.00258</v>
      </c>
      <c r="O340" s="5" t="str">
        <f t="shared" si="12"/>
        <v>未买</v>
      </c>
      <c r="R340" s="19">
        <v>338</v>
      </c>
    </row>
    <row r="341" spans="5:18" x14ac:dyDescent="0.15">
      <c r="E341" s="5"/>
      <c r="H341" s="19">
        <v>339</v>
      </c>
      <c r="I341" s="7">
        <v>123067</v>
      </c>
      <c r="J341" s="7" t="s">
        <v>796</v>
      </c>
      <c r="K341" s="7">
        <v>201</v>
      </c>
      <c r="L341" s="7">
        <v>15.28</v>
      </c>
      <c r="M341" s="7">
        <v>216.28</v>
      </c>
      <c r="N341" s="36">
        <v>2.397748</v>
      </c>
      <c r="O341" s="5" t="str">
        <f t="shared" si="12"/>
        <v>未买</v>
      </c>
      <c r="R341" s="19">
        <v>339</v>
      </c>
    </row>
    <row r="342" spans="5:18" x14ac:dyDescent="0.15">
      <c r="E342" s="5"/>
      <c r="H342" s="19">
        <v>340</v>
      </c>
      <c r="I342" s="7">
        <v>123073</v>
      </c>
      <c r="J342" s="7" t="s">
        <v>1833</v>
      </c>
      <c r="K342" s="7">
        <v>203.6</v>
      </c>
      <c r="L342" s="7">
        <v>14.9</v>
      </c>
      <c r="M342" s="7">
        <v>218.5</v>
      </c>
      <c r="N342" s="36">
        <v>2.5517530000000002</v>
      </c>
      <c r="O342" s="5" t="str">
        <f t="shared" si="12"/>
        <v>未买</v>
      </c>
      <c r="R342" s="19">
        <v>340</v>
      </c>
    </row>
    <row r="343" spans="5:18" x14ac:dyDescent="0.15">
      <c r="E343" s="5"/>
      <c r="H343" s="19">
        <v>341</v>
      </c>
      <c r="I343" s="7">
        <v>113597</v>
      </c>
      <c r="J343" s="7" t="s">
        <v>157</v>
      </c>
      <c r="K343" s="7">
        <v>131.05000000000001</v>
      </c>
      <c r="L343" s="7">
        <v>88.56</v>
      </c>
      <c r="M343" s="7">
        <v>219.61</v>
      </c>
      <c r="N343" s="36">
        <v>2.98447</v>
      </c>
      <c r="O343" s="5" t="str">
        <f t="shared" si="12"/>
        <v>未买</v>
      </c>
      <c r="R343" s="19">
        <v>341</v>
      </c>
    </row>
    <row r="344" spans="5:18" x14ac:dyDescent="0.15">
      <c r="E344" s="5"/>
      <c r="H344" s="19">
        <v>342</v>
      </c>
      <c r="I344" s="7">
        <v>113624</v>
      </c>
      <c r="J344" s="7" t="s">
        <v>180</v>
      </c>
      <c r="K344" s="7">
        <v>109.15</v>
      </c>
      <c r="L344" s="7">
        <v>111.65</v>
      </c>
      <c r="M344" s="7">
        <v>220.8</v>
      </c>
      <c r="N344" s="36">
        <v>4.0492699999999999</v>
      </c>
      <c r="O344" s="5" t="str">
        <f t="shared" si="12"/>
        <v>未买</v>
      </c>
      <c r="R344" s="19">
        <v>342</v>
      </c>
    </row>
    <row r="345" spans="5:18" x14ac:dyDescent="0.15">
      <c r="E345" s="5"/>
      <c r="H345" s="19">
        <v>343</v>
      </c>
      <c r="I345" s="7">
        <v>123038</v>
      </c>
      <c r="J345" s="7" t="s">
        <v>74</v>
      </c>
      <c r="K345" s="7">
        <v>132.55000000000001</v>
      </c>
      <c r="L345" s="7">
        <v>89.71</v>
      </c>
      <c r="M345" s="7">
        <v>222.26</v>
      </c>
      <c r="N345" s="36">
        <v>1.4726779999999999</v>
      </c>
      <c r="O345" s="5" t="str">
        <f t="shared" si="12"/>
        <v>未买</v>
      </c>
      <c r="R345" s="19">
        <v>343</v>
      </c>
    </row>
    <row r="346" spans="5:18" x14ac:dyDescent="0.15">
      <c r="E346" s="5"/>
      <c r="H346" s="19">
        <v>344</v>
      </c>
      <c r="I346" s="7">
        <v>113622</v>
      </c>
      <c r="J346" s="7" t="s">
        <v>1959</v>
      </c>
      <c r="K346" s="7">
        <v>123.38</v>
      </c>
      <c r="L346" s="7">
        <v>101.73</v>
      </c>
      <c r="M346" s="7">
        <v>225.11</v>
      </c>
      <c r="N346" s="36">
        <v>11.499700000000001</v>
      </c>
      <c r="O346" s="5" t="str">
        <f t="shared" si="12"/>
        <v>未买</v>
      </c>
      <c r="R346" s="19">
        <v>344</v>
      </c>
    </row>
    <row r="347" spans="5:18" x14ac:dyDescent="0.15">
      <c r="E347" s="5"/>
      <c r="H347" s="19">
        <v>345</v>
      </c>
      <c r="I347" s="7">
        <v>128017</v>
      </c>
      <c r="J347" s="7" t="s">
        <v>1846</v>
      </c>
      <c r="K347" s="7">
        <v>212.88</v>
      </c>
      <c r="L347" s="7">
        <v>12.67</v>
      </c>
      <c r="M347" s="7">
        <v>225.54999999999998</v>
      </c>
      <c r="N347" s="36">
        <v>5.5181570000000004</v>
      </c>
      <c r="O347" s="5" t="str">
        <f t="shared" si="12"/>
        <v>未买</v>
      </c>
      <c r="R347" s="19">
        <v>345</v>
      </c>
    </row>
    <row r="348" spans="5:18" x14ac:dyDescent="0.15">
      <c r="E348" s="5"/>
      <c r="H348" s="19">
        <v>346</v>
      </c>
      <c r="I348" s="7">
        <v>110055</v>
      </c>
      <c r="J348" s="7" t="s">
        <v>1881</v>
      </c>
      <c r="K348" s="7">
        <v>210.94</v>
      </c>
      <c r="L348" s="7">
        <v>16.55</v>
      </c>
      <c r="M348" s="7">
        <v>227.49</v>
      </c>
      <c r="N348" s="36">
        <v>2.4353500000000001</v>
      </c>
      <c r="O348" s="5" t="str">
        <f t="shared" si="12"/>
        <v>未买</v>
      </c>
      <c r="R348" s="19">
        <v>346</v>
      </c>
    </row>
    <row r="349" spans="5:18" x14ac:dyDescent="0.15">
      <c r="E349" s="5"/>
      <c r="H349" s="19">
        <v>347</v>
      </c>
      <c r="I349" s="7">
        <v>123076</v>
      </c>
      <c r="J349" s="7" t="s">
        <v>161</v>
      </c>
      <c r="K349" s="7">
        <v>106.20399999999999</v>
      </c>
      <c r="L349" s="7">
        <v>121.54</v>
      </c>
      <c r="M349" s="7">
        <v>227.744</v>
      </c>
      <c r="N349" s="36">
        <v>8.4985610000000005</v>
      </c>
      <c r="O349" s="5" t="str">
        <f t="shared" si="12"/>
        <v>未买</v>
      </c>
      <c r="R349" s="19">
        <v>347</v>
      </c>
    </row>
    <row r="350" spans="5:18" x14ac:dyDescent="0.15">
      <c r="E350" s="5"/>
      <c r="H350" s="19">
        <v>348</v>
      </c>
      <c r="I350" s="7">
        <v>128079</v>
      </c>
      <c r="J350" s="7" t="s">
        <v>94</v>
      </c>
      <c r="K350" s="7">
        <v>139</v>
      </c>
      <c r="L350" s="7">
        <v>90.15</v>
      </c>
      <c r="M350" s="7">
        <v>229.15</v>
      </c>
      <c r="N350" s="36">
        <v>1.520079</v>
      </c>
      <c r="O350" s="5" t="str">
        <f t="shared" si="12"/>
        <v>未买</v>
      </c>
      <c r="R350" s="19">
        <v>348</v>
      </c>
    </row>
    <row r="351" spans="5:18" x14ac:dyDescent="0.15">
      <c r="E351" s="5"/>
      <c r="H351" s="19">
        <v>349</v>
      </c>
      <c r="I351" s="7">
        <v>128125</v>
      </c>
      <c r="J351" s="7" t="s">
        <v>150</v>
      </c>
      <c r="K351" s="7">
        <v>108.761</v>
      </c>
      <c r="L351" s="7">
        <v>121.15</v>
      </c>
      <c r="M351" s="7">
        <v>229.911</v>
      </c>
      <c r="N351" s="36">
        <v>4.4980339999999996</v>
      </c>
      <c r="O351" s="5" t="str">
        <f t="shared" si="12"/>
        <v>未买</v>
      </c>
      <c r="R351" s="19">
        <v>349</v>
      </c>
    </row>
    <row r="352" spans="5:18" x14ac:dyDescent="0.15">
      <c r="E352" s="5"/>
      <c r="H352" s="19">
        <v>350</v>
      </c>
      <c r="I352" s="7">
        <v>123011</v>
      </c>
      <c r="J352" s="7" t="s">
        <v>172</v>
      </c>
      <c r="K352" s="7">
        <v>122</v>
      </c>
      <c r="L352" s="7">
        <v>108.76</v>
      </c>
      <c r="M352" s="7">
        <v>230.76</v>
      </c>
      <c r="N352" s="36">
        <v>2.5060280000000001</v>
      </c>
      <c r="O352" s="5" t="str">
        <f t="shared" si="12"/>
        <v>未买</v>
      </c>
      <c r="R352" s="19">
        <v>350</v>
      </c>
    </row>
    <row r="353" spans="5:18" x14ac:dyDescent="0.15">
      <c r="E353" s="5"/>
      <c r="H353" s="19">
        <v>351</v>
      </c>
      <c r="I353" s="7">
        <v>113573</v>
      </c>
      <c r="J353" s="7" t="s">
        <v>145</v>
      </c>
      <c r="K353" s="7">
        <v>115.15</v>
      </c>
      <c r="L353" s="7">
        <v>117.1</v>
      </c>
      <c r="M353" s="7">
        <v>232.25</v>
      </c>
      <c r="N353" s="36">
        <v>2.6983299999999999</v>
      </c>
      <c r="O353" s="5" t="str">
        <f t="shared" si="12"/>
        <v>未买</v>
      </c>
      <c r="R353" s="19">
        <v>351</v>
      </c>
    </row>
    <row r="354" spans="5:18" x14ac:dyDescent="0.15">
      <c r="E354" s="5"/>
      <c r="H354" s="19">
        <v>352</v>
      </c>
      <c r="I354" s="7">
        <v>127052</v>
      </c>
      <c r="J354" s="7" t="s">
        <v>1975</v>
      </c>
      <c r="K354" s="7">
        <v>116</v>
      </c>
      <c r="L354" s="7">
        <v>116.42</v>
      </c>
      <c r="M354" s="7">
        <v>232.42000000000002</v>
      </c>
      <c r="N354" s="36">
        <v>11.1</v>
      </c>
      <c r="O354" s="5" t="str">
        <f t="shared" si="12"/>
        <v>未买</v>
      </c>
      <c r="R354" s="19">
        <v>352</v>
      </c>
    </row>
    <row r="355" spans="5:18" x14ac:dyDescent="0.15">
      <c r="E355" s="5"/>
      <c r="H355" s="19">
        <v>353</v>
      </c>
      <c r="I355" s="7">
        <v>127062</v>
      </c>
      <c r="J355" s="7" t="s">
        <v>1953</v>
      </c>
      <c r="K355" s="7">
        <v>147.26</v>
      </c>
      <c r="L355" s="7">
        <v>85.33</v>
      </c>
      <c r="M355" s="7">
        <v>232.58999999999997</v>
      </c>
      <c r="N355" s="36">
        <v>3.9630000000000001</v>
      </c>
      <c r="O355" s="5" t="str">
        <f t="shared" si="12"/>
        <v>未买</v>
      </c>
      <c r="R355" s="19">
        <v>353</v>
      </c>
    </row>
    <row r="356" spans="5:18" x14ac:dyDescent="0.15">
      <c r="E356" s="5"/>
      <c r="H356" s="19">
        <v>354</v>
      </c>
      <c r="I356" s="7">
        <v>113626</v>
      </c>
      <c r="J356" s="7" t="s">
        <v>1836</v>
      </c>
      <c r="K356" s="7">
        <v>228.08</v>
      </c>
      <c r="L356" s="7">
        <v>8.25</v>
      </c>
      <c r="M356" s="7">
        <v>236.33</v>
      </c>
      <c r="N356" s="36">
        <v>9.0145</v>
      </c>
      <c r="O356" s="5" t="str">
        <f t="shared" si="12"/>
        <v>未买</v>
      </c>
      <c r="R356" s="19">
        <v>354</v>
      </c>
    </row>
    <row r="357" spans="5:18" x14ac:dyDescent="0.15">
      <c r="E357" s="5"/>
      <c r="H357" s="19">
        <v>355</v>
      </c>
      <c r="I357" s="7">
        <v>113605</v>
      </c>
      <c r="J357" s="7" t="s">
        <v>1974</v>
      </c>
      <c r="K357" s="7">
        <v>109.53</v>
      </c>
      <c r="L357" s="7">
        <v>129.86000000000001</v>
      </c>
      <c r="M357" s="7">
        <v>239.39000000000001</v>
      </c>
      <c r="N357" s="36">
        <v>14.049010000000001</v>
      </c>
      <c r="O357" s="5" t="str">
        <f t="shared" si="12"/>
        <v>未买</v>
      </c>
      <c r="R357" s="19">
        <v>355</v>
      </c>
    </row>
    <row r="358" spans="5:18" x14ac:dyDescent="0.15">
      <c r="E358" s="5"/>
      <c r="H358" s="19">
        <v>356</v>
      </c>
      <c r="I358" s="7">
        <v>128082</v>
      </c>
      <c r="J358" s="7" t="s">
        <v>1865</v>
      </c>
      <c r="K358" s="7">
        <v>204.5</v>
      </c>
      <c r="L358" s="7">
        <v>36.58</v>
      </c>
      <c r="M358" s="7">
        <v>241.07999999999998</v>
      </c>
      <c r="N358" s="36">
        <v>2.0328339999999998</v>
      </c>
      <c r="O358" s="5" t="str">
        <f t="shared" si="12"/>
        <v>未买</v>
      </c>
      <c r="R358" s="19">
        <v>356</v>
      </c>
    </row>
    <row r="359" spans="5:18" x14ac:dyDescent="0.15">
      <c r="E359" s="5"/>
      <c r="H359" s="19">
        <v>357</v>
      </c>
      <c r="I359" s="7">
        <v>128070</v>
      </c>
      <c r="J359" s="7" t="s">
        <v>166</v>
      </c>
      <c r="K359" s="7">
        <v>132.928</v>
      </c>
      <c r="L359" s="7">
        <v>108.35</v>
      </c>
      <c r="M359" s="7">
        <v>241.27799999999999</v>
      </c>
      <c r="N359" s="36">
        <v>2.295741</v>
      </c>
      <c r="O359" s="5" t="str">
        <f t="shared" si="12"/>
        <v>未买</v>
      </c>
      <c r="R359" s="19">
        <v>357</v>
      </c>
    </row>
    <row r="360" spans="5:18" x14ac:dyDescent="0.15">
      <c r="E360" s="5"/>
      <c r="H360" s="19">
        <v>358</v>
      </c>
      <c r="I360" s="7">
        <v>123139</v>
      </c>
      <c r="J360" s="7" t="s">
        <v>788</v>
      </c>
      <c r="K360" s="7">
        <v>187.74700000000001</v>
      </c>
      <c r="L360" s="7">
        <v>56.14</v>
      </c>
      <c r="M360" s="7">
        <v>243.887</v>
      </c>
      <c r="N360" s="36">
        <v>4.3</v>
      </c>
      <c r="O360" s="5" t="str">
        <f t="shared" si="12"/>
        <v>未买</v>
      </c>
      <c r="R360" s="19">
        <v>358</v>
      </c>
    </row>
    <row r="361" spans="5:18" x14ac:dyDescent="0.15">
      <c r="E361" s="5"/>
      <c r="H361" s="19">
        <v>359</v>
      </c>
      <c r="I361" s="7">
        <v>123113</v>
      </c>
      <c r="J361" s="7" t="s">
        <v>1977</v>
      </c>
      <c r="K361" s="7">
        <v>108.34</v>
      </c>
      <c r="L361" s="7">
        <v>135.78</v>
      </c>
      <c r="M361" s="7">
        <v>244.12</v>
      </c>
      <c r="N361" s="36">
        <v>10.248582000000001</v>
      </c>
      <c r="O361" s="5" t="str">
        <f t="shared" si="12"/>
        <v>未买</v>
      </c>
      <c r="R361" s="19">
        <v>359</v>
      </c>
    </row>
    <row r="362" spans="5:18" x14ac:dyDescent="0.15">
      <c r="E362" s="5"/>
      <c r="H362" s="19">
        <v>360</v>
      </c>
      <c r="I362" s="7">
        <v>128118</v>
      </c>
      <c r="J362" s="7" t="s">
        <v>154</v>
      </c>
      <c r="K362" s="7">
        <v>110.72</v>
      </c>
      <c r="L362" s="7">
        <v>134.72999999999999</v>
      </c>
      <c r="M362" s="7">
        <v>245.45</v>
      </c>
      <c r="N362" s="36">
        <v>2.9983399999999998</v>
      </c>
      <c r="O362" s="5" t="str">
        <f t="shared" si="12"/>
        <v>未买</v>
      </c>
      <c r="R362" s="19">
        <v>360</v>
      </c>
    </row>
    <row r="363" spans="5:18" x14ac:dyDescent="0.15">
      <c r="E363" s="5"/>
      <c r="H363" s="19">
        <v>361</v>
      </c>
      <c r="I363" s="7">
        <v>128124</v>
      </c>
      <c r="J363" s="7" t="s">
        <v>171</v>
      </c>
      <c r="K363" s="7">
        <v>100.49</v>
      </c>
      <c r="L363" s="7">
        <v>148.43</v>
      </c>
      <c r="M363" s="7">
        <v>248.92000000000002</v>
      </c>
      <c r="N363" s="36">
        <v>7.3764519999999996</v>
      </c>
      <c r="O363" s="5" t="str">
        <f t="shared" si="12"/>
        <v>未买</v>
      </c>
      <c r="R363" s="19">
        <v>361</v>
      </c>
    </row>
    <row r="364" spans="5:18" x14ac:dyDescent="0.15">
      <c r="E364" s="5"/>
      <c r="H364" s="19">
        <v>362</v>
      </c>
      <c r="I364" s="7">
        <v>113589</v>
      </c>
      <c r="J364" s="7" t="s">
        <v>146</v>
      </c>
      <c r="K364" s="7">
        <v>99.55</v>
      </c>
      <c r="L364" s="7">
        <v>149.69</v>
      </c>
      <c r="M364" s="7">
        <v>249.24</v>
      </c>
      <c r="N364" s="36">
        <v>5.9959100000000003</v>
      </c>
      <c r="O364" s="5" t="str">
        <f t="shared" si="12"/>
        <v>未买</v>
      </c>
      <c r="R364" s="19">
        <v>362</v>
      </c>
    </row>
    <row r="365" spans="5:18" x14ac:dyDescent="0.15">
      <c r="E365" s="5"/>
      <c r="H365" s="19">
        <v>363</v>
      </c>
      <c r="I365" s="7">
        <v>123104</v>
      </c>
      <c r="J365" s="7" t="s">
        <v>179</v>
      </c>
      <c r="K365" s="7">
        <v>115.188</v>
      </c>
      <c r="L365" s="7">
        <v>135.41</v>
      </c>
      <c r="M365" s="7">
        <v>250.59800000000001</v>
      </c>
      <c r="N365" s="36">
        <v>9.7010769999999997</v>
      </c>
      <c r="O365" s="5" t="str">
        <f t="shared" si="12"/>
        <v>未买</v>
      </c>
      <c r="R365" s="19">
        <v>363</v>
      </c>
    </row>
    <row r="366" spans="5:18" x14ac:dyDescent="0.15">
      <c r="E366" s="5"/>
      <c r="H366" s="19">
        <v>364</v>
      </c>
      <c r="I366" s="7">
        <v>127051</v>
      </c>
      <c r="J366" s="7" t="s">
        <v>255</v>
      </c>
      <c r="K366" s="7">
        <v>129.023</v>
      </c>
      <c r="L366" s="7">
        <v>125.64</v>
      </c>
      <c r="M366" s="7">
        <v>254.66300000000001</v>
      </c>
      <c r="N366" s="36">
        <v>5.259951</v>
      </c>
      <c r="O366" s="5" t="str">
        <f t="shared" si="12"/>
        <v>未买</v>
      </c>
      <c r="R366" s="19">
        <v>364</v>
      </c>
    </row>
    <row r="367" spans="5:18" x14ac:dyDescent="0.15">
      <c r="E367" s="5"/>
      <c r="H367" s="19">
        <v>365</v>
      </c>
      <c r="I367" s="7">
        <v>123070</v>
      </c>
      <c r="J367" s="7" t="s">
        <v>1821</v>
      </c>
      <c r="K367" s="7">
        <v>255</v>
      </c>
      <c r="L367" s="7">
        <v>0.23</v>
      </c>
      <c r="M367" s="7">
        <v>255.23</v>
      </c>
      <c r="N367" s="36">
        <v>4.176005</v>
      </c>
      <c r="O367" s="5" t="str">
        <f t="shared" si="12"/>
        <v>未买</v>
      </c>
      <c r="R367" s="19">
        <v>365</v>
      </c>
    </row>
    <row r="368" spans="5:18" x14ac:dyDescent="0.15">
      <c r="E368" s="5"/>
      <c r="H368" s="19">
        <v>366</v>
      </c>
      <c r="I368" s="7">
        <v>123101</v>
      </c>
      <c r="J368" s="7" t="s">
        <v>153</v>
      </c>
      <c r="K368" s="7">
        <v>108.202</v>
      </c>
      <c r="L368" s="7">
        <v>149.77000000000001</v>
      </c>
      <c r="M368" s="7">
        <v>257.97199999999998</v>
      </c>
      <c r="N368" s="36">
        <v>6.6976259999999996</v>
      </c>
      <c r="O368" s="5" t="str">
        <f t="shared" si="12"/>
        <v>未买</v>
      </c>
      <c r="R368" s="19">
        <v>366</v>
      </c>
    </row>
    <row r="369" spans="5:18" x14ac:dyDescent="0.15">
      <c r="E369" s="5"/>
      <c r="H369" s="19">
        <v>367</v>
      </c>
      <c r="I369" s="7">
        <v>118006</v>
      </c>
      <c r="J369" s="7" t="s">
        <v>810</v>
      </c>
      <c r="K369" s="7">
        <v>200.63</v>
      </c>
      <c r="L369" s="7">
        <v>66.5</v>
      </c>
      <c r="M369" s="7">
        <v>267.13</v>
      </c>
      <c r="N369" s="36">
        <v>3.8740000000000001</v>
      </c>
      <c r="O369" s="5" t="str">
        <f t="shared" si="12"/>
        <v>未买</v>
      </c>
      <c r="R369" s="19">
        <v>367</v>
      </c>
    </row>
    <row r="370" spans="5:18" x14ac:dyDescent="0.15">
      <c r="E370" s="5"/>
      <c r="H370" s="19">
        <v>368</v>
      </c>
      <c r="I370" s="7">
        <v>128138</v>
      </c>
      <c r="J370" s="7" t="s">
        <v>148</v>
      </c>
      <c r="K370" s="7">
        <v>115.08199999999999</v>
      </c>
      <c r="L370" s="7">
        <v>153.93</v>
      </c>
      <c r="M370" s="7">
        <v>269.012</v>
      </c>
      <c r="N370" s="36">
        <v>4.1991089999999991</v>
      </c>
      <c r="O370" s="5" t="str">
        <f t="shared" si="12"/>
        <v>未买</v>
      </c>
      <c r="R370" s="19">
        <v>368</v>
      </c>
    </row>
    <row r="371" spans="5:18" x14ac:dyDescent="0.15">
      <c r="E371" s="5"/>
      <c r="H371" s="19">
        <v>369</v>
      </c>
      <c r="I371" s="7">
        <v>123039</v>
      </c>
      <c r="J371" s="7" t="s">
        <v>168</v>
      </c>
      <c r="K371" s="7">
        <v>130.19999999999999</v>
      </c>
      <c r="L371" s="7">
        <v>140.58000000000001</v>
      </c>
      <c r="M371" s="7">
        <v>270.77999999999997</v>
      </c>
      <c r="N371" s="36">
        <v>2.2171210000000001</v>
      </c>
      <c r="O371" s="5" t="str">
        <f t="shared" si="12"/>
        <v>未买</v>
      </c>
      <c r="R371" s="19">
        <v>369</v>
      </c>
    </row>
    <row r="372" spans="5:18" x14ac:dyDescent="0.15">
      <c r="E372" s="5"/>
      <c r="H372" s="19">
        <v>370</v>
      </c>
      <c r="I372" s="7">
        <v>113569</v>
      </c>
      <c r="J372" s="7" t="s">
        <v>140</v>
      </c>
      <c r="K372" s="7">
        <v>104.85</v>
      </c>
      <c r="L372" s="7">
        <v>168.02</v>
      </c>
      <c r="M372" s="7">
        <v>272.87</v>
      </c>
      <c r="N372" s="36">
        <v>5.1559499999999998</v>
      </c>
      <c r="O372" s="5" t="str">
        <f t="shared" si="12"/>
        <v>未买</v>
      </c>
      <c r="R372" s="19">
        <v>370</v>
      </c>
    </row>
    <row r="373" spans="5:18" x14ac:dyDescent="0.15">
      <c r="E373" s="5"/>
      <c r="H373" s="19">
        <v>371</v>
      </c>
      <c r="I373" s="7">
        <v>128091</v>
      </c>
      <c r="J373" s="7" t="s">
        <v>1870</v>
      </c>
      <c r="K373" s="7">
        <v>220.309</v>
      </c>
      <c r="L373" s="7">
        <v>56.86</v>
      </c>
      <c r="M373" s="7">
        <v>277.16899999999998</v>
      </c>
      <c r="N373" s="36">
        <v>1.5407029999999999</v>
      </c>
      <c r="O373" s="5" t="str">
        <f t="shared" si="12"/>
        <v>未买</v>
      </c>
      <c r="R373" s="19">
        <v>371</v>
      </c>
    </row>
    <row r="374" spans="5:18" x14ac:dyDescent="0.15">
      <c r="E374" s="5"/>
      <c r="H374" s="19">
        <v>372</v>
      </c>
      <c r="I374" s="7">
        <v>113627</v>
      </c>
      <c r="J374" s="7" t="s">
        <v>149</v>
      </c>
      <c r="K374" s="7">
        <v>109.6</v>
      </c>
      <c r="L374" s="7">
        <v>171.22</v>
      </c>
      <c r="M374" s="7">
        <v>280.82</v>
      </c>
      <c r="N374" s="36">
        <v>7.9998100000000001</v>
      </c>
      <c r="O374" s="5" t="str">
        <f t="shared" si="12"/>
        <v>未买</v>
      </c>
      <c r="R374" s="19">
        <v>372</v>
      </c>
    </row>
    <row r="375" spans="5:18" x14ac:dyDescent="0.15">
      <c r="E375" s="5"/>
      <c r="H375" s="19">
        <v>373</v>
      </c>
      <c r="I375" s="7">
        <v>113534</v>
      </c>
      <c r="J375" s="7" t="s">
        <v>828</v>
      </c>
      <c r="K375" s="7">
        <v>273.58</v>
      </c>
      <c r="L375" s="7">
        <v>8.86</v>
      </c>
      <c r="M375" s="7">
        <v>282.44</v>
      </c>
      <c r="N375" s="36">
        <v>4.0373599999999996</v>
      </c>
      <c r="O375" s="5" t="str">
        <f t="shared" si="12"/>
        <v>未买</v>
      </c>
      <c r="R375" s="19">
        <v>373</v>
      </c>
    </row>
    <row r="376" spans="5:18" x14ac:dyDescent="0.15">
      <c r="E376" s="5"/>
      <c r="H376" s="19">
        <v>374</v>
      </c>
      <c r="I376" s="7">
        <v>123141</v>
      </c>
      <c r="J376" s="7" t="s">
        <v>790</v>
      </c>
      <c r="K376" s="7">
        <v>179.1</v>
      </c>
      <c r="L376" s="7">
        <v>105.2</v>
      </c>
      <c r="M376" s="7">
        <v>284.3</v>
      </c>
      <c r="N376" s="36">
        <v>3.2126000000000001</v>
      </c>
      <c r="O376" s="5" t="str">
        <f t="shared" si="12"/>
        <v>未买</v>
      </c>
      <c r="R376" s="19">
        <v>374</v>
      </c>
    </row>
    <row r="377" spans="5:18" x14ac:dyDescent="0.15">
      <c r="E377" s="5"/>
      <c r="H377" s="19">
        <v>375</v>
      </c>
      <c r="I377" s="7">
        <v>113584</v>
      </c>
      <c r="J377" s="7" t="s">
        <v>1978</v>
      </c>
      <c r="K377" s="7">
        <v>103.65</v>
      </c>
      <c r="L377" s="7">
        <v>185.22</v>
      </c>
      <c r="M377" s="7">
        <v>288.87</v>
      </c>
      <c r="N377" s="36">
        <v>6.4491300000000003</v>
      </c>
      <c r="O377" s="5" t="str">
        <f t="shared" si="12"/>
        <v>未买</v>
      </c>
      <c r="R377" s="19">
        <v>375</v>
      </c>
    </row>
    <row r="378" spans="5:18" x14ac:dyDescent="0.15">
      <c r="E378" s="5"/>
      <c r="H378" s="19">
        <v>376</v>
      </c>
      <c r="I378" s="7">
        <v>118007</v>
      </c>
      <c r="J378" s="7" t="s">
        <v>819</v>
      </c>
      <c r="K378" s="7">
        <v>178.57</v>
      </c>
      <c r="L378" s="7">
        <v>113.78</v>
      </c>
      <c r="M378" s="7">
        <v>292.35000000000002</v>
      </c>
      <c r="N378" s="36">
        <v>2.6743000000000001</v>
      </c>
      <c r="O378" s="5" t="str">
        <f t="shared" si="12"/>
        <v>未买</v>
      </c>
      <c r="R378" s="19">
        <v>376</v>
      </c>
    </row>
    <row r="379" spans="5:18" x14ac:dyDescent="0.15">
      <c r="E379" s="5"/>
      <c r="H379" s="19">
        <v>377</v>
      </c>
      <c r="I379" s="7">
        <v>113596</v>
      </c>
      <c r="J379" s="7" t="s">
        <v>1979</v>
      </c>
      <c r="K379" s="7">
        <v>97.3</v>
      </c>
      <c r="L379" s="7">
        <v>205.4</v>
      </c>
      <c r="M379" s="7">
        <v>302.7</v>
      </c>
      <c r="N379" s="36">
        <v>11.987030000000001</v>
      </c>
      <c r="O379" s="5" t="str">
        <f t="shared" si="12"/>
        <v>未买</v>
      </c>
      <c r="R379" s="19">
        <v>377</v>
      </c>
    </row>
    <row r="380" spans="5:18" x14ac:dyDescent="0.15">
      <c r="E380" s="5"/>
      <c r="H380" s="19">
        <v>378</v>
      </c>
      <c r="I380" s="7">
        <v>123065</v>
      </c>
      <c r="J380" s="7" t="s">
        <v>137</v>
      </c>
      <c r="K380" s="7">
        <v>120.2</v>
      </c>
      <c r="L380" s="7">
        <v>189.85</v>
      </c>
      <c r="M380" s="7">
        <v>310.05</v>
      </c>
      <c r="N380" s="36">
        <v>2.1885789999999998</v>
      </c>
      <c r="O380" s="5" t="str">
        <f t="shared" si="12"/>
        <v>未买</v>
      </c>
      <c r="R380" s="19">
        <v>378</v>
      </c>
    </row>
    <row r="381" spans="5:18" x14ac:dyDescent="0.15">
      <c r="E381" s="5"/>
      <c r="H381" s="19">
        <v>379</v>
      </c>
      <c r="I381" s="7">
        <v>128062</v>
      </c>
      <c r="J381" s="7" t="s">
        <v>1980</v>
      </c>
      <c r="K381" s="7">
        <v>99.4</v>
      </c>
      <c r="L381" s="7">
        <v>211.21</v>
      </c>
      <c r="M381" s="7">
        <v>310.61</v>
      </c>
      <c r="N381" s="36">
        <v>9.6197140000000001</v>
      </c>
      <c r="O381" s="5" t="str">
        <f t="shared" si="12"/>
        <v>未买</v>
      </c>
      <c r="R381" s="19">
        <v>379</v>
      </c>
    </row>
    <row r="382" spans="5:18" x14ac:dyDescent="0.15">
      <c r="E382" s="5"/>
      <c r="H382" s="19">
        <v>380</v>
      </c>
      <c r="I382" s="7">
        <v>123093</v>
      </c>
      <c r="J382" s="7" t="s">
        <v>143</v>
      </c>
      <c r="K382" s="7">
        <v>143.744</v>
      </c>
      <c r="L382" s="7">
        <v>176.7</v>
      </c>
      <c r="M382" s="7">
        <v>320.44399999999996</v>
      </c>
      <c r="N382" s="36">
        <v>2.4998309999999999</v>
      </c>
      <c r="O382" s="5" t="str">
        <f t="shared" si="12"/>
        <v>未买</v>
      </c>
      <c r="R382" s="19">
        <v>380</v>
      </c>
    </row>
    <row r="383" spans="5:18" x14ac:dyDescent="0.15">
      <c r="E383" s="5"/>
      <c r="H383" s="19">
        <v>381</v>
      </c>
      <c r="I383" s="7">
        <v>123138</v>
      </c>
      <c r="J383" s="7" t="s">
        <v>789</v>
      </c>
      <c r="K383" s="7">
        <v>177.6</v>
      </c>
      <c r="L383" s="7">
        <v>153.53</v>
      </c>
      <c r="M383" s="7">
        <v>331.13</v>
      </c>
      <c r="N383" s="36">
        <v>2.4</v>
      </c>
      <c r="O383" s="5" t="str">
        <f t="shared" si="12"/>
        <v>未买</v>
      </c>
      <c r="R383" s="19">
        <v>381</v>
      </c>
    </row>
    <row r="384" spans="5:18" x14ac:dyDescent="0.15">
      <c r="E384" s="5"/>
      <c r="H384" s="19">
        <v>382</v>
      </c>
      <c r="I384" s="7">
        <v>113537</v>
      </c>
      <c r="J384" s="7" t="s">
        <v>1832</v>
      </c>
      <c r="K384" s="7">
        <v>320.95</v>
      </c>
      <c r="L384" s="7">
        <v>10.58</v>
      </c>
      <c r="M384" s="7">
        <v>331.53</v>
      </c>
      <c r="N384" s="36">
        <v>1.40395</v>
      </c>
      <c r="O384" s="5" t="str">
        <f t="shared" si="12"/>
        <v>未买</v>
      </c>
      <c r="R384" s="19">
        <v>382</v>
      </c>
    </row>
    <row r="385" spans="5:18" x14ac:dyDescent="0.15">
      <c r="E385" s="5"/>
      <c r="H385" s="19">
        <v>383</v>
      </c>
      <c r="I385" s="7">
        <v>128030</v>
      </c>
      <c r="J385" s="7" t="s">
        <v>1950</v>
      </c>
      <c r="K385" s="7">
        <v>250.15</v>
      </c>
      <c r="L385" s="7">
        <v>83.83</v>
      </c>
      <c r="M385" s="7">
        <v>333.98</v>
      </c>
      <c r="N385" s="36">
        <v>0.85105900000000001</v>
      </c>
      <c r="O385" s="5" t="str">
        <f t="shared" si="12"/>
        <v>未买</v>
      </c>
      <c r="R385" s="19">
        <v>383</v>
      </c>
    </row>
    <row r="386" spans="5:18" x14ac:dyDescent="0.15">
      <c r="E386" s="5"/>
      <c r="H386" s="19">
        <v>384</v>
      </c>
      <c r="I386" s="7">
        <v>113025</v>
      </c>
      <c r="J386" s="7" t="s">
        <v>1824</v>
      </c>
      <c r="K386" s="7">
        <v>334.49</v>
      </c>
      <c r="L386" s="7">
        <v>11.26</v>
      </c>
      <c r="M386" s="7">
        <v>345.75</v>
      </c>
      <c r="N386" s="36">
        <v>10.147880000000001</v>
      </c>
      <c r="O386" s="5" t="str">
        <f t="shared" si="12"/>
        <v>未买</v>
      </c>
      <c r="R386" s="19">
        <v>384</v>
      </c>
    </row>
    <row r="387" spans="5:18" x14ac:dyDescent="0.15">
      <c r="E387" s="5"/>
      <c r="H387" s="19">
        <v>385</v>
      </c>
      <c r="I387" s="7">
        <v>111003</v>
      </c>
      <c r="J387" s="7" t="s">
        <v>821</v>
      </c>
      <c r="K387" s="7">
        <v>207.96</v>
      </c>
      <c r="L387" s="7">
        <v>138.19</v>
      </c>
      <c r="M387" s="7">
        <v>346.15</v>
      </c>
      <c r="N387" s="36">
        <v>2.04</v>
      </c>
      <c r="O387" s="5" t="str">
        <f t="shared" si="12"/>
        <v>未买</v>
      </c>
      <c r="R387" s="19">
        <v>385</v>
      </c>
    </row>
    <row r="388" spans="5:18" x14ac:dyDescent="0.15">
      <c r="E388" s="5"/>
      <c r="H388" s="19">
        <v>386</v>
      </c>
      <c r="I388" s="7">
        <v>123018</v>
      </c>
      <c r="J388" s="7" t="s">
        <v>77</v>
      </c>
      <c r="K388" s="7">
        <v>242.62799999999999</v>
      </c>
      <c r="L388" s="7">
        <v>104.7</v>
      </c>
      <c r="M388" s="7">
        <v>347.32799999999997</v>
      </c>
      <c r="N388" s="36">
        <v>0.54235200000000006</v>
      </c>
      <c r="O388" s="5" t="str">
        <f t="shared" ref="O388:O412" si="13">IF(ISNA(MATCH(I388,$A$3:$A$1000,0)),"未买","Yes")</f>
        <v>未买</v>
      </c>
      <c r="R388" s="19">
        <v>386</v>
      </c>
    </row>
    <row r="389" spans="5:18" x14ac:dyDescent="0.15">
      <c r="E389" s="5"/>
      <c r="H389" s="19">
        <v>387</v>
      </c>
      <c r="I389" s="7">
        <v>123046</v>
      </c>
      <c r="J389" s="7" t="s">
        <v>1893</v>
      </c>
      <c r="K389" s="7">
        <v>334.02199999999999</v>
      </c>
      <c r="L389" s="7">
        <v>23.77</v>
      </c>
      <c r="M389" s="7">
        <v>357.79199999999997</v>
      </c>
      <c r="N389" s="36">
        <v>0.58544499999999999</v>
      </c>
      <c r="O389" s="5" t="str">
        <f t="shared" si="13"/>
        <v>未买</v>
      </c>
      <c r="R389" s="19">
        <v>387</v>
      </c>
    </row>
    <row r="390" spans="5:18" x14ac:dyDescent="0.15">
      <c r="E390" s="5"/>
      <c r="H390" s="19">
        <v>388</v>
      </c>
      <c r="I390" s="7">
        <v>113576</v>
      </c>
      <c r="J390" s="7" t="s">
        <v>139</v>
      </c>
      <c r="K390" s="7">
        <v>123.32</v>
      </c>
      <c r="L390" s="7">
        <v>246.02</v>
      </c>
      <c r="M390" s="7">
        <v>369.34000000000003</v>
      </c>
      <c r="N390" s="36">
        <v>2.65808</v>
      </c>
      <c r="O390" s="5" t="str">
        <f t="shared" si="13"/>
        <v>未买</v>
      </c>
      <c r="R390" s="19">
        <v>388</v>
      </c>
    </row>
    <row r="391" spans="5:18" x14ac:dyDescent="0.15">
      <c r="E391" s="5"/>
      <c r="H391" s="19">
        <v>389</v>
      </c>
      <c r="I391" s="7">
        <v>123027</v>
      </c>
      <c r="J391" s="7" t="s">
        <v>1924</v>
      </c>
      <c r="K391" s="7">
        <v>382.2</v>
      </c>
      <c r="L391" s="7">
        <v>21.17</v>
      </c>
      <c r="M391" s="7">
        <v>403.37</v>
      </c>
      <c r="N391" s="36">
        <v>1.0667800000000001</v>
      </c>
      <c r="O391" s="5" t="str">
        <f t="shared" si="13"/>
        <v>未买</v>
      </c>
      <c r="R391" s="19">
        <v>389</v>
      </c>
    </row>
    <row r="392" spans="5:18" x14ac:dyDescent="0.15">
      <c r="E392" s="5"/>
      <c r="H392" s="19">
        <v>390</v>
      </c>
      <c r="I392" s="7">
        <v>123034</v>
      </c>
      <c r="J392" s="7" t="s">
        <v>1964</v>
      </c>
      <c r="K392" s="7">
        <v>262.10000000000002</v>
      </c>
      <c r="L392" s="7">
        <v>141.46</v>
      </c>
      <c r="M392" s="7">
        <v>403.56000000000006</v>
      </c>
      <c r="N392" s="36">
        <v>0.77857100000000001</v>
      </c>
      <c r="O392" s="5" t="str">
        <f t="shared" si="13"/>
        <v>未买</v>
      </c>
      <c r="R392" s="19">
        <v>390</v>
      </c>
    </row>
    <row r="393" spans="5:18" x14ac:dyDescent="0.15">
      <c r="E393" s="5"/>
      <c r="H393" s="19">
        <v>391</v>
      </c>
      <c r="I393" s="7">
        <v>113574</v>
      </c>
      <c r="J393" s="7" t="s">
        <v>1981</v>
      </c>
      <c r="K393" s="7">
        <v>117.76</v>
      </c>
      <c r="L393" s="7">
        <v>288.01</v>
      </c>
      <c r="M393" s="7">
        <v>405.77</v>
      </c>
      <c r="N393" s="36">
        <v>2.0874100000000002</v>
      </c>
      <c r="O393" s="5" t="str">
        <f t="shared" si="13"/>
        <v>未买</v>
      </c>
      <c r="R393" s="19">
        <v>391</v>
      </c>
    </row>
    <row r="394" spans="5:18" x14ac:dyDescent="0.15">
      <c r="E394" s="5"/>
      <c r="H394" s="19">
        <v>392</v>
      </c>
      <c r="I394" s="7">
        <v>128095</v>
      </c>
      <c r="J394" s="7" t="s">
        <v>1841</v>
      </c>
      <c r="K394" s="7">
        <v>402.40600000000001</v>
      </c>
      <c r="L394" s="7">
        <v>8.39</v>
      </c>
      <c r="M394" s="7">
        <v>410.79599999999999</v>
      </c>
      <c r="N394" s="36">
        <v>4.539485</v>
      </c>
      <c r="O394" s="5" t="str">
        <f t="shared" si="13"/>
        <v>未买</v>
      </c>
      <c r="R394" s="19">
        <v>392</v>
      </c>
    </row>
    <row r="395" spans="5:18" x14ac:dyDescent="0.15">
      <c r="E395" s="5"/>
      <c r="H395" s="19">
        <v>393</v>
      </c>
      <c r="I395" s="7">
        <v>123140</v>
      </c>
      <c r="J395" s="7" t="s">
        <v>791</v>
      </c>
      <c r="K395" s="7">
        <v>246.011</v>
      </c>
      <c r="L395" s="7">
        <v>168.4</v>
      </c>
      <c r="M395" s="7">
        <v>414.411</v>
      </c>
      <c r="N395" s="36">
        <v>1.72</v>
      </c>
      <c r="O395" s="5" t="str">
        <f t="shared" si="13"/>
        <v>未买</v>
      </c>
      <c r="R395" s="19">
        <v>393</v>
      </c>
    </row>
    <row r="396" spans="5:18" x14ac:dyDescent="0.15">
      <c r="E396" s="5"/>
      <c r="H396" s="19">
        <v>394</v>
      </c>
      <c r="I396" s="7">
        <v>123031</v>
      </c>
      <c r="J396" s="7" t="s">
        <v>1934</v>
      </c>
      <c r="K396" s="7">
        <v>378.5</v>
      </c>
      <c r="L396" s="7">
        <v>36.270000000000003</v>
      </c>
      <c r="M396" s="7">
        <v>414.77</v>
      </c>
      <c r="N396" s="36">
        <v>0.52995999999999999</v>
      </c>
      <c r="O396" s="5" t="str">
        <f t="shared" si="13"/>
        <v>未买</v>
      </c>
      <c r="R396" s="19">
        <v>394</v>
      </c>
    </row>
    <row r="397" spans="5:18" x14ac:dyDescent="0.15">
      <c r="E397" s="5"/>
      <c r="H397" s="19">
        <v>395</v>
      </c>
      <c r="I397" s="7">
        <v>110044</v>
      </c>
      <c r="J397" s="7" t="s">
        <v>136</v>
      </c>
      <c r="K397" s="7">
        <v>244.25</v>
      </c>
      <c r="L397" s="7">
        <v>185.87</v>
      </c>
      <c r="M397" s="7">
        <v>430.12</v>
      </c>
      <c r="N397" s="36">
        <v>0.70747000000000004</v>
      </c>
      <c r="O397" s="5" t="str">
        <f t="shared" si="13"/>
        <v>未买</v>
      </c>
      <c r="R397" s="19">
        <v>395</v>
      </c>
    </row>
    <row r="398" spans="5:18" x14ac:dyDescent="0.15">
      <c r="E398" s="5"/>
      <c r="H398" s="19">
        <v>396</v>
      </c>
      <c r="I398" s="7">
        <v>123072</v>
      </c>
      <c r="J398" s="7" t="s">
        <v>1983</v>
      </c>
      <c r="K398" s="7">
        <v>138.297</v>
      </c>
      <c r="L398" s="7">
        <v>296.14999999999998</v>
      </c>
      <c r="M398" s="7">
        <v>434.447</v>
      </c>
      <c r="N398" s="36">
        <v>1.419144</v>
      </c>
      <c r="O398" s="5" t="str">
        <f t="shared" si="13"/>
        <v>未买</v>
      </c>
      <c r="R398" s="19">
        <v>396</v>
      </c>
    </row>
    <row r="399" spans="5:18" x14ac:dyDescent="0.15">
      <c r="E399" s="5"/>
      <c r="H399" s="19">
        <v>397</v>
      </c>
      <c r="I399" s="7">
        <v>123143</v>
      </c>
      <c r="J399" s="7" t="s">
        <v>820</v>
      </c>
      <c r="K399" s="7">
        <v>294.99900000000002</v>
      </c>
      <c r="L399" s="7">
        <v>186.16</v>
      </c>
      <c r="M399" s="7">
        <v>481.15899999999999</v>
      </c>
      <c r="N399" s="36">
        <v>3.3</v>
      </c>
      <c r="O399" s="5" t="str">
        <f t="shared" si="13"/>
        <v>未买</v>
      </c>
      <c r="R399" s="19">
        <v>397</v>
      </c>
    </row>
    <row r="400" spans="5:18" x14ac:dyDescent="0.15">
      <c r="E400" s="5"/>
      <c r="H400" s="19">
        <v>398</v>
      </c>
      <c r="I400" s="7">
        <v>127004</v>
      </c>
      <c r="J400" s="7" t="s">
        <v>138</v>
      </c>
      <c r="K400" s="7">
        <v>263.26799999999997</v>
      </c>
      <c r="L400" s="7">
        <v>251.02</v>
      </c>
      <c r="M400" s="7">
        <v>514.28800000000001</v>
      </c>
      <c r="N400" s="36">
        <v>1.3110879999999998</v>
      </c>
      <c r="O400" s="5" t="str">
        <f t="shared" si="13"/>
        <v>未买</v>
      </c>
      <c r="R400" s="19">
        <v>398</v>
      </c>
    </row>
    <row r="401" spans="5:18" x14ac:dyDescent="0.15">
      <c r="E401" s="5"/>
      <c r="H401" s="19">
        <v>399</v>
      </c>
      <c r="I401" s="7">
        <v>128041</v>
      </c>
      <c r="J401" s="7" t="s">
        <v>135</v>
      </c>
      <c r="K401" s="7">
        <v>301.58</v>
      </c>
      <c r="L401" s="7">
        <v>216.42</v>
      </c>
      <c r="M401" s="7">
        <v>518</v>
      </c>
      <c r="N401" s="36">
        <v>0.52935699999999997</v>
      </c>
      <c r="O401" s="5" t="str">
        <f t="shared" si="13"/>
        <v>未买</v>
      </c>
      <c r="R401" s="19">
        <v>399</v>
      </c>
    </row>
    <row r="402" spans="5:18" x14ac:dyDescent="0.15">
      <c r="E402" s="5"/>
      <c r="H402" s="19">
        <v>400</v>
      </c>
      <c r="I402" s="7">
        <v>113575</v>
      </c>
      <c r="J402" s="7" t="s">
        <v>152</v>
      </c>
      <c r="K402" s="7">
        <v>213.04</v>
      </c>
      <c r="L402" s="7">
        <v>328.57</v>
      </c>
      <c r="M402" s="7">
        <v>541.61</v>
      </c>
      <c r="N402" s="36">
        <v>0.98397999999999997</v>
      </c>
      <c r="O402" s="5" t="str">
        <f t="shared" si="13"/>
        <v>未买</v>
      </c>
      <c r="R402" s="19">
        <v>400</v>
      </c>
    </row>
    <row r="403" spans="5:18" x14ac:dyDescent="0.15">
      <c r="E403" s="5"/>
      <c r="H403" s="19">
        <v>401</v>
      </c>
      <c r="I403" s="7">
        <v>113016</v>
      </c>
      <c r="J403" s="7" t="s">
        <v>1890</v>
      </c>
      <c r="K403" s="7">
        <v>559.84</v>
      </c>
      <c r="L403" s="7">
        <v>27.62</v>
      </c>
      <c r="M403" s="7">
        <v>587.46</v>
      </c>
      <c r="N403" s="36">
        <v>2.06542</v>
      </c>
      <c r="O403" s="5" t="str">
        <f t="shared" si="13"/>
        <v>未买</v>
      </c>
      <c r="R403" s="19">
        <v>401</v>
      </c>
    </row>
    <row r="404" spans="5:18" x14ac:dyDescent="0.15">
      <c r="E404" s="5"/>
      <c r="H404" s="19">
        <v>402</v>
      </c>
      <c r="I404" s="7">
        <v>123136</v>
      </c>
      <c r="J404" s="7" t="s">
        <v>274</v>
      </c>
      <c r="K404" s="7">
        <v>330.5</v>
      </c>
      <c r="L404" s="7">
        <v>284.52999999999997</v>
      </c>
      <c r="M404" s="7">
        <v>615.03</v>
      </c>
      <c r="N404" s="36">
        <v>4.5999999999999996</v>
      </c>
      <c r="O404" s="5" t="str">
        <f t="shared" si="13"/>
        <v>未买</v>
      </c>
      <c r="R404" s="19">
        <v>402</v>
      </c>
    </row>
    <row r="405" spans="5:18" x14ac:dyDescent="0.15">
      <c r="E405" s="5"/>
      <c r="H405" s="19">
        <v>403</v>
      </c>
      <c r="I405" s="7">
        <v>127057</v>
      </c>
      <c r="J405" s="7" t="s">
        <v>780</v>
      </c>
      <c r="K405" s="7">
        <v>443.92</v>
      </c>
      <c r="L405" s="7">
        <v>187.07</v>
      </c>
      <c r="M405" s="7">
        <v>630.99</v>
      </c>
      <c r="N405" s="36">
        <v>2.76</v>
      </c>
      <c r="O405" s="5" t="str">
        <f t="shared" si="13"/>
        <v>未买</v>
      </c>
      <c r="R405" s="19">
        <v>403</v>
      </c>
    </row>
    <row r="406" spans="5:18" x14ac:dyDescent="0.15">
      <c r="E406" s="5"/>
      <c r="H406" s="19">
        <v>404</v>
      </c>
      <c r="I406" s="7">
        <v>113646</v>
      </c>
      <c r="J406" s="7" t="s">
        <v>1982</v>
      </c>
      <c r="K406" s="7">
        <v>332.95</v>
      </c>
      <c r="L406" s="7">
        <v>302.31</v>
      </c>
      <c r="M406" s="7">
        <v>635.26</v>
      </c>
      <c r="N406" s="36">
        <v>1.45868</v>
      </c>
      <c r="O406" s="5" t="str">
        <f t="shared" si="13"/>
        <v>未买</v>
      </c>
      <c r="R406" s="19">
        <v>404</v>
      </c>
    </row>
    <row r="407" spans="5:18" x14ac:dyDescent="0.15">
      <c r="E407" s="5"/>
      <c r="H407" s="19">
        <v>405</v>
      </c>
      <c r="I407" s="7">
        <v>123135</v>
      </c>
      <c r="J407" s="7" t="s">
        <v>1984</v>
      </c>
      <c r="K407" s="7">
        <v>360.82100000000003</v>
      </c>
      <c r="L407" s="7">
        <v>367.38</v>
      </c>
      <c r="M407" s="7">
        <v>728.20100000000002</v>
      </c>
      <c r="N407" s="36">
        <v>2.1</v>
      </c>
      <c r="O407" s="5" t="str">
        <f t="shared" si="13"/>
        <v>未买</v>
      </c>
      <c r="R407" s="19">
        <v>405</v>
      </c>
    </row>
    <row r="408" spans="5:18" x14ac:dyDescent="0.15">
      <c r="E408" s="5"/>
      <c r="H408" s="19">
        <v>406</v>
      </c>
      <c r="I408" s="7">
        <v>123134</v>
      </c>
      <c r="J408" s="7" t="s">
        <v>280</v>
      </c>
      <c r="K408" s="7">
        <v>425</v>
      </c>
      <c r="L408" s="7">
        <v>334.43</v>
      </c>
      <c r="M408" s="7">
        <v>759.43000000000006</v>
      </c>
      <c r="N408" s="36">
        <v>2.79</v>
      </c>
      <c r="O408" s="5" t="str">
        <f t="shared" si="13"/>
        <v>未买</v>
      </c>
      <c r="R408" s="19">
        <v>406</v>
      </c>
    </row>
    <row r="409" spans="5:18" x14ac:dyDescent="0.15">
      <c r="E409" s="5"/>
      <c r="H409" s="19">
        <v>407</v>
      </c>
      <c r="I409" s="7">
        <v>128111</v>
      </c>
      <c r="J409" s="7" t="s">
        <v>1819</v>
      </c>
      <c r="K409" s="7">
        <v>760.05</v>
      </c>
      <c r="L409" s="7">
        <v>-0.42</v>
      </c>
      <c r="M409" s="7">
        <v>759.63</v>
      </c>
      <c r="N409" s="36">
        <v>1.340368</v>
      </c>
      <c r="O409" s="5" t="str">
        <f t="shared" si="13"/>
        <v>未买</v>
      </c>
      <c r="R409" s="19">
        <v>407</v>
      </c>
    </row>
    <row r="410" spans="5:18" x14ac:dyDescent="0.15">
      <c r="E410" s="5"/>
      <c r="H410" s="19">
        <v>408</v>
      </c>
      <c r="I410" s="7">
        <v>113548</v>
      </c>
      <c r="J410" s="7" t="s">
        <v>1818</v>
      </c>
      <c r="K410" s="7">
        <v>784.49</v>
      </c>
      <c r="L410" s="7">
        <v>2.97</v>
      </c>
      <c r="M410" s="7">
        <v>787.46</v>
      </c>
      <c r="N410" s="36">
        <v>0.71064000000000005</v>
      </c>
      <c r="O410" s="5" t="str">
        <f t="shared" si="13"/>
        <v>未买</v>
      </c>
      <c r="R410" s="19">
        <v>408</v>
      </c>
    </row>
    <row r="411" spans="5:18" x14ac:dyDescent="0.15">
      <c r="E411" s="5"/>
      <c r="H411" s="19">
        <v>409</v>
      </c>
      <c r="I411" s="7">
        <v>123013</v>
      </c>
      <c r="J411" s="7" t="s">
        <v>1985</v>
      </c>
      <c r="K411" s="7">
        <v>510.99</v>
      </c>
      <c r="L411" s="7">
        <v>515.35</v>
      </c>
      <c r="M411" s="7">
        <v>1026.3400000000001</v>
      </c>
      <c r="N411" s="36">
        <v>0.37926300000000002</v>
      </c>
      <c r="O411" s="5" t="str">
        <f t="shared" si="13"/>
        <v>未买</v>
      </c>
      <c r="R411" s="19">
        <v>409</v>
      </c>
    </row>
    <row r="412" spans="5:18" x14ac:dyDescent="0.15">
      <c r="E412" s="5"/>
      <c r="H412" s="19">
        <v>410</v>
      </c>
      <c r="I412" s="7">
        <v>123015</v>
      </c>
      <c r="J412" s="7" t="s">
        <v>1986</v>
      </c>
      <c r="K412" s="7">
        <v>323.89999999999998</v>
      </c>
      <c r="L412" s="7">
        <v>953.68</v>
      </c>
      <c r="M412" s="7">
        <v>1277.58</v>
      </c>
      <c r="N412" s="36">
        <v>1.001309</v>
      </c>
      <c r="O412" s="5" t="str">
        <f t="shared" si="13"/>
        <v>未买</v>
      </c>
      <c r="R412" s="19">
        <v>410</v>
      </c>
    </row>
    <row r="413" spans="5:18" x14ac:dyDescent="0.15">
      <c r="E413" s="5"/>
      <c r="H413" s="19">
        <v>411</v>
      </c>
      <c r="R413" s="19">
        <v>411</v>
      </c>
    </row>
    <row r="414" spans="5:18" x14ac:dyDescent="0.15">
      <c r="E414" s="5"/>
      <c r="H414" s="19">
        <v>412</v>
      </c>
      <c r="R414" s="19">
        <v>412</v>
      </c>
    </row>
    <row r="415" spans="5:18" x14ac:dyDescent="0.15">
      <c r="E415" s="5"/>
      <c r="H415" s="19">
        <v>413</v>
      </c>
      <c r="R415" s="19">
        <v>413</v>
      </c>
    </row>
    <row r="416" spans="5:18" x14ac:dyDescent="0.15">
      <c r="E416" s="5"/>
      <c r="H416" s="19">
        <v>414</v>
      </c>
      <c r="R416" s="19">
        <v>414</v>
      </c>
    </row>
    <row r="417" spans="5:18" x14ac:dyDescent="0.15">
      <c r="E417" s="5"/>
      <c r="H417" s="19">
        <v>415</v>
      </c>
      <c r="R417" s="19">
        <v>415</v>
      </c>
    </row>
    <row r="418" spans="5:18" x14ac:dyDescent="0.15">
      <c r="E418" s="5"/>
      <c r="H418" s="19">
        <v>416</v>
      </c>
      <c r="R418" s="19">
        <v>416</v>
      </c>
    </row>
    <row r="419" spans="5:18" x14ac:dyDescent="0.15">
      <c r="E419" s="5"/>
      <c r="H419" s="19">
        <v>417</v>
      </c>
      <c r="R419" s="19">
        <v>417</v>
      </c>
    </row>
    <row r="420" spans="5:18" x14ac:dyDescent="0.15">
      <c r="E420" s="5"/>
      <c r="H420" s="19">
        <v>418</v>
      </c>
      <c r="R420" s="19">
        <v>418</v>
      </c>
    </row>
    <row r="421" spans="5:18" x14ac:dyDescent="0.15">
      <c r="E421" s="5"/>
      <c r="H421" s="19">
        <v>419</v>
      </c>
      <c r="R421" s="19">
        <v>419</v>
      </c>
    </row>
    <row r="422" spans="5:18" x14ac:dyDescent="0.15">
      <c r="E422" s="5"/>
      <c r="H422" s="19">
        <v>420</v>
      </c>
      <c r="R422" s="19">
        <v>420</v>
      </c>
    </row>
    <row r="423" spans="5:18" x14ac:dyDescent="0.15">
      <c r="E423" s="5"/>
      <c r="H423" s="19">
        <v>421</v>
      </c>
      <c r="R423" s="19">
        <v>421</v>
      </c>
    </row>
    <row r="424" spans="5:18" x14ac:dyDescent="0.15">
      <c r="E424" s="5"/>
      <c r="H424" s="19">
        <v>422</v>
      </c>
      <c r="R424" s="19">
        <v>422</v>
      </c>
    </row>
    <row r="425" spans="5:18" x14ac:dyDescent="0.15">
      <c r="E425" s="5"/>
      <c r="H425" s="19">
        <v>423</v>
      </c>
      <c r="R425" s="19">
        <v>423</v>
      </c>
    </row>
    <row r="426" spans="5:18" x14ac:dyDescent="0.15">
      <c r="E426" s="5"/>
      <c r="H426" s="19">
        <v>424</v>
      </c>
      <c r="R426" s="19">
        <v>424</v>
      </c>
    </row>
    <row r="427" spans="5:18" x14ac:dyDescent="0.15">
      <c r="E427" s="5"/>
      <c r="H427" s="19">
        <v>425</v>
      </c>
      <c r="R427" s="19">
        <v>425</v>
      </c>
    </row>
    <row r="428" spans="5:18" x14ac:dyDescent="0.15">
      <c r="E428" s="5"/>
      <c r="H428" s="19">
        <v>426</v>
      </c>
      <c r="R428" s="19">
        <v>426</v>
      </c>
    </row>
    <row r="429" spans="5:18" x14ac:dyDescent="0.15">
      <c r="E429" s="5"/>
      <c r="H429" s="19">
        <v>427</v>
      </c>
      <c r="R429" s="19">
        <v>427</v>
      </c>
    </row>
    <row r="430" spans="5:18" x14ac:dyDescent="0.15">
      <c r="E430" s="5"/>
      <c r="H430" s="19">
        <v>428</v>
      </c>
      <c r="R430" s="19">
        <v>428</v>
      </c>
    </row>
    <row r="431" spans="5:18" x14ac:dyDescent="0.15">
      <c r="E431" s="5"/>
      <c r="H431" s="19">
        <v>429</v>
      </c>
      <c r="R431" s="19">
        <v>429</v>
      </c>
    </row>
    <row r="432" spans="5:18" x14ac:dyDescent="0.15">
      <c r="E432" s="5"/>
      <c r="H432" s="19">
        <v>430</v>
      </c>
      <c r="R432" s="19">
        <v>430</v>
      </c>
    </row>
    <row r="433" spans="5:18" x14ac:dyDescent="0.15">
      <c r="E433" s="5"/>
      <c r="H433" s="19">
        <v>431</v>
      </c>
      <c r="R433" s="19">
        <v>431</v>
      </c>
    </row>
    <row r="434" spans="5:18" x14ac:dyDescent="0.15">
      <c r="E434" s="5"/>
      <c r="H434" s="19">
        <v>432</v>
      </c>
      <c r="R434" s="19">
        <v>432</v>
      </c>
    </row>
    <row r="435" spans="5:18" x14ac:dyDescent="0.15">
      <c r="E435" s="5"/>
      <c r="H435" s="19">
        <v>433</v>
      </c>
      <c r="R435" s="19">
        <v>433</v>
      </c>
    </row>
    <row r="436" spans="5:18" x14ac:dyDescent="0.15">
      <c r="E436" s="5"/>
      <c r="H436" s="19">
        <v>434</v>
      </c>
      <c r="R436" s="19">
        <v>434</v>
      </c>
    </row>
    <row r="437" spans="5:18" x14ac:dyDescent="0.15">
      <c r="E437" s="5"/>
      <c r="H437" s="19">
        <v>435</v>
      </c>
      <c r="R437" s="19">
        <v>435</v>
      </c>
    </row>
    <row r="438" spans="5:18" x14ac:dyDescent="0.15">
      <c r="E438" s="5"/>
      <c r="H438" s="19">
        <v>436</v>
      </c>
      <c r="R438" s="19">
        <v>436</v>
      </c>
    </row>
    <row r="439" spans="5:18" x14ac:dyDescent="0.15">
      <c r="E439" s="5"/>
      <c r="H439" s="19">
        <v>437</v>
      </c>
      <c r="R439" s="19">
        <v>437</v>
      </c>
    </row>
    <row r="440" spans="5:18" x14ac:dyDescent="0.15">
      <c r="E440" s="5"/>
      <c r="H440" s="19">
        <v>438</v>
      </c>
      <c r="R440" s="19">
        <v>438</v>
      </c>
    </row>
    <row r="441" spans="5:18" x14ac:dyDescent="0.15">
      <c r="E441" s="5"/>
      <c r="H441" s="19">
        <v>439</v>
      </c>
      <c r="R441" s="19">
        <v>439</v>
      </c>
    </row>
    <row r="442" spans="5:18" x14ac:dyDescent="0.15">
      <c r="E442" s="5"/>
      <c r="H442" s="19">
        <v>440</v>
      </c>
      <c r="R442" s="19">
        <v>440</v>
      </c>
    </row>
    <row r="443" spans="5:18" x14ac:dyDescent="0.15">
      <c r="E443" s="5"/>
      <c r="H443" s="19">
        <v>441</v>
      </c>
      <c r="R443" s="19">
        <v>441</v>
      </c>
    </row>
    <row r="444" spans="5:18" x14ac:dyDescent="0.15">
      <c r="E444" s="5"/>
      <c r="H444" s="19">
        <v>442</v>
      </c>
      <c r="R444" s="19">
        <v>442</v>
      </c>
    </row>
    <row r="445" spans="5:18" x14ac:dyDescent="0.15">
      <c r="E445" s="5"/>
      <c r="H445" s="19">
        <v>443</v>
      </c>
      <c r="R445" s="19">
        <v>443</v>
      </c>
    </row>
    <row r="446" spans="5:18" x14ac:dyDescent="0.15">
      <c r="E446" s="5"/>
      <c r="H446" s="19">
        <v>444</v>
      </c>
      <c r="R446" s="19">
        <v>444</v>
      </c>
    </row>
    <row r="447" spans="5:18" x14ac:dyDescent="0.15">
      <c r="E447" s="5"/>
      <c r="H447" s="19">
        <v>445</v>
      </c>
      <c r="R447" s="19">
        <v>445</v>
      </c>
    </row>
    <row r="448" spans="5:18" x14ac:dyDescent="0.15">
      <c r="E448" s="5"/>
      <c r="H448" s="19">
        <v>446</v>
      </c>
      <c r="R448" s="19">
        <v>446</v>
      </c>
    </row>
    <row r="449" spans="5:18" x14ac:dyDescent="0.15">
      <c r="E449" s="5"/>
      <c r="H449" s="19">
        <v>447</v>
      </c>
      <c r="R449" s="19">
        <v>447</v>
      </c>
    </row>
    <row r="450" spans="5:18" x14ac:dyDescent="0.15">
      <c r="E450" s="5"/>
      <c r="H450" s="19">
        <v>448</v>
      </c>
      <c r="R450" s="19">
        <v>448</v>
      </c>
    </row>
    <row r="451" spans="5:18" x14ac:dyDescent="0.15">
      <c r="E451" s="5"/>
      <c r="H451" s="19">
        <v>449</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704"/>
  <sheetViews>
    <sheetView tabSelected="1" workbookViewId="0">
      <pane ySplit="1" topLeftCell="A680" activePane="bottomLeft" state="frozen"/>
      <selection pane="bottomLeft" activeCell="K698" sqref="K698"/>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3" width="10.375" customWidth="1"/>
    <col min="14" max="14" width="8" style="20" customWidth="1"/>
    <col min="15" max="15" width="8.875" customWidth="1"/>
    <col min="16" max="16" width="9" customWidth="1"/>
    <col min="17" max="17" width="8" customWidth="1"/>
    <col min="18" max="18" width="11.625" style="21" customWidth="1"/>
  </cols>
  <sheetData>
    <row r="1" spans="1:21" s="22" customFormat="1" ht="53.25" customHeight="1" x14ac:dyDescent="0.15">
      <c r="A1" s="29" t="s">
        <v>283</v>
      </c>
      <c r="B1" s="23" t="s">
        <v>39</v>
      </c>
      <c r="C1" s="23" t="s">
        <v>38</v>
      </c>
      <c r="D1" s="23" t="s">
        <v>1691</v>
      </c>
      <c r="E1" s="27"/>
      <c r="F1" s="29" t="s">
        <v>779</v>
      </c>
      <c r="G1" s="24"/>
      <c r="H1" s="23" t="s">
        <v>39</v>
      </c>
      <c r="I1" s="23" t="s">
        <v>38</v>
      </c>
      <c r="J1" s="23" t="s">
        <v>37</v>
      </c>
      <c r="K1" s="23" t="s">
        <v>2033</v>
      </c>
      <c r="L1" s="23" t="s">
        <v>2034</v>
      </c>
      <c r="M1" s="23" t="s">
        <v>36</v>
      </c>
      <c r="N1" s="25" t="s">
        <v>35</v>
      </c>
      <c r="O1" s="23" t="s">
        <v>34</v>
      </c>
      <c r="P1" s="23" t="s">
        <v>1685</v>
      </c>
      <c r="Q1" s="23" t="s">
        <v>1686</v>
      </c>
      <c r="R1" s="26" t="s">
        <v>1687</v>
      </c>
      <c r="T1" s="56" t="s">
        <v>2009</v>
      </c>
    </row>
    <row r="2" spans="1:21" x14ac:dyDescent="0.15">
      <c r="A2">
        <v>1</v>
      </c>
      <c r="B2">
        <v>159981</v>
      </c>
      <c r="C2" t="s">
        <v>33</v>
      </c>
      <c r="D2">
        <f>MATCH(IF(B2&lt;499999,"SZ"&amp;B2,"SH"&amp;B2),$H$2:$H$3000,0)</f>
        <v>525</v>
      </c>
      <c r="G2" s="11">
        <v>1</v>
      </c>
      <c r="H2" s="10" t="s">
        <v>767</v>
      </c>
      <c r="I2" t="s">
        <v>1211</v>
      </c>
      <c r="J2" t="s">
        <v>1198</v>
      </c>
      <c r="K2">
        <v>23.59</v>
      </c>
      <c r="L2">
        <v>32.880000000000003</v>
      </c>
      <c r="M2">
        <v>36.89</v>
      </c>
      <c r="N2" s="20">
        <v>-5.22</v>
      </c>
      <c r="O2">
        <v>100</v>
      </c>
      <c r="P2">
        <v>100</v>
      </c>
      <c r="Q2">
        <v>98.86</v>
      </c>
      <c r="R2" s="21">
        <v>35178.332999999999</v>
      </c>
      <c r="T2" s="9"/>
      <c r="U2" s="9"/>
    </row>
    <row r="3" spans="1:21" x14ac:dyDescent="0.15">
      <c r="A3">
        <v>2</v>
      </c>
      <c r="B3">
        <v>160416</v>
      </c>
      <c r="C3" t="s">
        <v>32</v>
      </c>
      <c r="D3">
        <f t="shared" ref="D3:D11" si="0">MATCH(IF(B3&lt;499999,"SZ"&amp;B3,"SH"&amp;B3),$H$2:$H$3000,0)</f>
        <v>348</v>
      </c>
      <c r="G3" s="11">
        <v>2</v>
      </c>
      <c r="H3" s="10" t="s">
        <v>350</v>
      </c>
      <c r="I3" t="s">
        <v>40</v>
      </c>
      <c r="J3" t="s">
        <v>833</v>
      </c>
      <c r="K3">
        <v>9.3000000000000007</v>
      </c>
      <c r="L3">
        <v>13.23</v>
      </c>
      <c r="M3">
        <v>14.56</v>
      </c>
      <c r="N3" s="20">
        <v>-5.53</v>
      </c>
      <c r="O3">
        <v>99.86</v>
      </c>
      <c r="P3">
        <v>92.75</v>
      </c>
      <c r="Q3">
        <v>99.29</v>
      </c>
      <c r="R3" s="21">
        <v>173.9545</v>
      </c>
      <c r="T3" s="9"/>
      <c r="U3" s="9"/>
    </row>
    <row r="4" spans="1:21" x14ac:dyDescent="0.15">
      <c r="A4">
        <v>3</v>
      </c>
      <c r="B4">
        <v>164906</v>
      </c>
      <c r="C4" t="s">
        <v>31</v>
      </c>
      <c r="D4">
        <f t="shared" si="0"/>
        <v>24</v>
      </c>
      <c r="G4" s="11">
        <v>3</v>
      </c>
      <c r="H4" s="10" t="s">
        <v>1524</v>
      </c>
      <c r="I4" t="s">
        <v>1525</v>
      </c>
      <c r="J4" t="s">
        <v>1688</v>
      </c>
      <c r="K4">
        <v>5.93</v>
      </c>
      <c r="L4">
        <v>15.11</v>
      </c>
      <c r="M4">
        <v>20.54</v>
      </c>
      <c r="N4" s="20">
        <v>-0.68</v>
      </c>
      <c r="O4">
        <v>99.72</v>
      </c>
      <c r="P4">
        <v>99.15</v>
      </c>
      <c r="Q4">
        <v>92.6</v>
      </c>
      <c r="R4" s="21">
        <v>1563.6404600000001</v>
      </c>
      <c r="T4" s="9"/>
      <c r="U4" s="9"/>
    </row>
    <row r="5" spans="1:21" x14ac:dyDescent="0.15">
      <c r="A5">
        <v>4</v>
      </c>
      <c r="B5">
        <v>159985</v>
      </c>
      <c r="C5" t="s">
        <v>30</v>
      </c>
      <c r="D5">
        <f t="shared" si="0"/>
        <v>413</v>
      </c>
      <c r="G5" s="11">
        <v>4</v>
      </c>
      <c r="H5" s="10" t="s">
        <v>351</v>
      </c>
      <c r="I5" t="s">
        <v>867</v>
      </c>
      <c r="J5" t="s">
        <v>833</v>
      </c>
      <c r="K5">
        <v>7.88</v>
      </c>
      <c r="L5">
        <v>11.21</v>
      </c>
      <c r="M5">
        <v>13.58</v>
      </c>
      <c r="N5" s="20">
        <v>-2.4300000000000002</v>
      </c>
      <c r="O5">
        <v>99.57</v>
      </c>
      <c r="P5">
        <v>91.61</v>
      </c>
      <c r="Q5">
        <v>97.58</v>
      </c>
      <c r="R5" s="21">
        <v>676.44129999999996</v>
      </c>
      <c r="T5" s="9"/>
      <c r="U5" s="9"/>
    </row>
    <row r="6" spans="1:21" x14ac:dyDescent="0.15">
      <c r="A6">
        <v>5</v>
      </c>
      <c r="B6">
        <v>501046</v>
      </c>
      <c r="C6" t="s">
        <v>40</v>
      </c>
      <c r="D6">
        <f t="shared" si="0"/>
        <v>2</v>
      </c>
      <c r="G6" s="11">
        <v>5</v>
      </c>
      <c r="H6" s="10" t="s">
        <v>465</v>
      </c>
      <c r="I6" t="s">
        <v>958</v>
      </c>
      <c r="J6" t="s">
        <v>870</v>
      </c>
      <c r="K6">
        <v>4.55</v>
      </c>
      <c r="L6">
        <v>10.49</v>
      </c>
      <c r="M6">
        <v>14.23</v>
      </c>
      <c r="N6" s="20">
        <v>-0.51</v>
      </c>
      <c r="O6">
        <v>99.43</v>
      </c>
      <c r="P6">
        <v>92.46</v>
      </c>
      <c r="Q6">
        <v>89.76</v>
      </c>
      <c r="R6" s="21">
        <v>2045.8103000000001</v>
      </c>
      <c r="T6" t="s">
        <v>2035</v>
      </c>
    </row>
    <row r="7" spans="1:21" x14ac:dyDescent="0.15">
      <c r="A7">
        <v>6</v>
      </c>
      <c r="B7">
        <v>159980</v>
      </c>
      <c r="C7" t="s">
        <v>29</v>
      </c>
      <c r="D7">
        <f t="shared" si="0"/>
        <v>541</v>
      </c>
      <c r="G7" s="11">
        <v>6</v>
      </c>
      <c r="H7" s="10" t="s">
        <v>1494</v>
      </c>
      <c r="I7" t="s">
        <v>1495</v>
      </c>
      <c r="J7" t="s">
        <v>1688</v>
      </c>
      <c r="K7">
        <v>4.09</v>
      </c>
      <c r="L7">
        <v>10.35</v>
      </c>
      <c r="M7">
        <v>15.47</v>
      </c>
      <c r="N7" s="20">
        <v>-0.44</v>
      </c>
      <c r="O7">
        <v>99.29</v>
      </c>
      <c r="P7">
        <v>94.03</v>
      </c>
      <c r="Q7">
        <v>87.48</v>
      </c>
      <c r="R7" s="21">
        <v>159.11347649999999</v>
      </c>
    </row>
    <row r="8" spans="1:21" x14ac:dyDescent="0.15">
      <c r="A8">
        <v>7</v>
      </c>
      <c r="B8">
        <v>160216</v>
      </c>
      <c r="C8" t="s">
        <v>28</v>
      </c>
      <c r="D8">
        <f t="shared" si="0"/>
        <v>515</v>
      </c>
      <c r="G8" s="11">
        <v>7</v>
      </c>
      <c r="H8" s="10" t="s">
        <v>545</v>
      </c>
      <c r="I8" t="s">
        <v>1623</v>
      </c>
      <c r="J8" t="s">
        <v>1688</v>
      </c>
      <c r="K8">
        <v>-3.58</v>
      </c>
      <c r="L8">
        <v>7.32</v>
      </c>
      <c r="M8">
        <v>15.44</v>
      </c>
      <c r="N8" s="20">
        <v>-0.44</v>
      </c>
      <c r="O8">
        <v>99.15</v>
      </c>
      <c r="P8">
        <v>93.88</v>
      </c>
      <c r="Q8">
        <v>87.62</v>
      </c>
      <c r="R8" s="21">
        <v>8045.6737499999999</v>
      </c>
    </row>
    <row r="9" spans="1:21" x14ac:dyDescent="0.15">
      <c r="A9">
        <v>8</v>
      </c>
      <c r="B9">
        <v>513680</v>
      </c>
      <c r="C9" t="s">
        <v>257</v>
      </c>
      <c r="D9">
        <f t="shared" si="0"/>
        <v>322</v>
      </c>
      <c r="G9" s="11">
        <v>8</v>
      </c>
      <c r="H9" s="10" t="s">
        <v>1407</v>
      </c>
      <c r="I9" t="s">
        <v>1408</v>
      </c>
      <c r="J9" t="s">
        <v>1688</v>
      </c>
      <c r="K9">
        <v>4.4400000000000004</v>
      </c>
      <c r="L9">
        <v>9.25</v>
      </c>
      <c r="M9">
        <v>14.07</v>
      </c>
      <c r="N9" s="20">
        <v>-0.45</v>
      </c>
      <c r="O9">
        <v>99</v>
      </c>
      <c r="P9">
        <v>92.03</v>
      </c>
      <c r="Q9">
        <v>87.91</v>
      </c>
      <c r="R9" s="21">
        <v>96.797168500000012</v>
      </c>
    </row>
    <row r="10" spans="1:21" x14ac:dyDescent="0.15">
      <c r="A10">
        <v>9</v>
      </c>
      <c r="B10">
        <v>160717</v>
      </c>
      <c r="C10" t="s">
        <v>25</v>
      </c>
      <c r="D10">
        <f t="shared" si="0"/>
        <v>632</v>
      </c>
      <c r="G10" s="11">
        <v>9</v>
      </c>
      <c r="H10" s="10" t="s">
        <v>1614</v>
      </c>
      <c r="I10" t="s">
        <v>1615</v>
      </c>
      <c r="J10" t="s">
        <v>1688</v>
      </c>
      <c r="K10">
        <v>-3.13</v>
      </c>
      <c r="L10">
        <v>6.75</v>
      </c>
      <c r="M10">
        <v>12.88</v>
      </c>
      <c r="N10" s="20">
        <v>-0.56000000000000005</v>
      </c>
      <c r="O10">
        <v>98.86</v>
      </c>
      <c r="P10">
        <v>89.76</v>
      </c>
      <c r="Q10">
        <v>90.04</v>
      </c>
      <c r="R10" s="21">
        <v>22833.720399999998</v>
      </c>
    </row>
    <row r="11" spans="1:21" x14ac:dyDescent="0.15">
      <c r="A11">
        <v>10</v>
      </c>
      <c r="B11">
        <v>162411</v>
      </c>
      <c r="C11" t="s">
        <v>27</v>
      </c>
      <c r="D11">
        <f t="shared" si="0"/>
        <v>243</v>
      </c>
      <c r="G11" s="11">
        <v>10</v>
      </c>
      <c r="H11" s="10" t="s">
        <v>611</v>
      </c>
      <c r="I11" t="s">
        <v>1622</v>
      </c>
      <c r="J11" t="s">
        <v>1688</v>
      </c>
      <c r="K11">
        <v>-3.58</v>
      </c>
      <c r="L11">
        <v>5.24</v>
      </c>
      <c r="M11">
        <v>12.1</v>
      </c>
      <c r="N11" s="20">
        <v>-0.93</v>
      </c>
      <c r="O11">
        <v>98.72</v>
      </c>
      <c r="P11">
        <v>84.64</v>
      </c>
      <c r="Q11">
        <v>94.74</v>
      </c>
      <c r="R11" s="21">
        <v>6026.2813999999998</v>
      </c>
    </row>
    <row r="12" spans="1:21" x14ac:dyDescent="0.15">
      <c r="G12" s="11">
        <v>11</v>
      </c>
      <c r="H12" s="10" t="s">
        <v>1440</v>
      </c>
      <c r="I12" t="s">
        <v>1441</v>
      </c>
      <c r="J12" t="s">
        <v>1688</v>
      </c>
      <c r="K12">
        <v>4.7699999999999996</v>
      </c>
      <c r="L12">
        <v>10.44</v>
      </c>
      <c r="M12">
        <v>15.49</v>
      </c>
      <c r="N12" s="20">
        <v>-0.33</v>
      </c>
      <c r="O12">
        <v>98.58</v>
      </c>
      <c r="P12">
        <v>94.17</v>
      </c>
      <c r="Q12">
        <v>84.5</v>
      </c>
      <c r="R12" s="21">
        <v>2579.0374437999999</v>
      </c>
    </row>
    <row r="13" spans="1:21" x14ac:dyDescent="0.15">
      <c r="G13" s="11">
        <v>12</v>
      </c>
      <c r="H13" s="10" t="s">
        <v>1413</v>
      </c>
      <c r="I13" t="s">
        <v>1414</v>
      </c>
      <c r="J13" t="s">
        <v>1688</v>
      </c>
      <c r="K13">
        <v>4.05</v>
      </c>
      <c r="L13">
        <v>10.14</v>
      </c>
      <c r="M13">
        <v>13.99</v>
      </c>
      <c r="N13" s="20">
        <v>-0.4</v>
      </c>
      <c r="O13">
        <v>98.44</v>
      </c>
      <c r="P13">
        <v>91.75</v>
      </c>
      <c r="Q13">
        <v>86.49</v>
      </c>
      <c r="R13" s="21">
        <v>1372.6087</v>
      </c>
    </row>
    <row r="14" spans="1:21" x14ac:dyDescent="0.15">
      <c r="G14" s="11">
        <v>13</v>
      </c>
      <c r="H14" s="10" t="s">
        <v>620</v>
      </c>
      <c r="I14" t="s">
        <v>1304</v>
      </c>
      <c r="J14" t="s">
        <v>1288</v>
      </c>
      <c r="K14">
        <v>-3.73</v>
      </c>
      <c r="L14">
        <v>5.39</v>
      </c>
      <c r="M14">
        <v>12.64</v>
      </c>
      <c r="N14" s="20">
        <v>-0.51</v>
      </c>
      <c r="O14">
        <v>98.29</v>
      </c>
      <c r="P14">
        <v>87.06</v>
      </c>
      <c r="Q14">
        <v>89.62</v>
      </c>
      <c r="R14" s="21">
        <v>4738.6680900000001</v>
      </c>
    </row>
    <row r="15" spans="1:21" x14ac:dyDescent="0.15">
      <c r="G15" s="11">
        <v>14</v>
      </c>
      <c r="H15" s="10" t="s">
        <v>1383</v>
      </c>
      <c r="I15" t="s">
        <v>1384</v>
      </c>
      <c r="J15" t="s">
        <v>1688</v>
      </c>
      <c r="K15">
        <v>2.4300000000000002</v>
      </c>
      <c r="L15">
        <v>9.6199999999999992</v>
      </c>
      <c r="M15">
        <v>12.82</v>
      </c>
      <c r="N15" s="20">
        <v>-0.41</v>
      </c>
      <c r="O15">
        <v>98.15</v>
      </c>
      <c r="P15">
        <v>89.19</v>
      </c>
      <c r="Q15">
        <v>86.91</v>
      </c>
      <c r="R15" s="21">
        <v>4257.9264999999996</v>
      </c>
    </row>
    <row r="16" spans="1:21" x14ac:dyDescent="0.15">
      <c r="G16" s="11">
        <v>15</v>
      </c>
      <c r="H16" s="10" t="s">
        <v>343</v>
      </c>
      <c r="I16" t="s">
        <v>866</v>
      </c>
      <c r="J16" t="s">
        <v>833</v>
      </c>
      <c r="K16">
        <v>3.37</v>
      </c>
      <c r="L16">
        <v>6.01</v>
      </c>
      <c r="M16">
        <v>11.61</v>
      </c>
      <c r="N16" s="20">
        <v>-1.06</v>
      </c>
      <c r="O16">
        <v>98.01</v>
      </c>
      <c r="P16">
        <v>80.37</v>
      </c>
      <c r="Q16">
        <v>95.45</v>
      </c>
      <c r="R16" s="21">
        <v>663.33915310000009</v>
      </c>
    </row>
    <row r="17" spans="7:18" x14ac:dyDescent="0.15">
      <c r="G17" s="11">
        <v>16</v>
      </c>
      <c r="H17" s="10" t="s">
        <v>1641</v>
      </c>
      <c r="I17" t="s">
        <v>1642</v>
      </c>
      <c r="J17" t="s">
        <v>1688</v>
      </c>
      <c r="K17">
        <v>4.03</v>
      </c>
      <c r="L17">
        <v>15.59</v>
      </c>
      <c r="M17">
        <v>19.84</v>
      </c>
      <c r="N17" s="20">
        <v>-0.22</v>
      </c>
      <c r="O17">
        <v>97.87</v>
      </c>
      <c r="P17">
        <v>97.87</v>
      </c>
      <c r="Q17">
        <v>77.38</v>
      </c>
      <c r="R17" s="21">
        <v>11571.1793</v>
      </c>
    </row>
    <row r="18" spans="7:18" x14ac:dyDescent="0.15">
      <c r="G18" s="11">
        <v>17</v>
      </c>
      <c r="H18" s="10" t="s">
        <v>1514</v>
      </c>
      <c r="I18" t="s">
        <v>1515</v>
      </c>
      <c r="J18" t="s">
        <v>1688</v>
      </c>
      <c r="K18">
        <v>5.97</v>
      </c>
      <c r="L18">
        <v>15.59</v>
      </c>
      <c r="M18">
        <v>21.41</v>
      </c>
      <c r="N18" s="20">
        <v>-0.2</v>
      </c>
      <c r="O18">
        <v>97.72</v>
      </c>
      <c r="P18">
        <v>99.86</v>
      </c>
      <c r="Q18">
        <v>74.819999999999993</v>
      </c>
      <c r="R18" s="21">
        <v>2142.7051909000002</v>
      </c>
    </row>
    <row r="19" spans="7:18" x14ac:dyDescent="0.15">
      <c r="G19" s="11">
        <v>18</v>
      </c>
      <c r="H19" s="10" t="s">
        <v>407</v>
      </c>
      <c r="I19" t="s">
        <v>1091</v>
      </c>
      <c r="J19" t="s">
        <v>870</v>
      </c>
      <c r="K19">
        <v>6.2</v>
      </c>
      <c r="L19">
        <v>14.49</v>
      </c>
      <c r="M19">
        <v>20.059999999999999</v>
      </c>
      <c r="N19" s="20">
        <v>-0.21</v>
      </c>
      <c r="O19">
        <v>97.58</v>
      </c>
      <c r="P19">
        <v>98.72</v>
      </c>
      <c r="Q19">
        <v>75.819999999999993</v>
      </c>
      <c r="R19" s="21">
        <v>10469.974115899999</v>
      </c>
    </row>
    <row r="20" spans="7:18" x14ac:dyDescent="0.15">
      <c r="G20" s="11">
        <v>19</v>
      </c>
      <c r="H20" s="10" t="s">
        <v>1488</v>
      </c>
      <c r="I20" t="s">
        <v>1489</v>
      </c>
      <c r="J20" t="s">
        <v>1688</v>
      </c>
      <c r="K20">
        <v>4.07</v>
      </c>
      <c r="L20">
        <v>10.42</v>
      </c>
      <c r="M20">
        <v>15.76</v>
      </c>
      <c r="N20" s="20">
        <v>-0.22</v>
      </c>
      <c r="O20">
        <v>97.44</v>
      </c>
      <c r="P20">
        <v>95.31</v>
      </c>
      <c r="Q20">
        <v>77.239999999999995</v>
      </c>
      <c r="R20" s="21">
        <v>1235.0834379</v>
      </c>
    </row>
    <row r="21" spans="7:18" x14ac:dyDescent="0.15">
      <c r="G21" s="11">
        <v>20</v>
      </c>
      <c r="H21" s="10" t="s">
        <v>416</v>
      </c>
      <c r="I21" t="s">
        <v>882</v>
      </c>
      <c r="J21" t="s">
        <v>870</v>
      </c>
      <c r="K21">
        <v>3.98</v>
      </c>
      <c r="L21">
        <v>8.23</v>
      </c>
      <c r="M21">
        <v>11.98</v>
      </c>
      <c r="N21" s="20">
        <v>-0.49</v>
      </c>
      <c r="O21">
        <v>97.3</v>
      </c>
      <c r="P21">
        <v>83.64</v>
      </c>
      <c r="Q21">
        <v>88.76</v>
      </c>
      <c r="R21" s="21">
        <v>49.6357</v>
      </c>
    </row>
    <row r="22" spans="7:18" x14ac:dyDescent="0.15">
      <c r="G22" s="11">
        <v>21</v>
      </c>
      <c r="H22" s="10" t="s">
        <v>460</v>
      </c>
      <c r="I22" t="s">
        <v>965</v>
      </c>
      <c r="J22" t="s">
        <v>870</v>
      </c>
      <c r="K22">
        <v>3.91</v>
      </c>
      <c r="L22">
        <v>7.72</v>
      </c>
      <c r="M22">
        <v>11.5</v>
      </c>
      <c r="N22" s="20">
        <v>-0.7</v>
      </c>
      <c r="O22">
        <v>97.16</v>
      </c>
      <c r="P22">
        <v>79.23</v>
      </c>
      <c r="Q22">
        <v>93.17</v>
      </c>
      <c r="R22" s="21">
        <v>1841.6578</v>
      </c>
    </row>
    <row r="23" spans="7:18" x14ac:dyDescent="0.15">
      <c r="G23" s="11">
        <v>22</v>
      </c>
      <c r="H23" s="10" t="s">
        <v>1343</v>
      </c>
      <c r="I23" t="s">
        <v>1344</v>
      </c>
      <c r="J23" t="s">
        <v>1688</v>
      </c>
      <c r="K23">
        <v>3.69</v>
      </c>
      <c r="L23">
        <v>10.3</v>
      </c>
      <c r="M23">
        <v>16.96</v>
      </c>
      <c r="N23" s="20">
        <v>-0.21</v>
      </c>
      <c r="O23">
        <v>97.01</v>
      </c>
      <c r="P23">
        <v>96.3</v>
      </c>
      <c r="Q23">
        <v>75.680000000000007</v>
      </c>
      <c r="R23" s="21">
        <v>5041.3188504999998</v>
      </c>
    </row>
    <row r="24" spans="7:18" x14ac:dyDescent="0.15">
      <c r="G24" s="11">
        <v>23</v>
      </c>
      <c r="H24" s="10" t="s">
        <v>1618</v>
      </c>
      <c r="I24" t="s">
        <v>1619</v>
      </c>
      <c r="J24" t="s">
        <v>1688</v>
      </c>
      <c r="K24">
        <v>-3.83</v>
      </c>
      <c r="L24">
        <v>4.57</v>
      </c>
      <c r="M24">
        <v>11.32</v>
      </c>
      <c r="N24" s="20">
        <v>-0.78</v>
      </c>
      <c r="O24">
        <v>96.87</v>
      </c>
      <c r="P24">
        <v>77.81</v>
      </c>
      <c r="Q24">
        <v>93.74</v>
      </c>
      <c r="R24" s="21">
        <v>2259.6288</v>
      </c>
    </row>
    <row r="25" spans="7:18" x14ac:dyDescent="0.15">
      <c r="G25" s="11">
        <v>24</v>
      </c>
      <c r="H25" s="10" t="s">
        <v>719</v>
      </c>
      <c r="I25" t="s">
        <v>1200</v>
      </c>
      <c r="J25" t="s">
        <v>1198</v>
      </c>
      <c r="K25">
        <v>-4.53</v>
      </c>
      <c r="L25">
        <v>6.25</v>
      </c>
      <c r="M25">
        <v>10.62</v>
      </c>
      <c r="N25" s="20">
        <v>-2.37</v>
      </c>
      <c r="O25">
        <v>96.73</v>
      </c>
      <c r="P25">
        <v>73.97</v>
      </c>
      <c r="Q25">
        <v>97.44</v>
      </c>
      <c r="R25" s="21">
        <v>10038.393769499999</v>
      </c>
    </row>
    <row r="26" spans="7:18" x14ac:dyDescent="0.15">
      <c r="G26" s="11">
        <v>25</v>
      </c>
      <c r="H26" s="10" t="s">
        <v>1397</v>
      </c>
      <c r="I26" t="s">
        <v>1398</v>
      </c>
      <c r="J26" t="s">
        <v>1688</v>
      </c>
      <c r="K26">
        <v>4.51</v>
      </c>
      <c r="L26">
        <v>11.52</v>
      </c>
      <c r="M26">
        <v>15.82</v>
      </c>
      <c r="N26" s="20">
        <v>-0.21</v>
      </c>
      <c r="O26">
        <v>96.59</v>
      </c>
      <c r="P26">
        <v>95.59</v>
      </c>
      <c r="Q26">
        <v>75.39</v>
      </c>
      <c r="R26" s="21">
        <v>7040.7315370000006</v>
      </c>
    </row>
    <row r="27" spans="7:18" x14ac:dyDescent="0.15">
      <c r="G27" s="11">
        <v>26</v>
      </c>
      <c r="H27" s="10" t="s">
        <v>293</v>
      </c>
      <c r="I27" t="s">
        <v>863</v>
      </c>
      <c r="J27" t="s">
        <v>833</v>
      </c>
      <c r="K27">
        <v>0.28000000000000003</v>
      </c>
      <c r="L27">
        <v>0.87</v>
      </c>
      <c r="M27">
        <v>10.039999999999999</v>
      </c>
      <c r="N27" s="20">
        <v>-5.33</v>
      </c>
      <c r="O27">
        <v>96.44</v>
      </c>
      <c r="P27">
        <v>71.27</v>
      </c>
      <c r="Q27">
        <v>99.15</v>
      </c>
      <c r="R27" s="21">
        <v>467.55</v>
      </c>
    </row>
    <row r="28" spans="7:18" x14ac:dyDescent="0.15">
      <c r="G28" s="11">
        <v>27</v>
      </c>
      <c r="H28" s="10" t="s">
        <v>305</v>
      </c>
      <c r="I28" t="s">
        <v>851</v>
      </c>
      <c r="J28" t="s">
        <v>833</v>
      </c>
      <c r="K28">
        <v>2.71</v>
      </c>
      <c r="L28">
        <v>3.1</v>
      </c>
      <c r="M28">
        <v>10.19</v>
      </c>
      <c r="N28" s="20">
        <v>-3.62</v>
      </c>
      <c r="O28">
        <v>96.3</v>
      </c>
      <c r="P28">
        <v>72.12</v>
      </c>
      <c r="Q28">
        <v>98.29</v>
      </c>
      <c r="R28" s="21">
        <v>462.71570000000003</v>
      </c>
    </row>
    <row r="29" spans="7:18" x14ac:dyDescent="0.15">
      <c r="G29" s="11">
        <v>28</v>
      </c>
      <c r="H29" s="10" t="s">
        <v>1604</v>
      </c>
      <c r="I29" t="s">
        <v>1605</v>
      </c>
      <c r="J29" t="s">
        <v>1688</v>
      </c>
      <c r="K29">
        <v>8.9</v>
      </c>
      <c r="L29">
        <v>14.6</v>
      </c>
      <c r="M29">
        <v>20.91</v>
      </c>
      <c r="N29" s="20">
        <v>-0.16</v>
      </c>
      <c r="O29">
        <v>96.16</v>
      </c>
      <c r="P29">
        <v>99.29</v>
      </c>
      <c r="Q29">
        <v>70.98</v>
      </c>
      <c r="R29" s="21">
        <v>1792.4324999999999</v>
      </c>
    </row>
    <row r="30" spans="7:18" x14ac:dyDescent="0.15">
      <c r="G30" s="11">
        <v>29</v>
      </c>
      <c r="H30" s="10" t="s">
        <v>424</v>
      </c>
      <c r="I30" t="s">
        <v>1063</v>
      </c>
      <c r="J30" t="s">
        <v>870</v>
      </c>
      <c r="K30">
        <v>2.37</v>
      </c>
      <c r="L30">
        <v>9.24</v>
      </c>
      <c r="M30">
        <v>12.36</v>
      </c>
      <c r="N30" s="20">
        <v>-0.31</v>
      </c>
      <c r="O30">
        <v>96.02</v>
      </c>
      <c r="P30">
        <v>85.63</v>
      </c>
      <c r="Q30">
        <v>84.21</v>
      </c>
      <c r="R30" s="21">
        <v>4483.8305</v>
      </c>
    </row>
    <row r="31" spans="7:18" x14ac:dyDescent="0.15">
      <c r="G31" s="11">
        <v>30</v>
      </c>
      <c r="H31" s="10" t="s">
        <v>328</v>
      </c>
      <c r="I31" t="s">
        <v>846</v>
      </c>
      <c r="J31" t="s">
        <v>833</v>
      </c>
      <c r="K31">
        <v>0.98</v>
      </c>
      <c r="L31">
        <v>5.68</v>
      </c>
      <c r="M31">
        <v>10.07</v>
      </c>
      <c r="N31" s="20">
        <v>-2.72</v>
      </c>
      <c r="O31">
        <v>95.87</v>
      </c>
      <c r="P31">
        <v>71.55</v>
      </c>
      <c r="Q31">
        <v>98.01</v>
      </c>
      <c r="R31" s="21">
        <v>170.02614560000001</v>
      </c>
    </row>
    <row r="32" spans="7:18" x14ac:dyDescent="0.15">
      <c r="G32" s="11">
        <v>31</v>
      </c>
      <c r="H32" s="10" t="s">
        <v>337</v>
      </c>
      <c r="I32" t="s">
        <v>997</v>
      </c>
      <c r="J32" t="s">
        <v>870</v>
      </c>
      <c r="K32">
        <v>2.38</v>
      </c>
      <c r="L32">
        <v>9.26</v>
      </c>
      <c r="M32">
        <v>12.32</v>
      </c>
      <c r="N32" s="20">
        <v>-0.31</v>
      </c>
      <c r="O32">
        <v>95.73</v>
      </c>
      <c r="P32">
        <v>85.35</v>
      </c>
      <c r="Q32">
        <v>83.78</v>
      </c>
      <c r="R32" s="21">
        <v>2252.6712000000002</v>
      </c>
    </row>
    <row r="33" spans="7:18" x14ac:dyDescent="0.15">
      <c r="G33" s="11">
        <v>32</v>
      </c>
      <c r="H33" s="10" t="s">
        <v>291</v>
      </c>
      <c r="I33" t="s">
        <v>849</v>
      </c>
      <c r="J33" t="s">
        <v>833</v>
      </c>
      <c r="K33">
        <v>1.45</v>
      </c>
      <c r="L33">
        <v>2.46</v>
      </c>
      <c r="M33">
        <v>10.199999999999999</v>
      </c>
      <c r="N33" s="20">
        <v>-1.88</v>
      </c>
      <c r="O33">
        <v>95.59</v>
      </c>
      <c r="P33">
        <v>72.260000000000005</v>
      </c>
      <c r="Q33">
        <v>96.3</v>
      </c>
      <c r="R33" s="21">
        <v>392.24279999999999</v>
      </c>
    </row>
    <row r="34" spans="7:18" x14ac:dyDescent="0.15">
      <c r="G34" s="11">
        <v>33</v>
      </c>
      <c r="H34" s="10" t="s">
        <v>1496</v>
      </c>
      <c r="I34" t="s">
        <v>1497</v>
      </c>
      <c r="J34" t="s">
        <v>1688</v>
      </c>
      <c r="K34">
        <v>2.31</v>
      </c>
      <c r="L34">
        <v>6.45</v>
      </c>
      <c r="M34">
        <v>13.12</v>
      </c>
      <c r="N34" s="20">
        <v>-0.23</v>
      </c>
      <c r="O34">
        <v>95.45</v>
      </c>
      <c r="P34">
        <v>90.61</v>
      </c>
      <c r="Q34">
        <v>77.52</v>
      </c>
      <c r="R34" s="21">
        <v>242.18494360000003</v>
      </c>
    </row>
    <row r="35" spans="7:18" x14ac:dyDescent="0.15">
      <c r="G35" s="11">
        <v>34</v>
      </c>
      <c r="H35" s="10" t="s">
        <v>515</v>
      </c>
      <c r="I35" t="s">
        <v>1156</v>
      </c>
      <c r="J35" t="s">
        <v>870</v>
      </c>
      <c r="K35">
        <v>5.96</v>
      </c>
      <c r="L35">
        <v>14.51</v>
      </c>
      <c r="M35">
        <v>20.079999999999998</v>
      </c>
      <c r="N35" s="20">
        <v>-0.14000000000000001</v>
      </c>
      <c r="O35">
        <v>95.31</v>
      </c>
      <c r="P35">
        <v>98.86</v>
      </c>
      <c r="Q35">
        <v>69.13</v>
      </c>
      <c r="R35" s="21">
        <v>53865.460099999997</v>
      </c>
    </row>
    <row r="36" spans="7:18" x14ac:dyDescent="0.15">
      <c r="G36" s="11">
        <v>35</v>
      </c>
      <c r="H36" s="10" t="s">
        <v>753</v>
      </c>
      <c r="I36" t="s">
        <v>875</v>
      </c>
      <c r="J36" t="s">
        <v>870</v>
      </c>
      <c r="K36">
        <v>2.93</v>
      </c>
      <c r="L36">
        <v>5.0199999999999996</v>
      </c>
      <c r="M36">
        <v>10.28</v>
      </c>
      <c r="N36" s="20">
        <v>-1</v>
      </c>
      <c r="O36">
        <v>95.16</v>
      </c>
      <c r="P36">
        <v>72.69</v>
      </c>
      <c r="Q36">
        <v>95.16</v>
      </c>
      <c r="R36" s="21">
        <v>32.212130000000002</v>
      </c>
    </row>
    <row r="37" spans="7:18" x14ac:dyDescent="0.15">
      <c r="G37" s="11">
        <v>36</v>
      </c>
      <c r="H37" s="10" t="s">
        <v>478</v>
      </c>
      <c r="I37" t="s">
        <v>1118</v>
      </c>
      <c r="J37" t="s">
        <v>870</v>
      </c>
      <c r="K37">
        <v>3.68</v>
      </c>
      <c r="L37">
        <v>10.26</v>
      </c>
      <c r="M37">
        <v>16.760000000000002</v>
      </c>
      <c r="N37" s="20">
        <v>-0.16</v>
      </c>
      <c r="O37">
        <v>95.02</v>
      </c>
      <c r="P37">
        <v>96.16</v>
      </c>
      <c r="Q37">
        <v>71.27</v>
      </c>
      <c r="R37" s="21">
        <v>11027.381100000001</v>
      </c>
    </row>
    <row r="38" spans="7:18" x14ac:dyDescent="0.15">
      <c r="G38" s="11">
        <v>37</v>
      </c>
      <c r="H38" s="10" t="s">
        <v>322</v>
      </c>
      <c r="I38" t="s">
        <v>915</v>
      </c>
      <c r="J38" t="s">
        <v>870</v>
      </c>
      <c r="K38">
        <v>2.77</v>
      </c>
      <c r="L38">
        <v>11.36</v>
      </c>
      <c r="M38">
        <v>15.74</v>
      </c>
      <c r="N38" s="20">
        <v>-0.17</v>
      </c>
      <c r="O38">
        <v>94.88</v>
      </c>
      <c r="P38">
        <v>95.02</v>
      </c>
      <c r="Q38">
        <v>71.98</v>
      </c>
      <c r="R38" s="21">
        <v>832.32079999999996</v>
      </c>
    </row>
    <row r="39" spans="7:18" x14ac:dyDescent="0.15">
      <c r="G39" s="11">
        <v>38</v>
      </c>
      <c r="H39" s="10" t="s">
        <v>1677</v>
      </c>
      <c r="I39" t="s">
        <v>1678</v>
      </c>
      <c r="J39" t="s">
        <v>1688</v>
      </c>
      <c r="K39">
        <v>2.41</v>
      </c>
      <c r="L39">
        <v>5.03</v>
      </c>
      <c r="M39">
        <v>10.81</v>
      </c>
      <c r="N39" s="20">
        <v>-0.68</v>
      </c>
      <c r="O39">
        <v>94.74</v>
      </c>
      <c r="P39">
        <v>74.540000000000006</v>
      </c>
      <c r="Q39">
        <v>92.46</v>
      </c>
      <c r="R39" s="21">
        <v>1310.0281</v>
      </c>
    </row>
    <row r="40" spans="7:18" x14ac:dyDescent="0.15">
      <c r="G40" s="11">
        <v>39</v>
      </c>
      <c r="H40" s="10" t="s">
        <v>284</v>
      </c>
      <c r="I40" t="s">
        <v>844</v>
      </c>
      <c r="J40" t="s">
        <v>833</v>
      </c>
      <c r="K40">
        <v>0.85</v>
      </c>
      <c r="L40">
        <v>5.72</v>
      </c>
      <c r="M40">
        <v>9.56</v>
      </c>
      <c r="N40" s="20">
        <v>-4.4000000000000004</v>
      </c>
      <c r="O40">
        <v>94.59</v>
      </c>
      <c r="P40">
        <v>68.28</v>
      </c>
      <c r="Q40">
        <v>98.58</v>
      </c>
      <c r="R40" s="21">
        <v>170.50299999999999</v>
      </c>
    </row>
    <row r="41" spans="7:18" x14ac:dyDescent="0.15">
      <c r="G41" s="11">
        <v>40</v>
      </c>
      <c r="H41" s="10" t="s">
        <v>494</v>
      </c>
      <c r="I41" t="s">
        <v>1128</v>
      </c>
      <c r="J41" t="s">
        <v>870</v>
      </c>
      <c r="K41">
        <v>2.4900000000000002</v>
      </c>
      <c r="L41">
        <v>9.6199999999999992</v>
      </c>
      <c r="M41">
        <v>12.8</v>
      </c>
      <c r="N41" s="20">
        <v>-0.23</v>
      </c>
      <c r="O41">
        <v>94.45</v>
      </c>
      <c r="P41">
        <v>88.9</v>
      </c>
      <c r="Q41">
        <v>77.81</v>
      </c>
      <c r="R41" s="21">
        <v>24045.5425555</v>
      </c>
    </row>
    <row r="42" spans="7:18" x14ac:dyDescent="0.15">
      <c r="G42" s="11">
        <v>41</v>
      </c>
      <c r="H42" s="10" t="s">
        <v>1576</v>
      </c>
      <c r="I42" t="s">
        <v>1577</v>
      </c>
      <c r="J42" t="s">
        <v>1688</v>
      </c>
      <c r="K42">
        <v>3.9</v>
      </c>
      <c r="L42">
        <v>7.98</v>
      </c>
      <c r="M42">
        <v>11.71</v>
      </c>
      <c r="N42" s="20">
        <v>-0.31</v>
      </c>
      <c r="O42">
        <v>94.31</v>
      </c>
      <c r="P42">
        <v>82.08</v>
      </c>
      <c r="Q42">
        <v>84.07</v>
      </c>
      <c r="R42" s="21">
        <v>18.368870000000001</v>
      </c>
    </row>
    <row r="43" spans="7:18" x14ac:dyDescent="0.15">
      <c r="G43" s="11">
        <v>42</v>
      </c>
      <c r="H43" s="10" t="s">
        <v>370</v>
      </c>
      <c r="I43" t="s">
        <v>917</v>
      </c>
      <c r="J43" t="s">
        <v>870</v>
      </c>
      <c r="K43">
        <v>4.66</v>
      </c>
      <c r="L43">
        <v>9.66</v>
      </c>
      <c r="M43">
        <v>14.67</v>
      </c>
      <c r="N43" s="20">
        <v>-0.18</v>
      </c>
      <c r="O43">
        <v>94.17</v>
      </c>
      <c r="P43">
        <v>93.03</v>
      </c>
      <c r="Q43">
        <v>72.97</v>
      </c>
      <c r="R43" s="21">
        <v>1054.8177495</v>
      </c>
    </row>
    <row r="44" spans="7:18" x14ac:dyDescent="0.15">
      <c r="G44" s="11">
        <v>43</v>
      </c>
      <c r="H44" s="10" t="s">
        <v>601</v>
      </c>
      <c r="I44" t="s">
        <v>960</v>
      </c>
      <c r="J44" t="s">
        <v>870</v>
      </c>
      <c r="K44">
        <v>1.97</v>
      </c>
      <c r="L44">
        <v>4.97</v>
      </c>
      <c r="M44">
        <v>12.11</v>
      </c>
      <c r="N44" s="20">
        <v>-0.27</v>
      </c>
      <c r="O44">
        <v>94.03</v>
      </c>
      <c r="P44">
        <v>84.78</v>
      </c>
      <c r="Q44">
        <v>81.22</v>
      </c>
      <c r="R44" s="21">
        <v>551.10878020000007</v>
      </c>
    </row>
    <row r="45" spans="7:18" x14ac:dyDescent="0.15">
      <c r="G45" s="11">
        <v>44</v>
      </c>
      <c r="H45" s="10" t="s">
        <v>1598</v>
      </c>
      <c r="I45" t="s">
        <v>1599</v>
      </c>
      <c r="J45" t="s">
        <v>1688</v>
      </c>
      <c r="K45">
        <v>-3.58</v>
      </c>
      <c r="L45">
        <v>4.76</v>
      </c>
      <c r="M45">
        <v>11.26</v>
      </c>
      <c r="N45" s="20">
        <v>-0.46</v>
      </c>
      <c r="O45">
        <v>93.88</v>
      </c>
      <c r="P45">
        <v>77.239999999999995</v>
      </c>
      <c r="Q45">
        <v>88.19</v>
      </c>
      <c r="R45" s="21">
        <v>6800.9265999999998</v>
      </c>
    </row>
    <row r="46" spans="7:18" x14ac:dyDescent="0.15">
      <c r="G46" s="11">
        <v>45</v>
      </c>
      <c r="H46" s="10" t="s">
        <v>579</v>
      </c>
      <c r="I46" t="s">
        <v>1029</v>
      </c>
      <c r="J46" t="s">
        <v>870</v>
      </c>
      <c r="K46">
        <v>-1.27</v>
      </c>
      <c r="L46">
        <v>5.68</v>
      </c>
      <c r="M46">
        <v>11.1</v>
      </c>
      <c r="N46" s="20">
        <v>-0.5</v>
      </c>
      <c r="O46">
        <v>93.74</v>
      </c>
      <c r="P46">
        <v>75.959999999999994</v>
      </c>
      <c r="Q46">
        <v>89.47</v>
      </c>
      <c r="R46" s="21">
        <v>609.84</v>
      </c>
    </row>
    <row r="47" spans="7:18" x14ac:dyDescent="0.15">
      <c r="G47" s="11">
        <v>46</v>
      </c>
      <c r="H47" s="10" t="s">
        <v>325</v>
      </c>
      <c r="I47" t="s">
        <v>843</v>
      </c>
      <c r="J47" t="s">
        <v>833</v>
      </c>
      <c r="K47">
        <v>3.73</v>
      </c>
      <c r="L47">
        <v>6.77</v>
      </c>
      <c r="M47">
        <v>10.87</v>
      </c>
      <c r="N47" s="20">
        <v>-0.57999999999999996</v>
      </c>
      <c r="O47">
        <v>93.6</v>
      </c>
      <c r="P47">
        <v>74.819999999999993</v>
      </c>
      <c r="Q47">
        <v>90.47</v>
      </c>
      <c r="R47" s="21">
        <v>586.24317300000007</v>
      </c>
    </row>
    <row r="48" spans="7:18" x14ac:dyDescent="0.15">
      <c r="G48" s="11">
        <v>47</v>
      </c>
      <c r="H48" s="10" t="s">
        <v>375</v>
      </c>
      <c r="I48" t="s">
        <v>1038</v>
      </c>
      <c r="J48" t="s">
        <v>870</v>
      </c>
      <c r="K48">
        <v>3.91</v>
      </c>
      <c r="L48">
        <v>9.5299999999999994</v>
      </c>
      <c r="M48">
        <v>12.95</v>
      </c>
      <c r="N48" s="20">
        <v>-0.2</v>
      </c>
      <c r="O48">
        <v>93.46</v>
      </c>
      <c r="P48">
        <v>90.18</v>
      </c>
      <c r="Q48">
        <v>74.680000000000007</v>
      </c>
      <c r="R48" s="21">
        <v>3563.9692600000003</v>
      </c>
    </row>
    <row r="49" spans="7:18" x14ac:dyDescent="0.15">
      <c r="G49" s="11">
        <v>48</v>
      </c>
      <c r="H49" s="10" t="s">
        <v>1500</v>
      </c>
      <c r="I49" t="s">
        <v>1501</v>
      </c>
      <c r="J49" t="s">
        <v>1688</v>
      </c>
      <c r="K49">
        <v>2.6</v>
      </c>
      <c r="L49">
        <v>7.15</v>
      </c>
      <c r="M49">
        <v>12.72</v>
      </c>
      <c r="N49" s="20">
        <v>-0.22</v>
      </c>
      <c r="O49">
        <v>93.31</v>
      </c>
      <c r="P49">
        <v>87.91</v>
      </c>
      <c r="Q49">
        <v>76.81</v>
      </c>
      <c r="R49" s="21">
        <v>247.39417000000003</v>
      </c>
    </row>
    <row r="50" spans="7:18" x14ac:dyDescent="0.15">
      <c r="G50" s="11">
        <v>49</v>
      </c>
      <c r="H50" s="10" t="s">
        <v>1345</v>
      </c>
      <c r="I50" t="s">
        <v>1346</v>
      </c>
      <c r="J50" t="s">
        <v>1688</v>
      </c>
      <c r="K50">
        <v>2.52</v>
      </c>
      <c r="L50">
        <v>9.5299999999999994</v>
      </c>
      <c r="M50">
        <v>12.86</v>
      </c>
      <c r="N50" s="20">
        <v>-0.21</v>
      </c>
      <c r="O50">
        <v>93.17</v>
      </c>
      <c r="P50">
        <v>89.33</v>
      </c>
      <c r="Q50">
        <v>75.25</v>
      </c>
      <c r="R50" s="21">
        <v>6836.6529438999996</v>
      </c>
    </row>
    <row r="51" spans="7:18" x14ac:dyDescent="0.15">
      <c r="G51" s="11">
        <v>50</v>
      </c>
      <c r="H51" s="10" t="s">
        <v>1423</v>
      </c>
      <c r="I51" t="s">
        <v>1424</v>
      </c>
      <c r="J51" t="s">
        <v>1688</v>
      </c>
      <c r="K51">
        <v>3.41</v>
      </c>
      <c r="L51">
        <v>8.91</v>
      </c>
      <c r="M51">
        <v>12.8</v>
      </c>
      <c r="N51" s="20">
        <v>-0.21</v>
      </c>
      <c r="O51">
        <v>93.03</v>
      </c>
      <c r="P51">
        <v>88.76</v>
      </c>
      <c r="Q51">
        <v>75.53</v>
      </c>
      <c r="R51" s="21">
        <v>23024.886722299998</v>
      </c>
    </row>
    <row r="52" spans="7:18" x14ac:dyDescent="0.15">
      <c r="G52" s="11">
        <v>51</v>
      </c>
      <c r="H52" s="10" t="s">
        <v>1570</v>
      </c>
      <c r="I52" t="s">
        <v>1571</v>
      </c>
      <c r="J52" t="s">
        <v>1688</v>
      </c>
      <c r="K52">
        <v>-1.48</v>
      </c>
      <c r="L52">
        <v>5.58</v>
      </c>
      <c r="M52">
        <v>11.39</v>
      </c>
      <c r="N52" s="20">
        <v>-0.35</v>
      </c>
      <c r="O52">
        <v>92.89</v>
      </c>
      <c r="P52">
        <v>78.09</v>
      </c>
      <c r="Q52">
        <v>85.49</v>
      </c>
      <c r="R52" s="21">
        <v>1875.8222000000001</v>
      </c>
    </row>
    <row r="53" spans="7:18" x14ac:dyDescent="0.15">
      <c r="G53" s="11">
        <v>52</v>
      </c>
      <c r="H53" s="10" t="s">
        <v>303</v>
      </c>
      <c r="I53" t="s">
        <v>835</v>
      </c>
      <c r="J53" t="s">
        <v>833</v>
      </c>
      <c r="K53">
        <v>1.54</v>
      </c>
      <c r="L53">
        <v>5.32</v>
      </c>
      <c r="M53">
        <v>9.4499999999999993</v>
      </c>
      <c r="N53" s="20">
        <v>-1.18</v>
      </c>
      <c r="O53">
        <v>92.75</v>
      </c>
      <c r="P53">
        <v>67.14</v>
      </c>
      <c r="Q53">
        <v>95.87</v>
      </c>
      <c r="R53" s="21">
        <v>234.1318</v>
      </c>
    </row>
    <row r="54" spans="7:18" x14ac:dyDescent="0.15">
      <c r="G54" s="11">
        <v>53</v>
      </c>
      <c r="H54" s="10" t="s">
        <v>1516</v>
      </c>
      <c r="I54" t="s">
        <v>1517</v>
      </c>
      <c r="J54" t="s">
        <v>1688</v>
      </c>
      <c r="K54">
        <v>-1.06</v>
      </c>
      <c r="L54">
        <v>4.54</v>
      </c>
      <c r="M54">
        <v>10.74</v>
      </c>
      <c r="N54" s="20">
        <v>-0.46</v>
      </c>
      <c r="O54">
        <v>92.6</v>
      </c>
      <c r="P54">
        <v>74.400000000000006</v>
      </c>
      <c r="Q54">
        <v>88.48</v>
      </c>
      <c r="R54" s="21">
        <v>248.2217</v>
      </c>
    </row>
    <row r="55" spans="7:18" x14ac:dyDescent="0.15">
      <c r="G55" s="11">
        <v>54</v>
      </c>
      <c r="H55" s="10" t="s">
        <v>436</v>
      </c>
      <c r="I55" t="s">
        <v>883</v>
      </c>
      <c r="J55" t="s">
        <v>870</v>
      </c>
      <c r="K55">
        <v>2.4900000000000002</v>
      </c>
      <c r="L55">
        <v>6.11</v>
      </c>
      <c r="M55">
        <v>10.029999999999999</v>
      </c>
      <c r="N55" s="20">
        <v>-0.63</v>
      </c>
      <c r="O55">
        <v>92.46</v>
      </c>
      <c r="P55">
        <v>70.98</v>
      </c>
      <c r="Q55">
        <v>91.75</v>
      </c>
      <c r="R55" s="21">
        <v>70.119720000000001</v>
      </c>
    </row>
    <row r="56" spans="7:18" x14ac:dyDescent="0.15">
      <c r="G56" s="11">
        <v>55</v>
      </c>
      <c r="H56" s="10" t="s">
        <v>449</v>
      </c>
      <c r="I56" t="s">
        <v>912</v>
      </c>
      <c r="J56" t="s">
        <v>870</v>
      </c>
      <c r="K56">
        <v>3.95</v>
      </c>
      <c r="L56">
        <v>8.1999999999999993</v>
      </c>
      <c r="M56">
        <v>11.96</v>
      </c>
      <c r="N56" s="20">
        <v>-0.24</v>
      </c>
      <c r="O56">
        <v>92.32</v>
      </c>
      <c r="P56">
        <v>83.5</v>
      </c>
      <c r="Q56">
        <v>79.23</v>
      </c>
      <c r="R56" s="21">
        <v>1827.0780300000001</v>
      </c>
    </row>
    <row r="57" spans="7:18" x14ac:dyDescent="0.15">
      <c r="G57" s="11">
        <v>56</v>
      </c>
      <c r="H57" s="10" t="s">
        <v>308</v>
      </c>
      <c r="I57" t="s">
        <v>1081</v>
      </c>
      <c r="J57" t="s">
        <v>870</v>
      </c>
      <c r="K57">
        <v>4.5199999999999996</v>
      </c>
      <c r="L57">
        <v>11.6</v>
      </c>
      <c r="M57">
        <v>15.91</v>
      </c>
      <c r="N57" s="20">
        <v>-0.13</v>
      </c>
      <c r="O57">
        <v>92.18</v>
      </c>
      <c r="P57">
        <v>95.73</v>
      </c>
      <c r="Q57">
        <v>66.569999999999993</v>
      </c>
      <c r="R57" s="21">
        <v>5489.6478999999999</v>
      </c>
    </row>
    <row r="58" spans="7:18" x14ac:dyDescent="0.15">
      <c r="G58" s="11">
        <v>57</v>
      </c>
      <c r="H58" s="10" t="s">
        <v>677</v>
      </c>
      <c r="I58" t="s">
        <v>1012</v>
      </c>
      <c r="J58" t="s">
        <v>870</v>
      </c>
      <c r="K58">
        <v>1.88</v>
      </c>
      <c r="L58">
        <v>4.5599999999999996</v>
      </c>
      <c r="M58">
        <v>11.67</v>
      </c>
      <c r="N58" s="20">
        <v>-0.26</v>
      </c>
      <c r="O58">
        <v>92.03</v>
      </c>
      <c r="P58">
        <v>81.510000000000005</v>
      </c>
      <c r="Q58">
        <v>80.650000000000006</v>
      </c>
      <c r="R58" s="21">
        <v>2448.7779999999998</v>
      </c>
    </row>
    <row r="59" spans="7:18" x14ac:dyDescent="0.15">
      <c r="G59" s="11">
        <v>58</v>
      </c>
      <c r="H59" s="10" t="s">
        <v>1673</v>
      </c>
      <c r="I59" t="s">
        <v>1674</v>
      </c>
      <c r="J59" t="s">
        <v>1688</v>
      </c>
      <c r="K59">
        <v>3.27</v>
      </c>
      <c r="L59">
        <v>8.67</v>
      </c>
      <c r="M59">
        <v>12.5</v>
      </c>
      <c r="N59" s="20">
        <v>-0.21</v>
      </c>
      <c r="O59">
        <v>91.89</v>
      </c>
      <c r="P59">
        <v>86.2</v>
      </c>
      <c r="Q59">
        <v>75.959999999999994</v>
      </c>
      <c r="R59" s="21">
        <v>1121.5310999999999</v>
      </c>
    </row>
    <row r="60" spans="7:18" x14ac:dyDescent="0.15">
      <c r="G60" s="11">
        <v>59</v>
      </c>
      <c r="H60" s="10" t="s">
        <v>347</v>
      </c>
      <c r="I60" t="s">
        <v>834</v>
      </c>
      <c r="J60" t="s">
        <v>833</v>
      </c>
      <c r="K60">
        <v>2.06</v>
      </c>
      <c r="L60">
        <v>6.05</v>
      </c>
      <c r="M60">
        <v>8.9600000000000009</v>
      </c>
      <c r="N60" s="20">
        <v>-6.17</v>
      </c>
      <c r="O60">
        <v>91.75</v>
      </c>
      <c r="P60">
        <v>62.45</v>
      </c>
      <c r="Q60">
        <v>99.57</v>
      </c>
      <c r="R60" s="21">
        <v>379.94720000000001</v>
      </c>
    </row>
    <row r="61" spans="7:18" x14ac:dyDescent="0.15">
      <c r="G61" s="11">
        <v>60</v>
      </c>
      <c r="H61" s="10" t="s">
        <v>372</v>
      </c>
      <c r="I61" t="s">
        <v>1128</v>
      </c>
      <c r="J61" t="s">
        <v>870</v>
      </c>
      <c r="K61">
        <v>2.41</v>
      </c>
      <c r="L61">
        <v>9.51</v>
      </c>
      <c r="M61">
        <v>12.67</v>
      </c>
      <c r="N61" s="20">
        <v>-0.19</v>
      </c>
      <c r="O61">
        <v>91.61</v>
      </c>
      <c r="P61">
        <v>87.77</v>
      </c>
      <c r="Q61">
        <v>74.25</v>
      </c>
      <c r="R61" s="21">
        <v>86982.584600000002</v>
      </c>
    </row>
    <row r="62" spans="7:18" x14ac:dyDescent="0.15">
      <c r="G62" s="11">
        <v>61</v>
      </c>
      <c r="H62" s="10" t="s">
        <v>486</v>
      </c>
      <c r="I62" t="s">
        <v>1083</v>
      </c>
      <c r="J62" t="s">
        <v>870</v>
      </c>
      <c r="K62">
        <v>3.39</v>
      </c>
      <c r="L62">
        <v>8.6300000000000008</v>
      </c>
      <c r="M62">
        <v>12.75</v>
      </c>
      <c r="N62" s="20">
        <v>-0.18</v>
      </c>
      <c r="O62">
        <v>91.47</v>
      </c>
      <c r="P62">
        <v>88.34</v>
      </c>
      <c r="Q62">
        <v>73.540000000000006</v>
      </c>
      <c r="R62" s="21">
        <v>6816.7785000000003</v>
      </c>
    </row>
    <row r="63" spans="7:18" x14ac:dyDescent="0.15">
      <c r="G63" s="11">
        <v>62</v>
      </c>
      <c r="H63" s="10" t="s">
        <v>452</v>
      </c>
      <c r="I63" t="s">
        <v>840</v>
      </c>
      <c r="J63" t="s">
        <v>833</v>
      </c>
      <c r="K63">
        <v>1.58</v>
      </c>
      <c r="L63">
        <v>2.96</v>
      </c>
      <c r="M63">
        <v>9.44</v>
      </c>
      <c r="N63" s="20">
        <v>-0.86</v>
      </c>
      <c r="O63">
        <v>91.32</v>
      </c>
      <c r="P63">
        <v>67</v>
      </c>
      <c r="Q63">
        <v>94.45</v>
      </c>
      <c r="R63" s="21">
        <v>524.57493250000005</v>
      </c>
    </row>
    <row r="64" spans="7:18" x14ac:dyDescent="0.15">
      <c r="G64" s="11">
        <v>63</v>
      </c>
      <c r="H64" s="10" t="s">
        <v>1333</v>
      </c>
      <c r="I64" t="s">
        <v>1334</v>
      </c>
      <c r="J64" t="s">
        <v>1688</v>
      </c>
      <c r="K64">
        <v>2.33</v>
      </c>
      <c r="L64">
        <v>8.9700000000000006</v>
      </c>
      <c r="M64">
        <v>11.86</v>
      </c>
      <c r="N64" s="20">
        <v>-0.24</v>
      </c>
      <c r="O64">
        <v>91.18</v>
      </c>
      <c r="P64">
        <v>82.79</v>
      </c>
      <c r="Q64">
        <v>78.66</v>
      </c>
      <c r="R64" s="21">
        <v>1348.0823707</v>
      </c>
    </row>
    <row r="65" spans="7:18" x14ac:dyDescent="0.15">
      <c r="G65" s="11">
        <v>64</v>
      </c>
      <c r="H65" s="10" t="s">
        <v>707</v>
      </c>
      <c r="I65" t="s">
        <v>925</v>
      </c>
      <c r="J65" t="s">
        <v>870</v>
      </c>
      <c r="K65">
        <v>2.4300000000000002</v>
      </c>
      <c r="L65">
        <v>4.3899999999999997</v>
      </c>
      <c r="M65">
        <v>11.43</v>
      </c>
      <c r="N65" s="20">
        <v>-0.28999999999999998</v>
      </c>
      <c r="O65">
        <v>91.04</v>
      </c>
      <c r="P65">
        <v>78.66</v>
      </c>
      <c r="Q65">
        <v>82.08</v>
      </c>
      <c r="R65" s="21">
        <v>644.68790999999999</v>
      </c>
    </row>
    <row r="66" spans="7:18" x14ac:dyDescent="0.15">
      <c r="G66" s="11">
        <v>65</v>
      </c>
      <c r="H66" s="10" t="s">
        <v>1331</v>
      </c>
      <c r="I66" t="s">
        <v>1332</v>
      </c>
      <c r="J66" t="s">
        <v>1688</v>
      </c>
      <c r="K66">
        <v>3.98</v>
      </c>
      <c r="L66">
        <v>8.08</v>
      </c>
      <c r="M66">
        <v>11.63</v>
      </c>
      <c r="N66" s="20">
        <v>-0.25</v>
      </c>
      <c r="O66">
        <v>90.9</v>
      </c>
      <c r="P66">
        <v>80.8</v>
      </c>
      <c r="Q66">
        <v>79.52</v>
      </c>
      <c r="R66" s="21">
        <v>12.11796</v>
      </c>
    </row>
    <row r="67" spans="7:18" x14ac:dyDescent="0.15">
      <c r="G67" s="11">
        <v>66</v>
      </c>
      <c r="H67" s="10" t="s">
        <v>1409</v>
      </c>
      <c r="I67" t="s">
        <v>1410</v>
      </c>
      <c r="J67" t="s">
        <v>1688</v>
      </c>
      <c r="K67">
        <v>3.78</v>
      </c>
      <c r="L67">
        <v>10.57</v>
      </c>
      <c r="M67">
        <v>17.149999999999999</v>
      </c>
      <c r="N67" s="20">
        <v>-0.12</v>
      </c>
      <c r="O67">
        <v>90.75</v>
      </c>
      <c r="P67">
        <v>96.73</v>
      </c>
      <c r="Q67">
        <v>63.16</v>
      </c>
      <c r="R67" s="21">
        <v>3785.6036759999997</v>
      </c>
    </row>
    <row r="68" spans="7:18" x14ac:dyDescent="0.15">
      <c r="G68" s="11">
        <v>67</v>
      </c>
      <c r="H68" s="10" t="s">
        <v>734</v>
      </c>
      <c r="I68" t="s">
        <v>1304</v>
      </c>
      <c r="J68" t="s">
        <v>1288</v>
      </c>
      <c r="K68">
        <v>-3.71</v>
      </c>
      <c r="L68">
        <v>5.43</v>
      </c>
      <c r="M68">
        <v>12.75</v>
      </c>
      <c r="N68" s="20">
        <v>-0.17</v>
      </c>
      <c r="O68">
        <v>90.61</v>
      </c>
      <c r="P68">
        <v>88.19</v>
      </c>
      <c r="Q68">
        <v>71.41</v>
      </c>
      <c r="R68" s="21">
        <v>22519.110100000002</v>
      </c>
    </row>
    <row r="69" spans="7:18" x14ac:dyDescent="0.15">
      <c r="G69" s="11">
        <v>68</v>
      </c>
      <c r="H69" s="10" t="s">
        <v>1486</v>
      </c>
      <c r="I69" t="s">
        <v>1487</v>
      </c>
      <c r="J69" t="s">
        <v>1688</v>
      </c>
      <c r="K69">
        <v>6.05</v>
      </c>
      <c r="L69">
        <v>15.54</v>
      </c>
      <c r="M69">
        <v>21.17</v>
      </c>
      <c r="N69" s="20">
        <v>-0.1</v>
      </c>
      <c r="O69">
        <v>90.47</v>
      </c>
      <c r="P69">
        <v>99.57</v>
      </c>
      <c r="Q69">
        <v>60.03</v>
      </c>
      <c r="R69" s="21">
        <v>7898.2016198000001</v>
      </c>
    </row>
    <row r="70" spans="7:18" x14ac:dyDescent="0.15">
      <c r="G70" s="11">
        <v>69</v>
      </c>
      <c r="H70" s="10" t="s">
        <v>355</v>
      </c>
      <c r="I70" t="s">
        <v>855</v>
      </c>
      <c r="J70" t="s">
        <v>833</v>
      </c>
      <c r="K70">
        <v>-0.75</v>
      </c>
      <c r="L70">
        <v>0.56999999999999995</v>
      </c>
      <c r="M70">
        <v>8.9700000000000006</v>
      </c>
      <c r="N70" s="20">
        <v>-2.0499999999999998</v>
      </c>
      <c r="O70">
        <v>90.33</v>
      </c>
      <c r="P70">
        <v>62.59</v>
      </c>
      <c r="Q70">
        <v>96.73</v>
      </c>
      <c r="R70" s="21">
        <v>254.9282</v>
      </c>
    </row>
    <row r="71" spans="7:18" x14ac:dyDescent="0.15">
      <c r="G71" s="11">
        <v>70</v>
      </c>
      <c r="H71" s="10" t="s">
        <v>762</v>
      </c>
      <c r="I71" t="s">
        <v>1309</v>
      </c>
      <c r="J71" t="s">
        <v>1288</v>
      </c>
      <c r="K71">
        <v>-3.79</v>
      </c>
      <c r="L71">
        <v>5.26</v>
      </c>
      <c r="M71">
        <v>12.59</v>
      </c>
      <c r="N71" s="20">
        <v>-0.17</v>
      </c>
      <c r="O71">
        <v>90.18</v>
      </c>
      <c r="P71">
        <v>86.63</v>
      </c>
      <c r="Q71">
        <v>72.55</v>
      </c>
      <c r="R71" s="21">
        <v>138160.02710000001</v>
      </c>
    </row>
    <row r="72" spans="7:18" x14ac:dyDescent="0.15">
      <c r="G72" s="11">
        <v>71</v>
      </c>
      <c r="H72" s="10" t="s">
        <v>1469</v>
      </c>
      <c r="I72" t="s">
        <v>1470</v>
      </c>
      <c r="J72" t="s">
        <v>1688</v>
      </c>
      <c r="K72">
        <v>3.04</v>
      </c>
      <c r="L72">
        <v>6.15</v>
      </c>
      <c r="M72">
        <v>10.72</v>
      </c>
      <c r="N72" s="20">
        <v>-0.33</v>
      </c>
      <c r="O72">
        <v>90.04</v>
      </c>
      <c r="P72">
        <v>74.25</v>
      </c>
      <c r="Q72">
        <v>84.78</v>
      </c>
      <c r="R72" s="21">
        <v>1046.8403000000001</v>
      </c>
    </row>
    <row r="73" spans="7:18" x14ac:dyDescent="0.15">
      <c r="G73" s="11">
        <v>72</v>
      </c>
      <c r="H73" s="10" t="s">
        <v>1356</v>
      </c>
      <c r="I73" t="s">
        <v>1357</v>
      </c>
      <c r="J73" t="s">
        <v>1688</v>
      </c>
      <c r="K73">
        <v>5.23</v>
      </c>
      <c r="L73">
        <v>7.16</v>
      </c>
      <c r="M73">
        <v>9.41</v>
      </c>
      <c r="N73" s="20">
        <v>-0.63</v>
      </c>
      <c r="O73">
        <v>89.9</v>
      </c>
      <c r="P73">
        <v>66.86</v>
      </c>
      <c r="Q73">
        <v>91.89</v>
      </c>
      <c r="R73" s="21">
        <v>1209.6813999999999</v>
      </c>
    </row>
    <row r="74" spans="7:18" x14ac:dyDescent="0.15">
      <c r="G74" s="11">
        <v>73</v>
      </c>
      <c r="H74" s="10" t="s">
        <v>341</v>
      </c>
      <c r="I74" t="s">
        <v>1087</v>
      </c>
      <c r="J74" t="s">
        <v>870</v>
      </c>
      <c r="K74">
        <v>3.43</v>
      </c>
      <c r="L74">
        <v>9.0399999999999991</v>
      </c>
      <c r="M74">
        <v>12.92</v>
      </c>
      <c r="N74" s="20">
        <v>-0.14000000000000001</v>
      </c>
      <c r="O74">
        <v>89.76</v>
      </c>
      <c r="P74">
        <v>90.04</v>
      </c>
      <c r="Q74">
        <v>67.849999999999994</v>
      </c>
      <c r="R74" s="21">
        <v>10424.4684</v>
      </c>
    </row>
    <row r="75" spans="7:18" x14ac:dyDescent="0.15">
      <c r="G75" s="11">
        <v>74</v>
      </c>
      <c r="H75" s="10" t="s">
        <v>409</v>
      </c>
      <c r="I75" t="s">
        <v>1133</v>
      </c>
      <c r="J75" t="s">
        <v>870</v>
      </c>
      <c r="K75">
        <v>6.03</v>
      </c>
      <c r="L75">
        <v>15.45</v>
      </c>
      <c r="M75">
        <v>21.18</v>
      </c>
      <c r="N75" s="20">
        <v>-0.08</v>
      </c>
      <c r="O75">
        <v>89.62</v>
      </c>
      <c r="P75">
        <v>99.72</v>
      </c>
      <c r="Q75">
        <v>58.04</v>
      </c>
      <c r="R75" s="21">
        <v>25934.997111500001</v>
      </c>
    </row>
    <row r="76" spans="7:18" x14ac:dyDescent="0.15">
      <c r="G76" s="11">
        <v>75</v>
      </c>
      <c r="H76" s="10" t="s">
        <v>294</v>
      </c>
      <c r="I76" t="s">
        <v>861</v>
      </c>
      <c r="J76" t="s">
        <v>833</v>
      </c>
      <c r="K76">
        <v>1.18</v>
      </c>
      <c r="L76">
        <v>4.8499999999999996</v>
      </c>
      <c r="M76">
        <v>8.74</v>
      </c>
      <c r="N76" s="20">
        <v>-2.76</v>
      </c>
      <c r="O76">
        <v>89.47</v>
      </c>
      <c r="P76">
        <v>59.6</v>
      </c>
      <c r="Q76">
        <v>98.15</v>
      </c>
      <c r="R76" s="21">
        <v>731.31205839999996</v>
      </c>
    </row>
    <row r="77" spans="7:18" x14ac:dyDescent="0.15">
      <c r="G77" s="11">
        <v>76</v>
      </c>
      <c r="H77" s="10" t="s">
        <v>296</v>
      </c>
      <c r="I77" t="s">
        <v>857</v>
      </c>
      <c r="J77" t="s">
        <v>833</v>
      </c>
      <c r="K77">
        <v>0.44</v>
      </c>
      <c r="L77">
        <v>1.77</v>
      </c>
      <c r="M77">
        <v>8.8699999999999992</v>
      </c>
      <c r="N77" s="20">
        <v>-1.73</v>
      </c>
      <c r="O77">
        <v>89.33</v>
      </c>
      <c r="P77">
        <v>61.17</v>
      </c>
      <c r="Q77">
        <v>96.16</v>
      </c>
      <c r="R77" s="21">
        <v>542.51220000000001</v>
      </c>
    </row>
    <row r="78" spans="7:18" x14ac:dyDescent="0.15">
      <c r="G78" s="11">
        <v>77</v>
      </c>
      <c r="H78" s="10" t="s">
        <v>641</v>
      </c>
      <c r="I78" t="s">
        <v>1106</v>
      </c>
      <c r="J78" t="s">
        <v>870</v>
      </c>
      <c r="K78">
        <v>2.4700000000000002</v>
      </c>
      <c r="L78">
        <v>4.54</v>
      </c>
      <c r="M78">
        <v>11.62</v>
      </c>
      <c r="N78" s="20">
        <v>-0.22</v>
      </c>
      <c r="O78">
        <v>89.19</v>
      </c>
      <c r="P78">
        <v>80.650000000000006</v>
      </c>
      <c r="Q78">
        <v>76.67</v>
      </c>
      <c r="R78" s="21">
        <v>13546.958199999999</v>
      </c>
    </row>
    <row r="79" spans="7:18" x14ac:dyDescent="0.15">
      <c r="G79" s="11">
        <v>78</v>
      </c>
      <c r="H79" s="10" t="s">
        <v>580</v>
      </c>
      <c r="I79" t="s">
        <v>1040</v>
      </c>
      <c r="J79" t="s">
        <v>870</v>
      </c>
      <c r="K79">
        <v>3.6</v>
      </c>
      <c r="L79">
        <v>8.14</v>
      </c>
      <c r="M79">
        <v>11.69</v>
      </c>
      <c r="N79" s="20">
        <v>-0.19</v>
      </c>
      <c r="O79">
        <v>89.05</v>
      </c>
      <c r="P79">
        <v>81.93</v>
      </c>
      <c r="Q79">
        <v>73.680000000000007</v>
      </c>
      <c r="R79" s="21">
        <v>1998.926432</v>
      </c>
    </row>
    <row r="80" spans="7:18" x14ac:dyDescent="0.15">
      <c r="G80" s="11">
        <v>79</v>
      </c>
      <c r="H80" s="10" t="s">
        <v>467</v>
      </c>
      <c r="I80" t="s">
        <v>988</v>
      </c>
      <c r="J80" t="s">
        <v>870</v>
      </c>
      <c r="K80">
        <v>2.85</v>
      </c>
      <c r="L80">
        <v>7.27</v>
      </c>
      <c r="M80">
        <v>12.07</v>
      </c>
      <c r="N80" s="20">
        <v>-0.16</v>
      </c>
      <c r="O80">
        <v>88.9</v>
      </c>
      <c r="P80">
        <v>84.35</v>
      </c>
      <c r="Q80">
        <v>71.12</v>
      </c>
      <c r="R80" s="21">
        <v>1594.9005999999999</v>
      </c>
    </row>
    <row r="81" spans="7:18" x14ac:dyDescent="0.15">
      <c r="G81" s="11">
        <v>80</v>
      </c>
      <c r="H81" s="10" t="s">
        <v>1602</v>
      </c>
      <c r="I81" t="s">
        <v>1603</v>
      </c>
      <c r="J81" t="s">
        <v>1688</v>
      </c>
      <c r="K81">
        <v>-3.96</v>
      </c>
      <c r="L81">
        <v>4.34</v>
      </c>
      <c r="M81">
        <v>10.98</v>
      </c>
      <c r="N81" s="20">
        <v>-0.25</v>
      </c>
      <c r="O81">
        <v>88.76</v>
      </c>
      <c r="P81">
        <v>75.11</v>
      </c>
      <c r="Q81">
        <v>79.94</v>
      </c>
      <c r="R81" s="21">
        <v>1200.0445999999999</v>
      </c>
    </row>
    <row r="82" spans="7:18" x14ac:dyDescent="0.15">
      <c r="G82" s="11">
        <v>81</v>
      </c>
      <c r="H82" s="10" t="s">
        <v>1380</v>
      </c>
      <c r="I82" t="s">
        <v>1381</v>
      </c>
      <c r="J82" t="s">
        <v>1688</v>
      </c>
      <c r="K82">
        <v>-1.1100000000000001</v>
      </c>
      <c r="L82">
        <v>2.99</v>
      </c>
      <c r="M82">
        <v>9.1300000000000008</v>
      </c>
      <c r="N82" s="20">
        <v>-0.56999999999999995</v>
      </c>
      <c r="O82">
        <v>88.62</v>
      </c>
      <c r="P82">
        <v>64.72</v>
      </c>
      <c r="Q82">
        <v>90.18</v>
      </c>
      <c r="R82" s="21">
        <v>15.237500000000001</v>
      </c>
    </row>
    <row r="83" spans="7:18" x14ac:dyDescent="0.15">
      <c r="G83" s="11">
        <v>82</v>
      </c>
      <c r="H83" s="10" t="s">
        <v>1639</v>
      </c>
      <c r="I83" t="s">
        <v>1640</v>
      </c>
      <c r="J83" t="s">
        <v>1688</v>
      </c>
      <c r="K83">
        <v>3.86</v>
      </c>
      <c r="L83">
        <v>10.039999999999999</v>
      </c>
      <c r="M83">
        <v>15.17</v>
      </c>
      <c r="N83" s="20">
        <v>-0.1</v>
      </c>
      <c r="O83">
        <v>88.48</v>
      </c>
      <c r="P83">
        <v>93.6</v>
      </c>
      <c r="Q83">
        <v>61.02</v>
      </c>
      <c r="R83" s="21">
        <v>853.30089999999996</v>
      </c>
    </row>
    <row r="84" spans="7:18" x14ac:dyDescent="0.15">
      <c r="G84" s="11">
        <v>83</v>
      </c>
      <c r="H84" s="10" t="s">
        <v>420</v>
      </c>
      <c r="I84" t="s">
        <v>1085</v>
      </c>
      <c r="J84" t="s">
        <v>870</v>
      </c>
      <c r="K84">
        <v>5.99</v>
      </c>
      <c r="L84">
        <v>14.6</v>
      </c>
      <c r="M84">
        <v>19.989999999999998</v>
      </c>
      <c r="N84" s="20">
        <v>-7.0000000000000007E-2</v>
      </c>
      <c r="O84">
        <v>88.34</v>
      </c>
      <c r="P84">
        <v>98.29</v>
      </c>
      <c r="Q84">
        <v>55.62</v>
      </c>
      <c r="R84" s="21">
        <v>4839.2566670999995</v>
      </c>
    </row>
    <row r="85" spans="7:18" x14ac:dyDescent="0.15">
      <c r="G85" s="11">
        <v>84</v>
      </c>
      <c r="H85" s="10" t="s">
        <v>1444</v>
      </c>
      <c r="I85" t="s">
        <v>1445</v>
      </c>
      <c r="J85" t="s">
        <v>1688</v>
      </c>
      <c r="K85">
        <v>4.45</v>
      </c>
      <c r="L85">
        <v>9.31</v>
      </c>
      <c r="M85">
        <v>14.1</v>
      </c>
      <c r="N85" s="20">
        <v>-0.11</v>
      </c>
      <c r="O85">
        <v>88.19</v>
      </c>
      <c r="P85">
        <v>92.32</v>
      </c>
      <c r="Q85">
        <v>61.17</v>
      </c>
      <c r="R85" s="21">
        <v>88.400400000000005</v>
      </c>
    </row>
    <row r="86" spans="7:18" x14ac:dyDescent="0.15">
      <c r="G86" s="11">
        <v>85</v>
      </c>
      <c r="H86" s="10" t="s">
        <v>1594</v>
      </c>
      <c r="I86" t="s">
        <v>1595</v>
      </c>
      <c r="J86" t="s">
        <v>1688</v>
      </c>
      <c r="K86">
        <v>-3.47</v>
      </c>
      <c r="L86">
        <v>2.88</v>
      </c>
      <c r="M86">
        <v>8.9499999999999993</v>
      </c>
      <c r="N86" s="20">
        <v>-0.59</v>
      </c>
      <c r="O86">
        <v>88.05</v>
      </c>
      <c r="P86">
        <v>62.02</v>
      </c>
      <c r="Q86">
        <v>91.18</v>
      </c>
      <c r="R86" s="21">
        <v>6373.0762000000004</v>
      </c>
    </row>
    <row r="87" spans="7:18" x14ac:dyDescent="0.15">
      <c r="G87" s="11">
        <v>86</v>
      </c>
      <c r="H87" s="10" t="s">
        <v>491</v>
      </c>
      <c r="I87" t="s">
        <v>1148</v>
      </c>
      <c r="J87" t="s">
        <v>870</v>
      </c>
      <c r="K87">
        <v>4.54</v>
      </c>
      <c r="L87">
        <v>11.55</v>
      </c>
      <c r="M87">
        <v>15.92</v>
      </c>
      <c r="N87" s="20">
        <v>-0.08</v>
      </c>
      <c r="O87">
        <v>87.91</v>
      </c>
      <c r="P87">
        <v>95.87</v>
      </c>
      <c r="Q87">
        <v>57.33</v>
      </c>
      <c r="R87" s="21">
        <v>24157.7238</v>
      </c>
    </row>
    <row r="88" spans="7:18" x14ac:dyDescent="0.15">
      <c r="G88" s="11">
        <v>87</v>
      </c>
      <c r="H88" s="10" t="s">
        <v>1544</v>
      </c>
      <c r="I88" t="s">
        <v>1545</v>
      </c>
      <c r="J88" t="s">
        <v>1688</v>
      </c>
      <c r="K88">
        <v>-0.59</v>
      </c>
      <c r="L88">
        <v>3.9</v>
      </c>
      <c r="M88">
        <v>9.0500000000000007</v>
      </c>
      <c r="N88" s="20">
        <v>-0.5</v>
      </c>
      <c r="O88">
        <v>87.77</v>
      </c>
      <c r="P88">
        <v>63.58</v>
      </c>
      <c r="Q88">
        <v>89.33</v>
      </c>
      <c r="R88" s="21">
        <v>1729.76693</v>
      </c>
    </row>
    <row r="89" spans="7:18" x14ac:dyDescent="0.15">
      <c r="G89" s="11">
        <v>88</v>
      </c>
      <c r="H89" s="10" t="s">
        <v>1620</v>
      </c>
      <c r="I89" t="s">
        <v>1621</v>
      </c>
      <c r="J89" t="s">
        <v>1688</v>
      </c>
      <c r="K89">
        <v>-3.81</v>
      </c>
      <c r="L89">
        <v>4.96</v>
      </c>
      <c r="M89">
        <v>9.9600000000000009</v>
      </c>
      <c r="N89" s="20">
        <v>-0.26</v>
      </c>
      <c r="O89">
        <v>87.62</v>
      </c>
      <c r="P89">
        <v>70.55</v>
      </c>
      <c r="Q89">
        <v>80.37</v>
      </c>
      <c r="R89" s="21">
        <v>2918.4602</v>
      </c>
    </row>
    <row r="90" spans="7:18" x14ac:dyDescent="0.15">
      <c r="G90" s="11">
        <v>89</v>
      </c>
      <c r="H90" s="10" t="s">
        <v>1633</v>
      </c>
      <c r="I90" t="s">
        <v>1634</v>
      </c>
      <c r="J90" t="s">
        <v>1688</v>
      </c>
      <c r="K90">
        <v>0.35</v>
      </c>
      <c r="L90">
        <v>5.22</v>
      </c>
      <c r="M90">
        <v>9.48</v>
      </c>
      <c r="N90" s="20">
        <v>-0.3</v>
      </c>
      <c r="O90">
        <v>87.48</v>
      </c>
      <c r="P90">
        <v>67.28</v>
      </c>
      <c r="Q90">
        <v>83.36</v>
      </c>
      <c r="R90" s="21">
        <v>986.69770000000005</v>
      </c>
    </row>
    <row r="91" spans="7:18" x14ac:dyDescent="0.15">
      <c r="G91" s="11">
        <v>90</v>
      </c>
      <c r="H91" s="10" t="s">
        <v>484</v>
      </c>
      <c r="I91" t="s">
        <v>901</v>
      </c>
      <c r="J91" t="s">
        <v>870</v>
      </c>
      <c r="K91">
        <v>1.8</v>
      </c>
      <c r="L91">
        <v>3.47</v>
      </c>
      <c r="M91">
        <v>10.5</v>
      </c>
      <c r="N91" s="20">
        <v>-0.22</v>
      </c>
      <c r="O91">
        <v>87.34</v>
      </c>
      <c r="P91">
        <v>73.260000000000005</v>
      </c>
      <c r="Q91">
        <v>77.099999999999994</v>
      </c>
      <c r="R91" s="21">
        <v>305.79633999999999</v>
      </c>
    </row>
    <row r="92" spans="7:18" x14ac:dyDescent="0.15">
      <c r="G92" s="11">
        <v>91</v>
      </c>
      <c r="H92" s="10" t="s">
        <v>1456</v>
      </c>
      <c r="I92" t="s">
        <v>1457</v>
      </c>
      <c r="J92" t="s">
        <v>1688</v>
      </c>
      <c r="K92">
        <v>4.57</v>
      </c>
      <c r="L92">
        <v>9.6999999999999993</v>
      </c>
      <c r="M92">
        <v>14.67</v>
      </c>
      <c r="N92" s="20">
        <v>-0.08</v>
      </c>
      <c r="O92">
        <v>87.2</v>
      </c>
      <c r="P92">
        <v>93.17</v>
      </c>
      <c r="Q92">
        <v>56.76</v>
      </c>
      <c r="R92" s="21">
        <v>1061.6445000000001</v>
      </c>
    </row>
    <row r="93" spans="7:18" x14ac:dyDescent="0.15">
      <c r="G93" s="11">
        <v>92</v>
      </c>
      <c r="H93" s="10" t="s">
        <v>1482</v>
      </c>
      <c r="I93" t="s">
        <v>1483</v>
      </c>
      <c r="J93" t="s">
        <v>1688</v>
      </c>
      <c r="K93">
        <v>0.67</v>
      </c>
      <c r="L93">
        <v>3.51</v>
      </c>
      <c r="M93">
        <v>8.26</v>
      </c>
      <c r="N93" s="20">
        <v>-0.95</v>
      </c>
      <c r="O93">
        <v>87.06</v>
      </c>
      <c r="P93">
        <v>55.05</v>
      </c>
      <c r="Q93">
        <v>94.88</v>
      </c>
      <c r="R93" s="21">
        <v>4.2881999999999998</v>
      </c>
    </row>
    <row r="94" spans="7:18" x14ac:dyDescent="0.15">
      <c r="G94" s="11">
        <v>93</v>
      </c>
      <c r="H94" s="10" t="s">
        <v>428</v>
      </c>
      <c r="I94" t="s">
        <v>940</v>
      </c>
      <c r="J94" t="s">
        <v>870</v>
      </c>
      <c r="K94">
        <v>2.74</v>
      </c>
      <c r="L94">
        <v>10.97</v>
      </c>
      <c r="M94">
        <v>15.43</v>
      </c>
      <c r="N94" s="20">
        <v>-0.08</v>
      </c>
      <c r="O94">
        <v>86.91</v>
      </c>
      <c r="P94">
        <v>93.74</v>
      </c>
      <c r="Q94">
        <v>56.19</v>
      </c>
      <c r="R94" s="21">
        <v>1425.5850874</v>
      </c>
    </row>
    <row r="95" spans="7:18" x14ac:dyDescent="0.15">
      <c r="G95" s="11">
        <v>94</v>
      </c>
      <c r="H95" s="10" t="s">
        <v>1637</v>
      </c>
      <c r="I95" t="s">
        <v>1638</v>
      </c>
      <c r="J95" t="s">
        <v>1688</v>
      </c>
      <c r="K95">
        <v>3.37</v>
      </c>
      <c r="L95">
        <v>8.8000000000000007</v>
      </c>
      <c r="M95">
        <v>12.73</v>
      </c>
      <c r="N95" s="20">
        <v>-0.11</v>
      </c>
      <c r="O95">
        <v>86.77</v>
      </c>
      <c r="P95">
        <v>88.05</v>
      </c>
      <c r="Q95">
        <v>61.74</v>
      </c>
      <c r="R95" s="21">
        <v>1711.3852999999999</v>
      </c>
    </row>
    <row r="96" spans="7:18" x14ac:dyDescent="0.15">
      <c r="G96" s="11">
        <v>95</v>
      </c>
      <c r="H96" s="10" t="s">
        <v>358</v>
      </c>
      <c r="I96" t="s">
        <v>1054</v>
      </c>
      <c r="J96" t="s">
        <v>870</v>
      </c>
      <c r="K96">
        <v>-6.37</v>
      </c>
      <c r="L96">
        <v>3.05</v>
      </c>
      <c r="M96">
        <v>11.16</v>
      </c>
      <c r="N96" s="20">
        <v>-0.18</v>
      </c>
      <c r="O96">
        <v>86.63</v>
      </c>
      <c r="P96">
        <v>76.53</v>
      </c>
      <c r="Q96">
        <v>73.12</v>
      </c>
      <c r="R96" s="21">
        <v>2988.8540899999998</v>
      </c>
    </row>
    <row r="97" spans="7:18" x14ac:dyDescent="0.15">
      <c r="G97" s="11">
        <v>96</v>
      </c>
      <c r="H97" s="10" t="s">
        <v>626</v>
      </c>
      <c r="I97" t="s">
        <v>942</v>
      </c>
      <c r="J97" t="s">
        <v>870</v>
      </c>
      <c r="K97">
        <v>-1.24</v>
      </c>
      <c r="L97">
        <v>5.75</v>
      </c>
      <c r="M97">
        <v>11.2</v>
      </c>
      <c r="N97" s="20">
        <v>-0.17</v>
      </c>
      <c r="O97">
        <v>86.49</v>
      </c>
      <c r="P97">
        <v>76.959999999999994</v>
      </c>
      <c r="Q97">
        <v>72.69</v>
      </c>
      <c r="R97" s="21">
        <v>231.4847</v>
      </c>
    </row>
    <row r="98" spans="7:18" x14ac:dyDescent="0.15">
      <c r="G98" s="11">
        <v>97</v>
      </c>
      <c r="H98" s="10" t="s">
        <v>760</v>
      </c>
      <c r="I98" t="s">
        <v>1066</v>
      </c>
      <c r="J98" t="s">
        <v>870</v>
      </c>
      <c r="K98">
        <v>-1.36</v>
      </c>
      <c r="L98">
        <v>5.65</v>
      </c>
      <c r="M98">
        <v>11.09</v>
      </c>
      <c r="N98" s="20">
        <v>-0.18</v>
      </c>
      <c r="O98">
        <v>86.34</v>
      </c>
      <c r="P98">
        <v>75.819999999999993</v>
      </c>
      <c r="Q98">
        <v>73.260000000000005</v>
      </c>
      <c r="R98" s="21">
        <v>2576.4364955999999</v>
      </c>
    </row>
    <row r="99" spans="7:18" x14ac:dyDescent="0.15">
      <c r="G99" s="11">
        <v>98</v>
      </c>
      <c r="H99" s="10" t="s">
        <v>775</v>
      </c>
      <c r="I99" t="s">
        <v>1216</v>
      </c>
      <c r="J99" t="s">
        <v>1213</v>
      </c>
      <c r="K99">
        <v>-3.65</v>
      </c>
      <c r="L99">
        <v>2.2999999999999998</v>
      </c>
      <c r="M99">
        <v>8.27</v>
      </c>
      <c r="N99" s="20">
        <v>-0.7</v>
      </c>
      <c r="O99">
        <v>86.2</v>
      </c>
      <c r="P99">
        <v>55.19</v>
      </c>
      <c r="Q99">
        <v>93.03</v>
      </c>
      <c r="R99" s="21">
        <v>339.16892999999999</v>
      </c>
    </row>
    <row r="100" spans="7:18" x14ac:dyDescent="0.15">
      <c r="G100" s="11">
        <v>99</v>
      </c>
      <c r="H100" s="10" t="s">
        <v>506</v>
      </c>
      <c r="I100" t="s">
        <v>953</v>
      </c>
      <c r="J100" t="s">
        <v>870</v>
      </c>
      <c r="K100">
        <v>5.32</v>
      </c>
      <c r="L100">
        <v>7.3</v>
      </c>
      <c r="M100">
        <v>9.7100000000000009</v>
      </c>
      <c r="N100" s="20">
        <v>-0.25</v>
      </c>
      <c r="O100">
        <v>86.06</v>
      </c>
      <c r="P100">
        <v>68.849999999999994</v>
      </c>
      <c r="Q100">
        <v>79.37</v>
      </c>
      <c r="R100" s="21">
        <v>1058.3915414000001</v>
      </c>
    </row>
    <row r="101" spans="7:18" x14ac:dyDescent="0.15">
      <c r="G101" s="11">
        <v>100</v>
      </c>
      <c r="H101" s="10" t="s">
        <v>1582</v>
      </c>
      <c r="I101" t="s">
        <v>1583</v>
      </c>
      <c r="J101" t="s">
        <v>1688</v>
      </c>
      <c r="K101">
        <v>1.1200000000000001</v>
      </c>
      <c r="L101">
        <v>7.51</v>
      </c>
      <c r="M101">
        <v>8.73</v>
      </c>
      <c r="N101" s="20">
        <v>-0.47</v>
      </c>
      <c r="O101">
        <v>85.92</v>
      </c>
      <c r="P101">
        <v>59.46</v>
      </c>
      <c r="Q101">
        <v>88.62</v>
      </c>
      <c r="R101" s="21">
        <v>328.28190000000001</v>
      </c>
    </row>
    <row r="102" spans="7:18" x14ac:dyDescent="0.15">
      <c r="G102" s="11">
        <v>101</v>
      </c>
      <c r="H102" s="10" t="s">
        <v>567</v>
      </c>
      <c r="I102" t="s">
        <v>1011</v>
      </c>
      <c r="J102" t="s">
        <v>870</v>
      </c>
      <c r="K102">
        <v>3.25</v>
      </c>
      <c r="L102">
        <v>7.74</v>
      </c>
      <c r="M102">
        <v>9.8800000000000008</v>
      </c>
      <c r="N102" s="20">
        <v>-0.23</v>
      </c>
      <c r="O102">
        <v>85.78</v>
      </c>
      <c r="P102">
        <v>69.84</v>
      </c>
      <c r="Q102">
        <v>77.95</v>
      </c>
      <c r="R102" s="21">
        <v>1864.7889</v>
      </c>
    </row>
    <row r="103" spans="7:18" x14ac:dyDescent="0.15">
      <c r="G103" s="11">
        <v>102</v>
      </c>
      <c r="H103" s="10" t="s">
        <v>628</v>
      </c>
      <c r="I103" t="s">
        <v>990</v>
      </c>
      <c r="J103" t="s">
        <v>870</v>
      </c>
      <c r="K103">
        <v>2.79</v>
      </c>
      <c r="L103">
        <v>7.12</v>
      </c>
      <c r="M103">
        <v>12.08</v>
      </c>
      <c r="N103" s="20">
        <v>-0.12</v>
      </c>
      <c r="O103">
        <v>85.63</v>
      </c>
      <c r="P103">
        <v>84.5</v>
      </c>
      <c r="Q103">
        <v>62.87</v>
      </c>
      <c r="R103" s="21">
        <v>706.94749999999999</v>
      </c>
    </row>
    <row r="104" spans="7:18" x14ac:dyDescent="0.15">
      <c r="G104" s="11">
        <v>103</v>
      </c>
      <c r="H104" s="10" t="s">
        <v>451</v>
      </c>
      <c r="I104" t="s">
        <v>1018</v>
      </c>
      <c r="J104" t="s">
        <v>870</v>
      </c>
      <c r="K104">
        <v>3.63</v>
      </c>
      <c r="L104">
        <v>8.5500000000000007</v>
      </c>
      <c r="M104">
        <v>13.38</v>
      </c>
      <c r="N104" s="20">
        <v>-0.08</v>
      </c>
      <c r="O104">
        <v>85.49</v>
      </c>
      <c r="P104">
        <v>91.18</v>
      </c>
      <c r="Q104">
        <v>56.05</v>
      </c>
      <c r="R104" s="21">
        <v>3113.8359500000001</v>
      </c>
    </row>
    <row r="105" spans="7:18" x14ac:dyDescent="0.15">
      <c r="G105" s="11">
        <v>104</v>
      </c>
      <c r="H105" s="10" t="s">
        <v>553</v>
      </c>
      <c r="I105" t="s">
        <v>970</v>
      </c>
      <c r="J105" t="s">
        <v>870</v>
      </c>
      <c r="K105">
        <v>2.36</v>
      </c>
      <c r="L105">
        <v>8.75</v>
      </c>
      <c r="M105">
        <v>12.66</v>
      </c>
      <c r="N105" s="20">
        <v>-0.1</v>
      </c>
      <c r="O105">
        <v>85.35</v>
      </c>
      <c r="P105">
        <v>87.34</v>
      </c>
      <c r="Q105">
        <v>59.74</v>
      </c>
      <c r="R105" s="21">
        <v>3543.3566000000001</v>
      </c>
    </row>
    <row r="106" spans="7:18" x14ac:dyDescent="0.15">
      <c r="G106" s="11">
        <v>105</v>
      </c>
      <c r="H106" s="10" t="s">
        <v>505</v>
      </c>
      <c r="I106" t="s">
        <v>1013</v>
      </c>
      <c r="J106" t="s">
        <v>870</v>
      </c>
      <c r="K106">
        <v>1.38</v>
      </c>
      <c r="L106">
        <v>4.4000000000000004</v>
      </c>
      <c r="M106">
        <v>8.98</v>
      </c>
      <c r="N106" s="20">
        <v>-0.31</v>
      </c>
      <c r="O106">
        <v>85.21</v>
      </c>
      <c r="P106">
        <v>63.02</v>
      </c>
      <c r="Q106">
        <v>83.93</v>
      </c>
      <c r="R106" s="21">
        <v>1447.5261</v>
      </c>
    </row>
    <row r="107" spans="7:18" x14ac:dyDescent="0.15">
      <c r="G107" s="11">
        <v>106</v>
      </c>
      <c r="H107" s="10" t="s">
        <v>373</v>
      </c>
      <c r="I107" t="s">
        <v>1023</v>
      </c>
      <c r="J107" t="s">
        <v>870</v>
      </c>
      <c r="K107">
        <v>3.4</v>
      </c>
      <c r="L107">
        <v>8.82</v>
      </c>
      <c r="M107">
        <v>12.67</v>
      </c>
      <c r="N107" s="20">
        <v>-0.1</v>
      </c>
      <c r="O107">
        <v>85.06</v>
      </c>
      <c r="P107">
        <v>87.62</v>
      </c>
      <c r="Q107">
        <v>59.32</v>
      </c>
      <c r="R107" s="21">
        <v>1836.2344100000003</v>
      </c>
    </row>
    <row r="108" spans="7:18" x14ac:dyDescent="0.15">
      <c r="G108" s="11">
        <v>107</v>
      </c>
      <c r="H108" s="10" t="s">
        <v>457</v>
      </c>
      <c r="I108" t="s">
        <v>950</v>
      </c>
      <c r="J108" t="s">
        <v>870</v>
      </c>
      <c r="K108">
        <v>1.41</v>
      </c>
      <c r="L108">
        <v>4.4000000000000004</v>
      </c>
      <c r="M108">
        <v>9.0399999999999991</v>
      </c>
      <c r="N108" s="20">
        <v>-0.3</v>
      </c>
      <c r="O108">
        <v>84.92</v>
      </c>
      <c r="P108">
        <v>63.3</v>
      </c>
      <c r="Q108">
        <v>83.5</v>
      </c>
      <c r="R108" s="21">
        <v>1511.22027</v>
      </c>
    </row>
    <row r="109" spans="7:18" x14ac:dyDescent="0.15">
      <c r="G109" s="11">
        <v>108</v>
      </c>
      <c r="H109" s="10" t="s">
        <v>1283</v>
      </c>
      <c r="I109" t="s">
        <v>1284</v>
      </c>
      <c r="J109" t="s">
        <v>870</v>
      </c>
      <c r="K109">
        <v>-2.48</v>
      </c>
      <c r="L109">
        <v>5.86</v>
      </c>
      <c r="M109">
        <v>7.89</v>
      </c>
      <c r="N109" s="20">
        <v>-1.06</v>
      </c>
      <c r="O109">
        <v>84.78</v>
      </c>
      <c r="P109">
        <v>50.78</v>
      </c>
      <c r="Q109">
        <v>95.59</v>
      </c>
      <c r="R109" s="21">
        <v>5315.0558326999999</v>
      </c>
    </row>
    <row r="110" spans="7:18" x14ac:dyDescent="0.15">
      <c r="G110" s="11">
        <v>109</v>
      </c>
      <c r="H110" s="10" t="s">
        <v>378</v>
      </c>
      <c r="I110" t="s">
        <v>906</v>
      </c>
      <c r="J110" t="s">
        <v>870</v>
      </c>
      <c r="K110">
        <v>4.57</v>
      </c>
      <c r="L110">
        <v>8.25</v>
      </c>
      <c r="M110">
        <v>9.1999999999999993</v>
      </c>
      <c r="N110" s="20">
        <v>-0.27</v>
      </c>
      <c r="O110">
        <v>84.64</v>
      </c>
      <c r="P110">
        <v>65.290000000000006</v>
      </c>
      <c r="Q110">
        <v>80.94</v>
      </c>
      <c r="R110" s="21">
        <v>525.74477379999996</v>
      </c>
    </row>
    <row r="111" spans="7:18" x14ac:dyDescent="0.15">
      <c r="G111" s="11">
        <v>110</v>
      </c>
      <c r="H111" s="10" t="s">
        <v>1572</v>
      </c>
      <c r="I111" t="s">
        <v>1573</v>
      </c>
      <c r="J111" t="s">
        <v>1688</v>
      </c>
      <c r="K111">
        <v>0.7</v>
      </c>
      <c r="L111">
        <v>4.45</v>
      </c>
      <c r="M111">
        <v>7.86</v>
      </c>
      <c r="N111" s="20">
        <v>-1.04</v>
      </c>
      <c r="O111">
        <v>84.5</v>
      </c>
      <c r="P111">
        <v>50.5</v>
      </c>
      <c r="Q111">
        <v>95.31</v>
      </c>
      <c r="R111" s="21">
        <v>70.819699999999997</v>
      </c>
    </row>
    <row r="112" spans="7:18" x14ac:dyDescent="0.15">
      <c r="G112" s="11">
        <v>111</v>
      </c>
      <c r="H112" s="10" t="s">
        <v>778</v>
      </c>
      <c r="I112" t="s">
        <v>1212</v>
      </c>
      <c r="J112" t="s">
        <v>1213</v>
      </c>
      <c r="K112">
        <v>-3.65</v>
      </c>
      <c r="L112">
        <v>2.09</v>
      </c>
      <c r="M112">
        <v>8.35</v>
      </c>
      <c r="N112" s="20">
        <v>-0.49</v>
      </c>
      <c r="O112">
        <v>84.35</v>
      </c>
      <c r="P112">
        <v>56.47</v>
      </c>
      <c r="Q112">
        <v>89.05</v>
      </c>
      <c r="R112" s="21">
        <v>551.14279999999997</v>
      </c>
    </row>
    <row r="113" spans="7:18" x14ac:dyDescent="0.15">
      <c r="G113" s="11">
        <v>112</v>
      </c>
      <c r="H113" s="10" t="s">
        <v>509</v>
      </c>
      <c r="I113" t="s">
        <v>1101</v>
      </c>
      <c r="J113" t="s">
        <v>870</v>
      </c>
      <c r="K113">
        <v>2.82</v>
      </c>
      <c r="L113">
        <v>7.48</v>
      </c>
      <c r="M113">
        <v>9.01</v>
      </c>
      <c r="N113" s="20">
        <v>-0.28999999999999998</v>
      </c>
      <c r="O113">
        <v>84.21</v>
      </c>
      <c r="P113">
        <v>63.16</v>
      </c>
      <c r="Q113">
        <v>82.22</v>
      </c>
      <c r="R113" s="21">
        <v>9551.9854866000005</v>
      </c>
    </row>
    <row r="114" spans="7:18" x14ac:dyDescent="0.15">
      <c r="G114" s="11">
        <v>113</v>
      </c>
      <c r="H114" s="10" t="s">
        <v>1588</v>
      </c>
      <c r="I114" t="s">
        <v>1589</v>
      </c>
      <c r="J114" t="s">
        <v>1688</v>
      </c>
      <c r="K114">
        <v>0.41</v>
      </c>
      <c r="L114">
        <v>8.52</v>
      </c>
      <c r="M114">
        <v>8.43</v>
      </c>
      <c r="N114" s="20">
        <v>-0.42</v>
      </c>
      <c r="O114">
        <v>84.07</v>
      </c>
      <c r="P114">
        <v>57.04</v>
      </c>
      <c r="Q114">
        <v>87.34</v>
      </c>
      <c r="R114" s="21">
        <v>687.94657000000007</v>
      </c>
    </row>
    <row r="115" spans="7:18" x14ac:dyDescent="0.15">
      <c r="G115" s="11">
        <v>114</v>
      </c>
      <c r="H115" s="10" t="s">
        <v>594</v>
      </c>
      <c r="I115" t="s">
        <v>935</v>
      </c>
      <c r="J115" t="s">
        <v>870</v>
      </c>
      <c r="K115">
        <v>3.68</v>
      </c>
      <c r="L115">
        <v>5.44</v>
      </c>
      <c r="M115">
        <v>9.25</v>
      </c>
      <c r="N115" s="20">
        <v>-0.23</v>
      </c>
      <c r="O115">
        <v>83.93</v>
      </c>
      <c r="P115">
        <v>65.86</v>
      </c>
      <c r="Q115">
        <v>78.239999999999995</v>
      </c>
      <c r="R115" s="21">
        <v>308.0247</v>
      </c>
    </row>
    <row r="116" spans="7:18" x14ac:dyDescent="0.15">
      <c r="G116" s="11">
        <v>115</v>
      </c>
      <c r="H116" s="10" t="s">
        <v>468</v>
      </c>
      <c r="I116" t="s">
        <v>1177</v>
      </c>
      <c r="J116" t="s">
        <v>870</v>
      </c>
      <c r="K116">
        <v>4.1399999999999997</v>
      </c>
      <c r="L116">
        <v>8.67</v>
      </c>
      <c r="M116">
        <v>12.15</v>
      </c>
      <c r="N116" s="20">
        <v>-0.09</v>
      </c>
      <c r="O116">
        <v>83.78</v>
      </c>
      <c r="P116">
        <v>85.06</v>
      </c>
      <c r="Q116">
        <v>58.32</v>
      </c>
      <c r="R116" s="21">
        <v>100199.9863132</v>
      </c>
    </row>
    <row r="117" spans="7:18" x14ac:dyDescent="0.15">
      <c r="G117" s="11">
        <v>116</v>
      </c>
      <c r="H117" s="10" t="s">
        <v>290</v>
      </c>
      <c r="I117" t="s">
        <v>845</v>
      </c>
      <c r="J117" t="s">
        <v>833</v>
      </c>
      <c r="K117">
        <v>1.21</v>
      </c>
      <c r="L117">
        <v>4.6500000000000004</v>
      </c>
      <c r="M117">
        <v>10.029999999999999</v>
      </c>
      <c r="N117" s="20">
        <v>-0.17</v>
      </c>
      <c r="O117">
        <v>83.64</v>
      </c>
      <c r="P117">
        <v>70.84</v>
      </c>
      <c r="Q117">
        <v>72.400000000000006</v>
      </c>
      <c r="R117" s="21">
        <v>599.41840000000002</v>
      </c>
    </row>
    <row r="118" spans="7:18" x14ac:dyDescent="0.15">
      <c r="G118" s="11">
        <v>117</v>
      </c>
      <c r="H118" s="10" t="s">
        <v>419</v>
      </c>
      <c r="I118" t="s">
        <v>962</v>
      </c>
      <c r="J118" t="s">
        <v>870</v>
      </c>
      <c r="K118">
        <v>2.2999999999999998</v>
      </c>
      <c r="L118">
        <v>5.09</v>
      </c>
      <c r="M118">
        <v>9.7200000000000006</v>
      </c>
      <c r="N118" s="20">
        <v>-0.19</v>
      </c>
      <c r="O118">
        <v>83.5</v>
      </c>
      <c r="P118">
        <v>68.989999999999995</v>
      </c>
      <c r="Q118">
        <v>74.11</v>
      </c>
      <c r="R118" s="21">
        <v>1733.1547</v>
      </c>
    </row>
    <row r="119" spans="7:18" x14ac:dyDescent="0.15">
      <c r="G119" s="11">
        <v>118</v>
      </c>
      <c r="H119" s="10" t="s">
        <v>618</v>
      </c>
      <c r="I119" t="s">
        <v>887</v>
      </c>
      <c r="J119" t="s">
        <v>870</v>
      </c>
      <c r="K119">
        <v>1.72</v>
      </c>
      <c r="L119">
        <v>5.37</v>
      </c>
      <c r="M119">
        <v>7.94</v>
      </c>
      <c r="N119" s="20">
        <v>-0.59</v>
      </c>
      <c r="O119">
        <v>83.36</v>
      </c>
      <c r="P119">
        <v>51.21</v>
      </c>
      <c r="Q119">
        <v>91.04</v>
      </c>
      <c r="R119" s="21">
        <v>26.925899999999999</v>
      </c>
    </row>
    <row r="120" spans="7:18" x14ac:dyDescent="0.15">
      <c r="G120" s="11">
        <v>119</v>
      </c>
      <c r="H120" s="10" t="s">
        <v>411</v>
      </c>
      <c r="I120" t="s">
        <v>952</v>
      </c>
      <c r="J120" t="s">
        <v>870</v>
      </c>
      <c r="K120">
        <v>3.99</v>
      </c>
      <c r="L120">
        <v>8.1</v>
      </c>
      <c r="M120">
        <v>11.8</v>
      </c>
      <c r="N120" s="20">
        <v>-0.1</v>
      </c>
      <c r="O120">
        <v>83.21</v>
      </c>
      <c r="P120">
        <v>82.5</v>
      </c>
      <c r="Q120">
        <v>59.46</v>
      </c>
      <c r="R120" s="21">
        <v>543.96313039999995</v>
      </c>
    </row>
    <row r="121" spans="7:18" x14ac:dyDescent="0.15">
      <c r="G121" s="11">
        <v>120</v>
      </c>
      <c r="H121" s="10" t="s">
        <v>639</v>
      </c>
      <c r="I121" t="s">
        <v>260</v>
      </c>
      <c r="J121" t="s">
        <v>870</v>
      </c>
      <c r="K121">
        <v>1.78</v>
      </c>
      <c r="L121">
        <v>5.38</v>
      </c>
      <c r="M121">
        <v>8.16</v>
      </c>
      <c r="N121" s="20">
        <v>-0.45</v>
      </c>
      <c r="O121">
        <v>83.07</v>
      </c>
      <c r="P121">
        <v>54.05</v>
      </c>
      <c r="Q121">
        <v>87.77</v>
      </c>
      <c r="R121" s="21">
        <v>86.8249</v>
      </c>
    </row>
    <row r="122" spans="7:18" x14ac:dyDescent="0.15">
      <c r="G122" s="11">
        <v>121</v>
      </c>
      <c r="H122" s="10" t="s">
        <v>1465</v>
      </c>
      <c r="I122" t="s">
        <v>1466</v>
      </c>
      <c r="J122" t="s">
        <v>1688</v>
      </c>
      <c r="K122">
        <v>0.45</v>
      </c>
      <c r="L122">
        <v>5.1100000000000003</v>
      </c>
      <c r="M122">
        <v>9.4</v>
      </c>
      <c r="N122" s="20">
        <v>-0.21</v>
      </c>
      <c r="O122">
        <v>82.93</v>
      </c>
      <c r="P122">
        <v>66.569999999999993</v>
      </c>
      <c r="Q122">
        <v>75.11</v>
      </c>
      <c r="R122" s="21">
        <v>2282.5096496000001</v>
      </c>
    </row>
    <row r="123" spans="7:18" x14ac:dyDescent="0.15">
      <c r="G123" s="11">
        <v>122</v>
      </c>
      <c r="H123" s="10" t="s">
        <v>1651</v>
      </c>
      <c r="I123" t="s">
        <v>1652</v>
      </c>
      <c r="J123" t="s">
        <v>1688</v>
      </c>
      <c r="K123">
        <v>2.9</v>
      </c>
      <c r="L123">
        <v>6.71</v>
      </c>
      <c r="M123">
        <v>11.58</v>
      </c>
      <c r="N123" s="20">
        <v>-0.11</v>
      </c>
      <c r="O123">
        <v>82.79</v>
      </c>
      <c r="P123">
        <v>79.94</v>
      </c>
      <c r="Q123">
        <v>61.45</v>
      </c>
      <c r="R123" s="21">
        <v>545.14610000000005</v>
      </c>
    </row>
    <row r="124" spans="7:18" x14ac:dyDescent="0.15">
      <c r="G124" s="11">
        <v>123</v>
      </c>
      <c r="H124" s="10" t="s">
        <v>500</v>
      </c>
      <c r="I124" t="s">
        <v>1114</v>
      </c>
      <c r="J124" t="s">
        <v>870</v>
      </c>
      <c r="K124">
        <v>1.3</v>
      </c>
      <c r="L124">
        <v>5.03</v>
      </c>
      <c r="M124">
        <v>7.76</v>
      </c>
      <c r="N124" s="20">
        <v>-0.6</v>
      </c>
      <c r="O124">
        <v>82.65</v>
      </c>
      <c r="P124">
        <v>49.22</v>
      </c>
      <c r="Q124">
        <v>91.47</v>
      </c>
      <c r="R124" s="21">
        <v>15298.685479899999</v>
      </c>
    </row>
    <row r="125" spans="7:18" x14ac:dyDescent="0.15">
      <c r="G125" s="11">
        <v>124</v>
      </c>
      <c r="H125" s="10" t="s">
        <v>733</v>
      </c>
      <c r="I125" t="s">
        <v>1140</v>
      </c>
      <c r="J125" t="s">
        <v>870</v>
      </c>
      <c r="K125">
        <v>2.2400000000000002</v>
      </c>
      <c r="L125">
        <v>9.1199999999999992</v>
      </c>
      <c r="M125">
        <v>11.58</v>
      </c>
      <c r="N125" s="20">
        <v>-0.1</v>
      </c>
      <c r="O125">
        <v>82.5</v>
      </c>
      <c r="P125">
        <v>80.09</v>
      </c>
      <c r="Q125">
        <v>60.46</v>
      </c>
      <c r="R125" s="21">
        <v>227273.30919999999</v>
      </c>
    </row>
    <row r="126" spans="7:18" x14ac:dyDescent="0.15">
      <c r="G126" s="11">
        <v>125</v>
      </c>
      <c r="H126" s="10" t="s">
        <v>535</v>
      </c>
      <c r="I126" t="s">
        <v>1011</v>
      </c>
      <c r="J126" t="s">
        <v>870</v>
      </c>
      <c r="K126">
        <v>2.84</v>
      </c>
      <c r="L126">
        <v>7.44</v>
      </c>
      <c r="M126">
        <v>9.2100000000000009</v>
      </c>
      <c r="N126" s="20">
        <v>-0.2</v>
      </c>
      <c r="O126">
        <v>82.36</v>
      </c>
      <c r="P126">
        <v>65.58</v>
      </c>
      <c r="Q126">
        <v>74.540000000000006</v>
      </c>
      <c r="R126" s="21">
        <v>15937.819109999999</v>
      </c>
    </row>
    <row r="127" spans="7:18" x14ac:dyDescent="0.15">
      <c r="G127" s="11">
        <v>126</v>
      </c>
      <c r="H127" s="10" t="s">
        <v>756</v>
      </c>
      <c r="I127" t="s">
        <v>929</v>
      </c>
      <c r="J127" t="s">
        <v>870</v>
      </c>
      <c r="K127">
        <v>-1.1599999999999999</v>
      </c>
      <c r="L127">
        <v>3.36</v>
      </c>
      <c r="M127">
        <v>7.99</v>
      </c>
      <c r="N127" s="20">
        <v>-0.46</v>
      </c>
      <c r="O127">
        <v>82.22</v>
      </c>
      <c r="P127">
        <v>51.78</v>
      </c>
      <c r="Q127">
        <v>88.34</v>
      </c>
      <c r="R127" s="21">
        <v>89.767499999999998</v>
      </c>
    </row>
    <row r="128" spans="7:18" x14ac:dyDescent="0.15">
      <c r="G128" s="11">
        <v>127</v>
      </c>
      <c r="H128" s="10" t="s">
        <v>615</v>
      </c>
      <c r="I128" t="s">
        <v>1142</v>
      </c>
      <c r="J128" t="s">
        <v>870</v>
      </c>
      <c r="K128">
        <v>1.53</v>
      </c>
      <c r="L128">
        <v>6.11</v>
      </c>
      <c r="M128">
        <v>8.9700000000000006</v>
      </c>
      <c r="N128" s="20">
        <v>-0.22</v>
      </c>
      <c r="O128">
        <v>82.08</v>
      </c>
      <c r="P128">
        <v>62.87</v>
      </c>
      <c r="Q128">
        <v>76.959999999999994</v>
      </c>
      <c r="R128" s="21">
        <v>14256.521030000002</v>
      </c>
    </row>
    <row r="129" spans="7:18" x14ac:dyDescent="0.15">
      <c r="G129" s="11">
        <v>128</v>
      </c>
      <c r="H129" s="10" t="s">
        <v>691</v>
      </c>
      <c r="I129" t="s">
        <v>899</v>
      </c>
      <c r="J129" t="s">
        <v>870</v>
      </c>
      <c r="K129">
        <v>1.78</v>
      </c>
      <c r="L129">
        <v>5.57</v>
      </c>
      <c r="M129">
        <v>8.2200000000000006</v>
      </c>
      <c r="N129" s="20">
        <v>-0.34</v>
      </c>
      <c r="O129">
        <v>81.93</v>
      </c>
      <c r="P129">
        <v>54.62</v>
      </c>
      <c r="Q129">
        <v>84.92</v>
      </c>
      <c r="R129" s="21">
        <v>199.87642500000001</v>
      </c>
    </row>
    <row r="130" spans="7:18" x14ac:dyDescent="0.15">
      <c r="G130" s="11">
        <v>129</v>
      </c>
      <c r="H130" s="10" t="s">
        <v>551</v>
      </c>
      <c r="I130" t="s">
        <v>978</v>
      </c>
      <c r="J130" t="s">
        <v>870</v>
      </c>
      <c r="K130">
        <v>2.4500000000000002</v>
      </c>
      <c r="L130">
        <v>6.61</v>
      </c>
      <c r="M130">
        <v>9.84</v>
      </c>
      <c r="N130" s="20">
        <v>-0.15</v>
      </c>
      <c r="O130">
        <v>81.790000000000006</v>
      </c>
      <c r="P130">
        <v>69.56</v>
      </c>
      <c r="Q130">
        <v>69.7</v>
      </c>
      <c r="R130" s="21">
        <v>1449.8375000000001</v>
      </c>
    </row>
    <row r="131" spans="7:18" x14ac:dyDescent="0.15">
      <c r="G131" s="11">
        <v>130</v>
      </c>
      <c r="H131" s="10" t="s">
        <v>434</v>
      </c>
      <c r="I131" t="s">
        <v>859</v>
      </c>
      <c r="J131" t="s">
        <v>833</v>
      </c>
      <c r="K131">
        <v>-1.3</v>
      </c>
      <c r="L131">
        <v>1.92</v>
      </c>
      <c r="M131">
        <v>7.73</v>
      </c>
      <c r="N131" s="20">
        <v>-0.57999999999999996</v>
      </c>
      <c r="O131">
        <v>81.650000000000006</v>
      </c>
      <c r="P131">
        <v>48.65</v>
      </c>
      <c r="Q131">
        <v>90.61</v>
      </c>
      <c r="R131" s="21">
        <v>385.87380000000002</v>
      </c>
    </row>
    <row r="132" spans="7:18" x14ac:dyDescent="0.15">
      <c r="G132" s="11">
        <v>131</v>
      </c>
      <c r="H132" s="10" t="s">
        <v>659</v>
      </c>
      <c r="I132" t="s">
        <v>259</v>
      </c>
      <c r="J132" t="s">
        <v>1242</v>
      </c>
      <c r="K132">
        <v>-1.32</v>
      </c>
      <c r="L132">
        <v>0.4</v>
      </c>
      <c r="M132">
        <v>7.42</v>
      </c>
      <c r="N132" s="20">
        <v>-0.69</v>
      </c>
      <c r="O132">
        <v>81.510000000000005</v>
      </c>
      <c r="P132">
        <v>45.23</v>
      </c>
      <c r="Q132">
        <v>92.89</v>
      </c>
      <c r="R132" s="21">
        <v>52.550480000000007</v>
      </c>
    </row>
    <row r="133" spans="7:18" x14ac:dyDescent="0.15">
      <c r="G133" s="11">
        <v>132</v>
      </c>
      <c r="H133" s="10" t="s">
        <v>470</v>
      </c>
      <c r="I133" t="s">
        <v>938</v>
      </c>
      <c r="J133" t="s">
        <v>870</v>
      </c>
      <c r="K133">
        <v>2.71</v>
      </c>
      <c r="L133">
        <v>7.3</v>
      </c>
      <c r="M133">
        <v>9.06</v>
      </c>
      <c r="N133" s="20">
        <v>-0.19</v>
      </c>
      <c r="O133">
        <v>81.37</v>
      </c>
      <c r="P133">
        <v>63.73</v>
      </c>
      <c r="Q133">
        <v>73.97</v>
      </c>
      <c r="R133" s="21">
        <v>383.3762117</v>
      </c>
    </row>
    <row r="134" spans="7:18" x14ac:dyDescent="0.15">
      <c r="G134" s="11">
        <v>133</v>
      </c>
      <c r="H134" s="10" t="s">
        <v>1446</v>
      </c>
      <c r="I134" t="s">
        <v>1447</v>
      </c>
      <c r="J134" t="s">
        <v>1688</v>
      </c>
      <c r="K134">
        <v>2.78</v>
      </c>
      <c r="L134">
        <v>6.33</v>
      </c>
      <c r="M134">
        <v>10</v>
      </c>
      <c r="N134" s="20">
        <v>-0.13</v>
      </c>
      <c r="O134">
        <v>81.22</v>
      </c>
      <c r="P134">
        <v>70.7</v>
      </c>
      <c r="Q134">
        <v>66.709999999999994</v>
      </c>
      <c r="R134" s="21">
        <v>681.71534000000008</v>
      </c>
    </row>
    <row r="135" spans="7:18" x14ac:dyDescent="0.15">
      <c r="G135" s="11">
        <v>134</v>
      </c>
      <c r="H135" s="10" t="s">
        <v>523</v>
      </c>
      <c r="I135" t="s">
        <v>1053</v>
      </c>
      <c r="J135" t="s">
        <v>870</v>
      </c>
      <c r="K135">
        <v>1.24</v>
      </c>
      <c r="L135">
        <v>2.71</v>
      </c>
      <c r="M135">
        <v>8.43</v>
      </c>
      <c r="N135" s="20">
        <v>-0.26</v>
      </c>
      <c r="O135">
        <v>81.08</v>
      </c>
      <c r="P135">
        <v>57.18</v>
      </c>
      <c r="Q135">
        <v>80.23</v>
      </c>
      <c r="R135" s="21">
        <v>3360.4740000000002</v>
      </c>
    </row>
    <row r="136" spans="7:18" x14ac:dyDescent="0.15">
      <c r="G136" s="11">
        <v>135</v>
      </c>
      <c r="H136" s="10" t="s">
        <v>352</v>
      </c>
      <c r="I136" t="s">
        <v>858</v>
      </c>
      <c r="J136" t="s">
        <v>833</v>
      </c>
      <c r="K136">
        <v>0.27</v>
      </c>
      <c r="L136">
        <v>2.2799999999999998</v>
      </c>
      <c r="M136">
        <v>7.1</v>
      </c>
      <c r="N136" s="20">
        <v>-0.85</v>
      </c>
      <c r="O136">
        <v>80.94</v>
      </c>
      <c r="P136">
        <v>43.1</v>
      </c>
      <c r="Q136">
        <v>94.17</v>
      </c>
      <c r="R136" s="21">
        <v>284.95940000000002</v>
      </c>
    </row>
    <row r="137" spans="7:18" x14ac:dyDescent="0.15">
      <c r="G137" s="11">
        <v>136</v>
      </c>
      <c r="H137" s="10" t="s">
        <v>1592</v>
      </c>
      <c r="I137" t="s">
        <v>1593</v>
      </c>
      <c r="J137" t="s">
        <v>1688</v>
      </c>
      <c r="K137">
        <v>-2.5499999999999998</v>
      </c>
      <c r="L137">
        <v>5.66</v>
      </c>
      <c r="M137">
        <v>7.59</v>
      </c>
      <c r="N137" s="20">
        <v>-0.53</v>
      </c>
      <c r="O137">
        <v>80.8</v>
      </c>
      <c r="P137">
        <v>47.37</v>
      </c>
      <c r="Q137">
        <v>89.9</v>
      </c>
      <c r="R137" s="21">
        <v>343.76966150000004</v>
      </c>
    </row>
    <row r="138" spans="7:18" x14ac:dyDescent="0.15">
      <c r="G138" s="11">
        <v>137</v>
      </c>
      <c r="H138" s="10" t="s">
        <v>1643</v>
      </c>
      <c r="I138" t="s">
        <v>1644</v>
      </c>
      <c r="J138" t="s">
        <v>1688</v>
      </c>
      <c r="K138">
        <v>1.97</v>
      </c>
      <c r="L138">
        <v>3.16</v>
      </c>
      <c r="M138">
        <v>10.24</v>
      </c>
      <c r="N138" s="20">
        <v>-0.12</v>
      </c>
      <c r="O138">
        <v>80.650000000000006</v>
      </c>
      <c r="P138">
        <v>72.55</v>
      </c>
      <c r="Q138">
        <v>64.58</v>
      </c>
      <c r="R138" s="21">
        <v>954.19860000000006</v>
      </c>
    </row>
    <row r="139" spans="7:18" x14ac:dyDescent="0.15">
      <c r="G139" s="11">
        <v>138</v>
      </c>
      <c r="H139" s="10" t="s">
        <v>289</v>
      </c>
      <c r="I139" t="s">
        <v>864</v>
      </c>
      <c r="J139" t="s">
        <v>833</v>
      </c>
      <c r="K139">
        <v>0.6</v>
      </c>
      <c r="L139">
        <v>1.49</v>
      </c>
      <c r="M139">
        <v>6.85</v>
      </c>
      <c r="N139" s="20">
        <v>-1.91</v>
      </c>
      <c r="O139">
        <v>80.510000000000005</v>
      </c>
      <c r="P139">
        <v>40.54</v>
      </c>
      <c r="Q139">
        <v>96.44</v>
      </c>
      <c r="R139" s="21">
        <v>618.67840000000001</v>
      </c>
    </row>
    <row r="140" spans="7:18" x14ac:dyDescent="0.15">
      <c r="G140" s="11">
        <v>139</v>
      </c>
      <c r="H140" s="10" t="s">
        <v>482</v>
      </c>
      <c r="I140" t="s">
        <v>1042</v>
      </c>
      <c r="J140" t="s">
        <v>870</v>
      </c>
      <c r="K140">
        <v>3.96</v>
      </c>
      <c r="L140">
        <v>8.11</v>
      </c>
      <c r="M140">
        <v>11.9</v>
      </c>
      <c r="N140" s="20">
        <v>-0.04</v>
      </c>
      <c r="O140">
        <v>80.37</v>
      </c>
      <c r="P140">
        <v>83.07</v>
      </c>
      <c r="Q140">
        <v>53.77</v>
      </c>
      <c r="R140" s="21">
        <v>1915.3130586</v>
      </c>
    </row>
    <row r="141" spans="7:18" x14ac:dyDescent="0.15">
      <c r="G141" s="11">
        <v>140</v>
      </c>
      <c r="H141" s="10" t="s">
        <v>385</v>
      </c>
      <c r="I141" t="s">
        <v>852</v>
      </c>
      <c r="J141" t="s">
        <v>833</v>
      </c>
      <c r="K141">
        <v>2.0099999999999998</v>
      </c>
      <c r="L141">
        <v>4.5</v>
      </c>
      <c r="M141">
        <v>6.89</v>
      </c>
      <c r="N141" s="20">
        <v>-1.08</v>
      </c>
      <c r="O141">
        <v>80.23</v>
      </c>
      <c r="P141">
        <v>41.11</v>
      </c>
      <c r="Q141">
        <v>95.73</v>
      </c>
      <c r="R141" s="21">
        <v>360.14233400000001</v>
      </c>
    </row>
    <row r="142" spans="7:18" x14ac:dyDescent="0.15">
      <c r="G142" s="11">
        <v>141</v>
      </c>
      <c r="H142" s="10" t="s">
        <v>368</v>
      </c>
      <c r="I142" t="s">
        <v>998</v>
      </c>
      <c r="J142" t="s">
        <v>870</v>
      </c>
      <c r="K142">
        <v>2.96</v>
      </c>
      <c r="L142">
        <v>8.4499999999999993</v>
      </c>
      <c r="M142">
        <v>9.26</v>
      </c>
      <c r="N142" s="20">
        <v>-0.16</v>
      </c>
      <c r="O142">
        <v>80.09</v>
      </c>
      <c r="P142">
        <v>66</v>
      </c>
      <c r="Q142">
        <v>70.84</v>
      </c>
      <c r="R142" s="21">
        <v>2910.2263986000003</v>
      </c>
    </row>
    <row r="143" spans="7:18" x14ac:dyDescent="0.15">
      <c r="G143" s="11">
        <v>142</v>
      </c>
      <c r="H143" s="10" t="s">
        <v>431</v>
      </c>
      <c r="I143" t="s">
        <v>267</v>
      </c>
      <c r="J143" t="s">
        <v>870</v>
      </c>
      <c r="K143">
        <v>1.34</v>
      </c>
      <c r="L143">
        <v>4.08</v>
      </c>
      <c r="M143">
        <v>8.64</v>
      </c>
      <c r="N143" s="20">
        <v>-0.23</v>
      </c>
      <c r="O143">
        <v>79.94</v>
      </c>
      <c r="P143">
        <v>58.61</v>
      </c>
      <c r="Q143">
        <v>77.67</v>
      </c>
      <c r="R143" s="21">
        <v>155.4204</v>
      </c>
    </row>
    <row r="144" spans="7:18" x14ac:dyDescent="0.15">
      <c r="G144" s="11">
        <v>143</v>
      </c>
      <c r="H144" s="10" t="s">
        <v>317</v>
      </c>
      <c r="I144" t="s">
        <v>850</v>
      </c>
      <c r="J144" t="s">
        <v>833</v>
      </c>
      <c r="K144">
        <v>2.15</v>
      </c>
      <c r="L144">
        <v>4.37</v>
      </c>
      <c r="M144">
        <v>6.69</v>
      </c>
      <c r="N144" s="20">
        <v>-2.15</v>
      </c>
      <c r="O144">
        <v>79.8</v>
      </c>
      <c r="P144">
        <v>39.119999999999997</v>
      </c>
      <c r="Q144">
        <v>97.01</v>
      </c>
      <c r="R144" s="21">
        <v>465.59239800000006</v>
      </c>
    </row>
    <row r="145" spans="7:18" x14ac:dyDescent="0.15">
      <c r="G145" s="11">
        <v>144</v>
      </c>
      <c r="H145" s="10" t="s">
        <v>773</v>
      </c>
      <c r="I145" t="s">
        <v>16</v>
      </c>
      <c r="J145" t="s">
        <v>1213</v>
      </c>
      <c r="K145">
        <v>-3.84</v>
      </c>
      <c r="L145">
        <v>1.86</v>
      </c>
      <c r="M145">
        <v>7.01</v>
      </c>
      <c r="N145" s="20">
        <v>-0.82</v>
      </c>
      <c r="O145">
        <v>79.66</v>
      </c>
      <c r="P145">
        <v>41.96</v>
      </c>
      <c r="Q145">
        <v>94.03</v>
      </c>
      <c r="R145" s="21">
        <v>404.75709999999998</v>
      </c>
    </row>
    <row r="146" spans="7:18" x14ac:dyDescent="0.15">
      <c r="G146" s="11">
        <v>145</v>
      </c>
      <c r="H146" s="10" t="s">
        <v>1578</v>
      </c>
      <c r="I146" t="s">
        <v>1579</v>
      </c>
      <c r="J146" t="s">
        <v>1688</v>
      </c>
      <c r="K146">
        <v>0.87</v>
      </c>
      <c r="L146">
        <v>8.3800000000000008</v>
      </c>
      <c r="M146">
        <v>8.1300000000000008</v>
      </c>
      <c r="N146" s="20">
        <v>-0.28999999999999998</v>
      </c>
      <c r="O146">
        <v>79.52</v>
      </c>
      <c r="P146">
        <v>53.06</v>
      </c>
      <c r="Q146">
        <v>82.65</v>
      </c>
      <c r="R146" s="21">
        <v>465.9975</v>
      </c>
    </row>
    <row r="147" spans="7:18" x14ac:dyDescent="0.15">
      <c r="G147" s="11">
        <v>146</v>
      </c>
      <c r="H147" s="10" t="s">
        <v>671</v>
      </c>
      <c r="I147" t="s">
        <v>1624</v>
      </c>
      <c r="J147" t="s">
        <v>1688</v>
      </c>
      <c r="K147">
        <v>-3.47</v>
      </c>
      <c r="L147">
        <v>7.53</v>
      </c>
      <c r="M147">
        <v>15.67</v>
      </c>
      <c r="N147" s="20">
        <v>0</v>
      </c>
      <c r="O147">
        <v>79.37</v>
      </c>
      <c r="P147">
        <v>94.59</v>
      </c>
      <c r="Q147">
        <v>40.97</v>
      </c>
      <c r="R147" s="21">
        <v>5855.2053299999998</v>
      </c>
    </row>
    <row r="148" spans="7:18" x14ac:dyDescent="0.15">
      <c r="G148" s="11">
        <v>147</v>
      </c>
      <c r="H148" s="10" t="s">
        <v>1431</v>
      </c>
      <c r="I148" t="s">
        <v>1432</v>
      </c>
      <c r="J148" t="s">
        <v>1688</v>
      </c>
      <c r="K148">
        <v>2.8</v>
      </c>
      <c r="L148">
        <v>6.29</v>
      </c>
      <c r="M148">
        <v>9.9499999999999993</v>
      </c>
      <c r="N148" s="20">
        <v>-0.12</v>
      </c>
      <c r="O148">
        <v>79.23</v>
      </c>
      <c r="P148">
        <v>70.41</v>
      </c>
      <c r="Q148">
        <v>64.3</v>
      </c>
      <c r="R148" s="21">
        <v>102.1248908</v>
      </c>
    </row>
    <row r="149" spans="7:18" x14ac:dyDescent="0.15">
      <c r="G149" s="11">
        <v>148</v>
      </c>
      <c r="H149" s="10" t="s">
        <v>513</v>
      </c>
      <c r="I149" t="s">
        <v>1062</v>
      </c>
      <c r="J149" t="s">
        <v>870</v>
      </c>
      <c r="K149">
        <v>3.32</v>
      </c>
      <c r="L149">
        <v>6.94</v>
      </c>
      <c r="M149">
        <v>11.02</v>
      </c>
      <c r="N149" s="20">
        <v>-0.09</v>
      </c>
      <c r="O149">
        <v>79.09</v>
      </c>
      <c r="P149">
        <v>75.39</v>
      </c>
      <c r="Q149">
        <v>58.75</v>
      </c>
      <c r="R149" s="21">
        <v>25680.5494263</v>
      </c>
    </row>
    <row r="150" spans="7:18" x14ac:dyDescent="0.15">
      <c r="G150" s="11">
        <v>149</v>
      </c>
      <c r="H150" s="10" t="s">
        <v>1526</v>
      </c>
      <c r="I150" t="s">
        <v>1527</v>
      </c>
      <c r="J150" t="s">
        <v>1688</v>
      </c>
      <c r="K150">
        <v>3.98</v>
      </c>
      <c r="L150">
        <v>9.06</v>
      </c>
      <c r="M150">
        <v>9.93</v>
      </c>
      <c r="N150" s="20">
        <v>-0.12</v>
      </c>
      <c r="O150">
        <v>78.95</v>
      </c>
      <c r="P150">
        <v>70.13</v>
      </c>
      <c r="Q150">
        <v>64.010000000000005</v>
      </c>
      <c r="R150" s="21">
        <v>1587.8977591</v>
      </c>
    </row>
    <row r="151" spans="7:18" x14ac:dyDescent="0.15">
      <c r="G151" s="11">
        <v>150</v>
      </c>
      <c r="H151" s="10" t="s">
        <v>1364</v>
      </c>
      <c r="I151" t="s">
        <v>1365</v>
      </c>
      <c r="J151" t="s">
        <v>1688</v>
      </c>
      <c r="K151">
        <v>4.08</v>
      </c>
      <c r="L151">
        <v>5.1100000000000003</v>
      </c>
      <c r="M151">
        <v>6.94</v>
      </c>
      <c r="N151" s="20">
        <v>-0.67</v>
      </c>
      <c r="O151">
        <v>78.81</v>
      </c>
      <c r="P151">
        <v>41.54</v>
      </c>
      <c r="Q151">
        <v>92.18</v>
      </c>
      <c r="R151" s="21">
        <v>1188.9889871999999</v>
      </c>
    </row>
    <row r="152" spans="7:18" x14ac:dyDescent="0.15">
      <c r="G152" s="11">
        <v>151</v>
      </c>
      <c r="H152" s="10" t="s">
        <v>384</v>
      </c>
      <c r="I152" t="s">
        <v>1033</v>
      </c>
      <c r="J152" t="s">
        <v>870</v>
      </c>
      <c r="K152">
        <v>6.62</v>
      </c>
      <c r="L152">
        <v>13.7</v>
      </c>
      <c r="M152">
        <v>19.079999999999998</v>
      </c>
      <c r="N152" s="20">
        <v>0</v>
      </c>
      <c r="O152">
        <v>78.66</v>
      </c>
      <c r="P152">
        <v>97.3</v>
      </c>
      <c r="Q152">
        <v>36.270000000000003</v>
      </c>
      <c r="R152" s="21">
        <v>3742.3519000000001</v>
      </c>
    </row>
    <row r="153" spans="7:18" x14ac:dyDescent="0.15">
      <c r="G153" s="11">
        <v>152</v>
      </c>
      <c r="H153" s="10" t="s">
        <v>836</v>
      </c>
      <c r="I153" t="s">
        <v>837</v>
      </c>
      <c r="J153" t="s">
        <v>833</v>
      </c>
      <c r="K153">
        <v>0.55000000000000004</v>
      </c>
      <c r="L153">
        <v>0.98</v>
      </c>
      <c r="M153">
        <v>5.94</v>
      </c>
      <c r="N153" s="20">
        <v>-7.57</v>
      </c>
      <c r="O153">
        <v>78.52</v>
      </c>
      <c r="P153">
        <v>33.43</v>
      </c>
      <c r="Q153">
        <v>100</v>
      </c>
      <c r="R153" s="21">
        <v>82.074100000000001</v>
      </c>
    </row>
    <row r="154" spans="7:18" x14ac:dyDescent="0.15">
      <c r="G154" s="11">
        <v>153</v>
      </c>
      <c r="H154" s="10" t="s">
        <v>1663</v>
      </c>
      <c r="I154" t="s">
        <v>1664</v>
      </c>
      <c r="J154" t="s">
        <v>1688</v>
      </c>
      <c r="K154">
        <v>2.84</v>
      </c>
      <c r="L154">
        <v>7.86</v>
      </c>
      <c r="M154">
        <v>10.32</v>
      </c>
      <c r="N154" s="20">
        <v>-0.1</v>
      </c>
      <c r="O154">
        <v>78.38</v>
      </c>
      <c r="P154">
        <v>73.12</v>
      </c>
      <c r="Q154">
        <v>60.17</v>
      </c>
      <c r="R154" s="21">
        <v>2199.5859999999998</v>
      </c>
    </row>
    <row r="155" spans="7:18" x14ac:dyDescent="0.15">
      <c r="G155" s="11">
        <v>154</v>
      </c>
      <c r="H155" s="10" t="s">
        <v>377</v>
      </c>
      <c r="I155" t="s">
        <v>1155</v>
      </c>
      <c r="J155" t="s">
        <v>870</v>
      </c>
      <c r="K155">
        <v>1.26</v>
      </c>
      <c r="L155">
        <v>5.0599999999999996</v>
      </c>
      <c r="M155">
        <v>7.85</v>
      </c>
      <c r="N155" s="20">
        <v>-0.3</v>
      </c>
      <c r="O155">
        <v>78.239999999999995</v>
      </c>
      <c r="P155">
        <v>50.36</v>
      </c>
      <c r="Q155">
        <v>82.93</v>
      </c>
      <c r="R155" s="21">
        <v>32781.909134399997</v>
      </c>
    </row>
    <row r="156" spans="7:18" x14ac:dyDescent="0.15">
      <c r="G156" s="11">
        <v>155</v>
      </c>
      <c r="H156" s="10" t="s">
        <v>1574</v>
      </c>
      <c r="I156" t="s">
        <v>1575</v>
      </c>
      <c r="J156" t="s">
        <v>1688</v>
      </c>
      <c r="K156">
        <v>-1.02</v>
      </c>
      <c r="L156">
        <v>3.03</v>
      </c>
      <c r="M156">
        <v>7.24</v>
      </c>
      <c r="N156" s="20">
        <v>-0.49</v>
      </c>
      <c r="O156">
        <v>78.09</v>
      </c>
      <c r="P156">
        <v>44.38</v>
      </c>
      <c r="Q156">
        <v>88.9</v>
      </c>
      <c r="R156" s="21">
        <v>266.99779999999998</v>
      </c>
    </row>
    <row r="157" spans="7:18" x14ac:dyDescent="0.15">
      <c r="G157" s="11">
        <v>156</v>
      </c>
      <c r="H157" s="10" t="s">
        <v>440</v>
      </c>
      <c r="I157" t="s">
        <v>862</v>
      </c>
      <c r="J157" t="s">
        <v>833</v>
      </c>
      <c r="K157">
        <v>0.01</v>
      </c>
      <c r="L157">
        <v>2.79</v>
      </c>
      <c r="M157">
        <v>6.14</v>
      </c>
      <c r="N157" s="20">
        <v>-3.7</v>
      </c>
      <c r="O157">
        <v>77.95</v>
      </c>
      <c r="P157">
        <v>34.71</v>
      </c>
      <c r="Q157">
        <v>98.44</v>
      </c>
      <c r="R157" s="21">
        <v>610.86069999999995</v>
      </c>
    </row>
    <row r="158" spans="7:18" x14ac:dyDescent="0.15">
      <c r="G158" s="11">
        <v>157</v>
      </c>
      <c r="H158" s="10" t="s">
        <v>1610</v>
      </c>
      <c r="I158" t="s">
        <v>1611</v>
      </c>
      <c r="J158" t="s">
        <v>1688</v>
      </c>
      <c r="K158">
        <v>-4.18</v>
      </c>
      <c r="L158">
        <v>0.92</v>
      </c>
      <c r="M158">
        <v>6.78</v>
      </c>
      <c r="N158" s="20">
        <v>-0.69</v>
      </c>
      <c r="O158">
        <v>77.81</v>
      </c>
      <c r="P158">
        <v>39.97</v>
      </c>
      <c r="Q158">
        <v>92.75</v>
      </c>
      <c r="R158" s="21">
        <v>230.804</v>
      </c>
    </row>
    <row r="159" spans="7:18" x14ac:dyDescent="0.15">
      <c r="G159" s="11">
        <v>158</v>
      </c>
      <c r="H159" s="10" t="s">
        <v>634</v>
      </c>
      <c r="I159" t="s">
        <v>969</v>
      </c>
      <c r="J159" t="s">
        <v>870</v>
      </c>
      <c r="K159">
        <v>1.1599999999999999</v>
      </c>
      <c r="L159">
        <v>5.73</v>
      </c>
      <c r="M159">
        <v>9.81</v>
      </c>
      <c r="N159" s="20">
        <v>-0.12</v>
      </c>
      <c r="O159">
        <v>77.67</v>
      </c>
      <c r="P159">
        <v>69.27</v>
      </c>
      <c r="Q159">
        <v>63.44</v>
      </c>
      <c r="R159" s="21">
        <v>446.83537999999999</v>
      </c>
    </row>
    <row r="160" spans="7:18" x14ac:dyDescent="0.15">
      <c r="G160" s="11">
        <v>159</v>
      </c>
      <c r="H160" s="10" t="s">
        <v>469</v>
      </c>
      <c r="I160" t="s">
        <v>999</v>
      </c>
      <c r="J160" t="s">
        <v>870</v>
      </c>
      <c r="K160">
        <v>4.17</v>
      </c>
      <c r="L160">
        <v>10.71</v>
      </c>
      <c r="M160">
        <v>16</v>
      </c>
      <c r="N160" s="20">
        <v>0</v>
      </c>
      <c r="O160">
        <v>77.52</v>
      </c>
      <c r="P160">
        <v>96.02</v>
      </c>
      <c r="Q160">
        <v>36.56</v>
      </c>
      <c r="R160" s="21">
        <v>2580.4677999999999</v>
      </c>
    </row>
    <row r="161" spans="7:18" x14ac:dyDescent="0.15">
      <c r="G161" s="11">
        <v>160</v>
      </c>
      <c r="H161" s="10" t="s">
        <v>1635</v>
      </c>
      <c r="I161" t="s">
        <v>1636</v>
      </c>
      <c r="J161" t="s">
        <v>1688</v>
      </c>
      <c r="K161">
        <v>4.18</v>
      </c>
      <c r="L161">
        <v>15.78</v>
      </c>
      <c r="M161">
        <v>20.04</v>
      </c>
      <c r="N161" s="20">
        <v>0</v>
      </c>
      <c r="O161">
        <v>77.38</v>
      </c>
      <c r="P161">
        <v>98.58</v>
      </c>
      <c r="Q161">
        <v>33.85</v>
      </c>
      <c r="R161" s="21">
        <v>1014.6327</v>
      </c>
    </row>
    <row r="162" spans="7:18" x14ac:dyDescent="0.15">
      <c r="G162" s="11">
        <v>161</v>
      </c>
      <c r="H162" s="10" t="s">
        <v>595</v>
      </c>
      <c r="I162" t="s">
        <v>892</v>
      </c>
      <c r="J162" t="s">
        <v>870</v>
      </c>
      <c r="K162">
        <v>1.36</v>
      </c>
      <c r="L162">
        <v>3.5</v>
      </c>
      <c r="M162">
        <v>9.15</v>
      </c>
      <c r="N162" s="20">
        <v>-0.13</v>
      </c>
      <c r="O162">
        <v>77.239999999999995</v>
      </c>
      <c r="P162">
        <v>65.150000000000006</v>
      </c>
      <c r="Q162">
        <v>67.28</v>
      </c>
      <c r="R162" s="21">
        <v>57.488599999999998</v>
      </c>
    </row>
    <row r="163" spans="7:18" x14ac:dyDescent="0.15">
      <c r="G163" s="11">
        <v>162</v>
      </c>
      <c r="H163" s="10" t="s">
        <v>1352</v>
      </c>
      <c r="I163" t="s">
        <v>1353</v>
      </c>
      <c r="J163" t="s">
        <v>1688</v>
      </c>
      <c r="K163">
        <v>5.26</v>
      </c>
      <c r="L163">
        <v>7.14</v>
      </c>
      <c r="M163">
        <v>9.5399999999999991</v>
      </c>
      <c r="N163" s="20">
        <v>-0.12</v>
      </c>
      <c r="O163">
        <v>77.099999999999994</v>
      </c>
      <c r="P163">
        <v>67.849999999999994</v>
      </c>
      <c r="Q163">
        <v>63.58</v>
      </c>
      <c r="R163" s="21">
        <v>816.44630959999995</v>
      </c>
    </row>
    <row r="164" spans="7:18" x14ac:dyDescent="0.15">
      <c r="G164" s="11">
        <v>163</v>
      </c>
      <c r="H164" s="10" t="s">
        <v>345</v>
      </c>
      <c r="I164" t="s">
        <v>1057</v>
      </c>
      <c r="J164" t="s">
        <v>870</v>
      </c>
      <c r="K164">
        <v>4.05</v>
      </c>
      <c r="L164">
        <v>8.5</v>
      </c>
      <c r="M164">
        <v>8.85</v>
      </c>
      <c r="N164" s="20">
        <v>-0.16</v>
      </c>
      <c r="O164">
        <v>76.959999999999994</v>
      </c>
      <c r="P164">
        <v>60.6</v>
      </c>
      <c r="Q164">
        <v>70.7</v>
      </c>
      <c r="R164" s="21">
        <v>2337.3323356999999</v>
      </c>
    </row>
    <row r="165" spans="7:18" x14ac:dyDescent="0.15">
      <c r="G165" s="11">
        <v>164</v>
      </c>
      <c r="H165" s="10" t="s">
        <v>1467</v>
      </c>
      <c r="I165" t="s">
        <v>1468</v>
      </c>
      <c r="J165" t="s">
        <v>1688</v>
      </c>
      <c r="K165">
        <v>1.32</v>
      </c>
      <c r="L165">
        <v>4.83</v>
      </c>
      <c r="M165">
        <v>7.22</v>
      </c>
      <c r="N165" s="20">
        <v>-0.41</v>
      </c>
      <c r="O165">
        <v>76.81</v>
      </c>
      <c r="P165">
        <v>44.24</v>
      </c>
      <c r="Q165">
        <v>87.06</v>
      </c>
      <c r="R165" s="21">
        <v>186.6712</v>
      </c>
    </row>
    <row r="166" spans="7:18" x14ac:dyDescent="0.15">
      <c r="G166" s="11">
        <v>165</v>
      </c>
      <c r="H166" s="10" t="s">
        <v>388</v>
      </c>
      <c r="I166" t="s">
        <v>916</v>
      </c>
      <c r="J166" t="s">
        <v>870</v>
      </c>
      <c r="K166">
        <v>2.78</v>
      </c>
      <c r="L166">
        <v>11.15</v>
      </c>
      <c r="M166">
        <v>15.74</v>
      </c>
      <c r="N166" s="20">
        <v>0</v>
      </c>
      <c r="O166">
        <v>76.67</v>
      </c>
      <c r="P166">
        <v>95.16</v>
      </c>
      <c r="Q166">
        <v>35.99</v>
      </c>
      <c r="R166" s="21">
        <v>353.27037000000001</v>
      </c>
    </row>
    <row r="167" spans="7:18" x14ac:dyDescent="0.15">
      <c r="G167" s="11">
        <v>166</v>
      </c>
      <c r="H167" s="10" t="s">
        <v>1399</v>
      </c>
      <c r="I167" t="s">
        <v>1400</v>
      </c>
      <c r="J167" t="s">
        <v>1688</v>
      </c>
      <c r="K167">
        <v>4.46</v>
      </c>
      <c r="L167">
        <v>11.37</v>
      </c>
      <c r="M167">
        <v>15.62</v>
      </c>
      <c r="N167" s="20">
        <v>0</v>
      </c>
      <c r="O167">
        <v>76.53</v>
      </c>
      <c r="P167">
        <v>94.45</v>
      </c>
      <c r="Q167">
        <v>36.700000000000003</v>
      </c>
      <c r="R167" s="21">
        <v>721.06089999999995</v>
      </c>
    </row>
    <row r="168" spans="7:18" x14ac:dyDescent="0.15">
      <c r="G168" s="11">
        <v>167</v>
      </c>
      <c r="H168" s="10" t="s">
        <v>1405</v>
      </c>
      <c r="I168" t="s">
        <v>1406</v>
      </c>
      <c r="J168" t="s">
        <v>1688</v>
      </c>
      <c r="K168">
        <v>1.95</v>
      </c>
      <c r="L168">
        <v>2.8</v>
      </c>
      <c r="M168">
        <v>6.54</v>
      </c>
      <c r="N168" s="20">
        <v>-0.72</v>
      </c>
      <c r="O168">
        <v>76.39</v>
      </c>
      <c r="P168">
        <v>37.700000000000003</v>
      </c>
      <c r="Q168">
        <v>93.31</v>
      </c>
      <c r="R168" s="21">
        <v>200.98548</v>
      </c>
    </row>
    <row r="169" spans="7:18" x14ac:dyDescent="0.15">
      <c r="G169" s="11">
        <v>168</v>
      </c>
      <c r="H169" s="10" t="s">
        <v>366</v>
      </c>
      <c r="I169" t="s">
        <v>1065</v>
      </c>
      <c r="J169" t="s">
        <v>870</v>
      </c>
      <c r="K169">
        <v>2.77</v>
      </c>
      <c r="L169">
        <v>11.08</v>
      </c>
      <c r="M169">
        <v>15.73</v>
      </c>
      <c r="N169" s="20">
        <v>0</v>
      </c>
      <c r="O169">
        <v>76.239999999999995</v>
      </c>
      <c r="P169">
        <v>94.88</v>
      </c>
      <c r="Q169">
        <v>35.56</v>
      </c>
      <c r="R169" s="21">
        <v>4426.4000299999998</v>
      </c>
    </row>
    <row r="170" spans="7:18" x14ac:dyDescent="0.15">
      <c r="G170" s="11">
        <v>169</v>
      </c>
      <c r="H170" s="10" t="s">
        <v>418</v>
      </c>
      <c r="I170" t="s">
        <v>1121</v>
      </c>
      <c r="J170" t="s">
        <v>870</v>
      </c>
      <c r="K170">
        <v>5.98</v>
      </c>
      <c r="L170">
        <v>14.49</v>
      </c>
      <c r="M170">
        <v>19.940000000000001</v>
      </c>
      <c r="N170" s="20">
        <v>7.0000000000000007E-2</v>
      </c>
      <c r="O170">
        <v>76.099999999999994</v>
      </c>
      <c r="P170">
        <v>98.15</v>
      </c>
      <c r="Q170">
        <v>31.58</v>
      </c>
      <c r="R170" s="21">
        <v>8339.4159999999993</v>
      </c>
    </row>
    <row r="171" spans="7:18" x14ac:dyDescent="0.15">
      <c r="G171" s="11">
        <v>170</v>
      </c>
      <c r="H171" s="10" t="s">
        <v>544</v>
      </c>
      <c r="I171" t="s">
        <v>928</v>
      </c>
      <c r="J171" t="s">
        <v>870</v>
      </c>
      <c r="K171">
        <v>2.95</v>
      </c>
      <c r="L171">
        <v>6.54</v>
      </c>
      <c r="M171">
        <v>10.29</v>
      </c>
      <c r="N171" s="20">
        <v>-0.08</v>
      </c>
      <c r="O171">
        <v>75.959999999999994</v>
      </c>
      <c r="P171">
        <v>72.83</v>
      </c>
      <c r="Q171">
        <v>56.47</v>
      </c>
      <c r="R171" s="21">
        <v>415.66491000000002</v>
      </c>
    </row>
    <row r="172" spans="7:18" x14ac:dyDescent="0.15">
      <c r="G172" s="11">
        <v>171</v>
      </c>
      <c r="H172" s="10" t="s">
        <v>363</v>
      </c>
      <c r="I172" t="s">
        <v>1037</v>
      </c>
      <c r="J172" t="s">
        <v>870</v>
      </c>
      <c r="K172">
        <v>1.18</v>
      </c>
      <c r="L172">
        <v>4.8499999999999996</v>
      </c>
      <c r="M172">
        <v>7.46</v>
      </c>
      <c r="N172" s="20">
        <v>-0.3</v>
      </c>
      <c r="O172">
        <v>75.819999999999993</v>
      </c>
      <c r="P172">
        <v>45.66</v>
      </c>
      <c r="Q172">
        <v>83.64</v>
      </c>
      <c r="R172" s="21">
        <v>2289.0442175000003</v>
      </c>
    </row>
    <row r="173" spans="7:18" x14ac:dyDescent="0.15">
      <c r="G173" s="11">
        <v>172</v>
      </c>
      <c r="H173" s="10" t="s">
        <v>525</v>
      </c>
      <c r="I173" t="s">
        <v>1051</v>
      </c>
      <c r="J173" t="s">
        <v>870</v>
      </c>
      <c r="K173">
        <v>4.4800000000000004</v>
      </c>
      <c r="L173">
        <v>5.63</v>
      </c>
      <c r="M173">
        <v>7.54</v>
      </c>
      <c r="N173" s="20">
        <v>-0.28999999999999998</v>
      </c>
      <c r="O173">
        <v>75.680000000000007</v>
      </c>
      <c r="P173">
        <v>46.66</v>
      </c>
      <c r="Q173">
        <v>82.5</v>
      </c>
      <c r="R173" s="21">
        <v>4768.42706</v>
      </c>
    </row>
    <row r="174" spans="7:18" x14ac:dyDescent="0.15">
      <c r="G174" s="11">
        <v>173</v>
      </c>
      <c r="H174" s="10" t="s">
        <v>532</v>
      </c>
      <c r="I174" t="s">
        <v>905</v>
      </c>
      <c r="J174" t="s">
        <v>870</v>
      </c>
      <c r="K174">
        <v>0.36</v>
      </c>
      <c r="L174">
        <v>3.95</v>
      </c>
      <c r="M174">
        <v>7.02</v>
      </c>
      <c r="N174" s="20">
        <v>-0.4</v>
      </c>
      <c r="O174">
        <v>75.53</v>
      </c>
      <c r="P174">
        <v>42.39</v>
      </c>
      <c r="Q174">
        <v>86.63</v>
      </c>
      <c r="R174" s="21">
        <v>160.89609999999999</v>
      </c>
    </row>
    <row r="175" spans="7:18" x14ac:dyDescent="0.15">
      <c r="G175" s="11">
        <v>174</v>
      </c>
      <c r="H175" s="10" t="s">
        <v>1498</v>
      </c>
      <c r="I175" t="s">
        <v>1499</v>
      </c>
      <c r="J175" t="s">
        <v>1688</v>
      </c>
      <c r="K175">
        <v>0.86</v>
      </c>
      <c r="L175">
        <v>3.58</v>
      </c>
      <c r="M175">
        <v>6.61</v>
      </c>
      <c r="N175" s="20">
        <v>-0.57999999999999996</v>
      </c>
      <c r="O175">
        <v>75.39</v>
      </c>
      <c r="P175">
        <v>38.26</v>
      </c>
      <c r="Q175">
        <v>90.75</v>
      </c>
      <c r="R175" s="21">
        <v>339.80560000000003</v>
      </c>
    </row>
    <row r="176" spans="7:18" x14ac:dyDescent="0.15">
      <c r="G176" s="11">
        <v>175</v>
      </c>
      <c r="H176" s="10" t="s">
        <v>521</v>
      </c>
      <c r="I176" t="s">
        <v>930</v>
      </c>
      <c r="J176" t="s">
        <v>870</v>
      </c>
      <c r="K176">
        <v>4.1100000000000003</v>
      </c>
      <c r="L176">
        <v>10.42</v>
      </c>
      <c r="M176">
        <v>15.69</v>
      </c>
      <c r="N176" s="20">
        <v>0</v>
      </c>
      <c r="O176">
        <v>75.25</v>
      </c>
      <c r="P176">
        <v>94.74</v>
      </c>
      <c r="Q176">
        <v>34.14</v>
      </c>
      <c r="R176" s="21">
        <v>563.86569999999995</v>
      </c>
    </row>
    <row r="177" spans="7:18" x14ac:dyDescent="0.15">
      <c r="G177" s="11">
        <v>176</v>
      </c>
      <c r="H177" s="10" t="s">
        <v>346</v>
      </c>
      <c r="I177" t="s">
        <v>966</v>
      </c>
      <c r="J177" t="s">
        <v>870</v>
      </c>
      <c r="K177">
        <v>0.57999999999999996</v>
      </c>
      <c r="L177">
        <v>8.4700000000000006</v>
      </c>
      <c r="M177">
        <v>8.64</v>
      </c>
      <c r="N177" s="20">
        <v>-0.16</v>
      </c>
      <c r="O177">
        <v>75.11</v>
      </c>
      <c r="P177">
        <v>58.46</v>
      </c>
      <c r="Q177">
        <v>70.41</v>
      </c>
      <c r="R177" s="21">
        <v>1148.1478999999999</v>
      </c>
    </row>
    <row r="178" spans="7:18" x14ac:dyDescent="0.15">
      <c r="G178" s="11">
        <v>177</v>
      </c>
      <c r="H178" s="10" t="s">
        <v>1277</v>
      </c>
      <c r="I178" t="s">
        <v>1278</v>
      </c>
      <c r="J178" t="s">
        <v>870</v>
      </c>
      <c r="K178">
        <v>-0.36</v>
      </c>
      <c r="L178">
        <v>2.96</v>
      </c>
      <c r="M178">
        <v>6.36</v>
      </c>
      <c r="N178" s="20">
        <v>-0.64</v>
      </c>
      <c r="O178">
        <v>74.959999999999994</v>
      </c>
      <c r="P178">
        <v>36.700000000000003</v>
      </c>
      <c r="Q178">
        <v>92.03</v>
      </c>
      <c r="R178" s="21">
        <v>114.0581</v>
      </c>
    </row>
    <row r="179" spans="7:18" x14ac:dyDescent="0.15">
      <c r="G179" s="11">
        <v>178</v>
      </c>
      <c r="H179" s="10" t="s">
        <v>1540</v>
      </c>
      <c r="I179" t="s">
        <v>1541</v>
      </c>
      <c r="J179" t="s">
        <v>1688</v>
      </c>
      <c r="K179">
        <v>-0.63</v>
      </c>
      <c r="L179">
        <v>3.66</v>
      </c>
      <c r="M179">
        <v>7.89</v>
      </c>
      <c r="N179" s="20">
        <v>-0.23</v>
      </c>
      <c r="O179">
        <v>74.819999999999993</v>
      </c>
      <c r="P179">
        <v>50.64</v>
      </c>
      <c r="Q179">
        <v>78.09</v>
      </c>
      <c r="R179" s="21">
        <v>51.072099999999999</v>
      </c>
    </row>
    <row r="180" spans="7:18" x14ac:dyDescent="0.15">
      <c r="G180" s="11">
        <v>179</v>
      </c>
      <c r="H180" s="10" t="s">
        <v>395</v>
      </c>
      <c r="I180" t="s">
        <v>1031</v>
      </c>
      <c r="J180" t="s">
        <v>870</v>
      </c>
      <c r="K180">
        <v>5.93</v>
      </c>
      <c r="L180">
        <v>14.37</v>
      </c>
      <c r="M180">
        <v>19.899999999999999</v>
      </c>
      <c r="N180" s="20">
        <v>0.08</v>
      </c>
      <c r="O180">
        <v>74.680000000000007</v>
      </c>
      <c r="P180">
        <v>98.01</v>
      </c>
      <c r="Q180">
        <v>30.3</v>
      </c>
      <c r="R180" s="21">
        <v>7079.6144999999997</v>
      </c>
    </row>
    <row r="181" spans="7:18" x14ac:dyDescent="0.15">
      <c r="G181" s="11">
        <v>180</v>
      </c>
      <c r="H181" s="10" t="s">
        <v>444</v>
      </c>
      <c r="I181" t="s">
        <v>1120</v>
      </c>
      <c r="J181" t="s">
        <v>870</v>
      </c>
      <c r="K181">
        <v>3.74</v>
      </c>
      <c r="L181">
        <v>10.38</v>
      </c>
      <c r="M181">
        <v>16.98</v>
      </c>
      <c r="N181" s="20">
        <v>7.0000000000000007E-2</v>
      </c>
      <c r="O181">
        <v>74.540000000000006</v>
      </c>
      <c r="P181">
        <v>96.44</v>
      </c>
      <c r="Q181">
        <v>31.86</v>
      </c>
      <c r="R181" s="21">
        <v>15423.600399999999</v>
      </c>
    </row>
    <row r="182" spans="7:18" x14ac:dyDescent="0.15">
      <c r="G182" s="11">
        <v>181</v>
      </c>
      <c r="H182" s="10" t="s">
        <v>605</v>
      </c>
      <c r="I182" t="s">
        <v>920</v>
      </c>
      <c r="J182" t="s">
        <v>870</v>
      </c>
      <c r="K182">
        <v>1.25</v>
      </c>
      <c r="L182">
        <v>3.86</v>
      </c>
      <c r="M182">
        <v>7.98</v>
      </c>
      <c r="N182" s="20">
        <v>-0.22</v>
      </c>
      <c r="O182">
        <v>74.400000000000006</v>
      </c>
      <c r="P182">
        <v>51.64</v>
      </c>
      <c r="Q182">
        <v>76.39</v>
      </c>
      <c r="R182" s="21">
        <v>581.45100000000002</v>
      </c>
    </row>
    <row r="183" spans="7:18" x14ac:dyDescent="0.15">
      <c r="G183" s="11">
        <v>182</v>
      </c>
      <c r="H183" s="10" t="s">
        <v>461</v>
      </c>
      <c r="I183" t="s">
        <v>1171</v>
      </c>
      <c r="J183" t="s">
        <v>870</v>
      </c>
      <c r="K183">
        <v>5.99</v>
      </c>
      <c r="L183">
        <v>14.73</v>
      </c>
      <c r="M183">
        <v>20.25</v>
      </c>
      <c r="N183" s="20">
        <v>0.09</v>
      </c>
      <c r="O183">
        <v>74.25</v>
      </c>
      <c r="P183">
        <v>99</v>
      </c>
      <c r="Q183">
        <v>29.02</v>
      </c>
      <c r="R183" s="21">
        <v>81001.073999999993</v>
      </c>
    </row>
    <row r="184" spans="7:18" x14ac:dyDescent="0.15">
      <c r="G184" s="11">
        <v>183</v>
      </c>
      <c r="H184" s="10" t="s">
        <v>1522</v>
      </c>
      <c r="I184" t="s">
        <v>1523</v>
      </c>
      <c r="J184" t="s">
        <v>1688</v>
      </c>
      <c r="K184">
        <v>5.97</v>
      </c>
      <c r="L184">
        <v>15.47</v>
      </c>
      <c r="M184">
        <v>21.06</v>
      </c>
      <c r="N184" s="20">
        <v>0.1</v>
      </c>
      <c r="O184">
        <v>74.11</v>
      </c>
      <c r="P184">
        <v>99.43</v>
      </c>
      <c r="Q184">
        <v>28.45</v>
      </c>
      <c r="R184" s="21">
        <v>15125.131272799999</v>
      </c>
    </row>
    <row r="185" spans="7:18" x14ac:dyDescent="0.15">
      <c r="G185" s="11">
        <v>184</v>
      </c>
      <c r="H185" s="10" t="s">
        <v>1596</v>
      </c>
      <c r="I185" t="s">
        <v>1597</v>
      </c>
      <c r="J185" t="s">
        <v>1688</v>
      </c>
      <c r="K185">
        <v>-3.27</v>
      </c>
      <c r="L185">
        <v>6.77</v>
      </c>
      <c r="M185">
        <v>12.89</v>
      </c>
      <c r="N185" s="20">
        <v>0</v>
      </c>
      <c r="O185">
        <v>73.97</v>
      </c>
      <c r="P185">
        <v>89.9</v>
      </c>
      <c r="Q185">
        <v>37.700000000000003</v>
      </c>
      <c r="R185" s="21">
        <v>29937.444713599998</v>
      </c>
    </row>
    <row r="186" spans="7:18" x14ac:dyDescent="0.15">
      <c r="G186" s="11">
        <v>185</v>
      </c>
      <c r="H186" s="10" t="s">
        <v>539</v>
      </c>
      <c r="I186" t="s">
        <v>1022</v>
      </c>
      <c r="J186" t="s">
        <v>870</v>
      </c>
      <c r="K186">
        <v>2.9</v>
      </c>
      <c r="L186">
        <v>7.7</v>
      </c>
      <c r="M186">
        <v>13.09</v>
      </c>
      <c r="N186" s="20">
        <v>0</v>
      </c>
      <c r="O186">
        <v>73.83</v>
      </c>
      <c r="P186">
        <v>90.47</v>
      </c>
      <c r="Q186">
        <v>37.130000000000003</v>
      </c>
      <c r="R186" s="21">
        <v>2095.7625499999999</v>
      </c>
    </row>
    <row r="187" spans="7:18" x14ac:dyDescent="0.15">
      <c r="G187" s="11">
        <v>186</v>
      </c>
      <c r="H187" s="10" t="s">
        <v>740</v>
      </c>
      <c r="I187" t="s">
        <v>878</v>
      </c>
      <c r="J187" t="s">
        <v>870</v>
      </c>
      <c r="K187">
        <v>1.84</v>
      </c>
      <c r="L187">
        <v>3.99</v>
      </c>
      <c r="M187">
        <v>5.85</v>
      </c>
      <c r="N187" s="20">
        <v>-0.91</v>
      </c>
      <c r="O187">
        <v>73.680000000000007</v>
      </c>
      <c r="P187">
        <v>32.86</v>
      </c>
      <c r="Q187">
        <v>94.59</v>
      </c>
      <c r="R187" s="21">
        <v>92.025669999999991</v>
      </c>
    </row>
    <row r="188" spans="7:18" x14ac:dyDescent="0.15">
      <c r="G188" s="11">
        <v>187</v>
      </c>
      <c r="H188" s="10" t="s">
        <v>463</v>
      </c>
      <c r="I188" t="s">
        <v>923</v>
      </c>
      <c r="J188" t="s">
        <v>870</v>
      </c>
      <c r="K188">
        <v>4.49</v>
      </c>
      <c r="L188">
        <v>11.45</v>
      </c>
      <c r="M188">
        <v>15.78</v>
      </c>
      <c r="N188" s="20">
        <v>7.0000000000000007E-2</v>
      </c>
      <c r="O188">
        <v>73.540000000000006</v>
      </c>
      <c r="P188">
        <v>95.45</v>
      </c>
      <c r="Q188">
        <v>31.72</v>
      </c>
      <c r="R188" s="21">
        <v>1356.9304</v>
      </c>
    </row>
    <row r="189" spans="7:18" x14ac:dyDescent="0.15">
      <c r="G189" s="11">
        <v>188</v>
      </c>
      <c r="H189" s="10" t="s">
        <v>1538</v>
      </c>
      <c r="I189" t="s">
        <v>1539</v>
      </c>
      <c r="J189" t="s">
        <v>1688</v>
      </c>
      <c r="K189">
        <v>-0.09</v>
      </c>
      <c r="L189">
        <v>3.61</v>
      </c>
      <c r="M189">
        <v>6.44</v>
      </c>
      <c r="N189" s="20">
        <v>-0.56999999999999995</v>
      </c>
      <c r="O189">
        <v>73.400000000000006</v>
      </c>
      <c r="P189">
        <v>36.840000000000003</v>
      </c>
      <c r="Q189">
        <v>90.33</v>
      </c>
      <c r="R189" s="21">
        <v>460.82360999999997</v>
      </c>
    </row>
    <row r="190" spans="7:18" x14ac:dyDescent="0.15">
      <c r="G190" s="11">
        <v>189</v>
      </c>
      <c r="H190" s="10" t="s">
        <v>682</v>
      </c>
      <c r="I190" t="s">
        <v>970</v>
      </c>
      <c r="J190" t="s">
        <v>870</v>
      </c>
      <c r="K190">
        <v>2.2599999999999998</v>
      </c>
      <c r="L190">
        <v>8.5299999999999994</v>
      </c>
      <c r="M190">
        <v>12.38</v>
      </c>
      <c r="N190" s="20">
        <v>0</v>
      </c>
      <c r="O190">
        <v>73.260000000000005</v>
      </c>
      <c r="P190">
        <v>85.78</v>
      </c>
      <c r="Q190">
        <v>41.25</v>
      </c>
      <c r="R190" s="21">
        <v>5830.3005641</v>
      </c>
    </row>
    <row r="191" spans="7:18" x14ac:dyDescent="0.15">
      <c r="G191" s="11">
        <v>190</v>
      </c>
      <c r="H191" s="10" t="s">
        <v>576</v>
      </c>
      <c r="I191" t="s">
        <v>884</v>
      </c>
      <c r="J191" t="s">
        <v>870</v>
      </c>
      <c r="K191">
        <v>2.65</v>
      </c>
      <c r="L191">
        <v>10.81</v>
      </c>
      <c r="M191">
        <v>14.87</v>
      </c>
      <c r="N191" s="20">
        <v>0</v>
      </c>
      <c r="O191">
        <v>73.12</v>
      </c>
      <c r="P191">
        <v>93.31</v>
      </c>
      <c r="Q191">
        <v>33.71</v>
      </c>
      <c r="R191" s="21">
        <v>97.907399999999996</v>
      </c>
    </row>
    <row r="192" spans="7:18" x14ac:dyDescent="0.15">
      <c r="G192" s="11">
        <v>191</v>
      </c>
      <c r="H192" s="10" t="s">
        <v>1512</v>
      </c>
      <c r="I192" t="s">
        <v>1513</v>
      </c>
      <c r="J192" t="s">
        <v>1688</v>
      </c>
      <c r="K192">
        <v>1.95</v>
      </c>
      <c r="L192">
        <v>6.14</v>
      </c>
      <c r="M192">
        <v>8.48</v>
      </c>
      <c r="N192" s="20">
        <v>-0.15</v>
      </c>
      <c r="O192">
        <v>72.97</v>
      </c>
      <c r="P192">
        <v>57.75</v>
      </c>
      <c r="Q192">
        <v>69.27</v>
      </c>
      <c r="R192" s="21">
        <v>157.65819999999999</v>
      </c>
    </row>
    <row r="193" spans="7:18" x14ac:dyDescent="0.15">
      <c r="G193" s="11">
        <v>192</v>
      </c>
      <c r="H193" s="10" t="s">
        <v>739</v>
      </c>
      <c r="I193" t="s">
        <v>1055</v>
      </c>
      <c r="J193" t="s">
        <v>870</v>
      </c>
      <c r="K193">
        <v>-4.16</v>
      </c>
      <c r="L193">
        <v>0.72</v>
      </c>
      <c r="M193">
        <v>6.25</v>
      </c>
      <c r="N193" s="20">
        <v>-0.57999999999999996</v>
      </c>
      <c r="O193">
        <v>72.83</v>
      </c>
      <c r="P193">
        <v>35.85</v>
      </c>
      <c r="Q193">
        <v>90.9</v>
      </c>
      <c r="R193" s="21">
        <v>3202.3187399999997</v>
      </c>
    </row>
    <row r="194" spans="7:18" x14ac:dyDescent="0.15">
      <c r="G194" s="11">
        <v>193</v>
      </c>
      <c r="H194" s="10" t="s">
        <v>1372</v>
      </c>
      <c r="I194" t="s">
        <v>1373</v>
      </c>
      <c r="J194" t="s">
        <v>1688</v>
      </c>
      <c r="K194">
        <v>4.16</v>
      </c>
      <c r="L194">
        <v>15.77</v>
      </c>
      <c r="M194">
        <v>20.02</v>
      </c>
      <c r="N194" s="20">
        <v>0.1</v>
      </c>
      <c r="O194">
        <v>72.69</v>
      </c>
      <c r="P194">
        <v>98.44</v>
      </c>
      <c r="Q194">
        <v>28.02</v>
      </c>
      <c r="R194" s="21">
        <v>3525.8352718999995</v>
      </c>
    </row>
    <row r="195" spans="7:18" x14ac:dyDescent="0.15">
      <c r="G195" s="11">
        <v>194</v>
      </c>
      <c r="H195" s="10" t="s">
        <v>1448</v>
      </c>
      <c r="I195" t="s">
        <v>1449</v>
      </c>
      <c r="J195" t="s">
        <v>1688</v>
      </c>
      <c r="K195">
        <v>2.76</v>
      </c>
      <c r="L195">
        <v>5.51</v>
      </c>
      <c r="M195">
        <v>8</v>
      </c>
      <c r="N195" s="20">
        <v>-0.19</v>
      </c>
      <c r="O195">
        <v>72.55</v>
      </c>
      <c r="P195">
        <v>51.92</v>
      </c>
      <c r="Q195">
        <v>74.400000000000006</v>
      </c>
      <c r="R195" s="21">
        <v>1115.4399704</v>
      </c>
    </row>
    <row r="196" spans="7:18" x14ac:dyDescent="0.15">
      <c r="G196" s="11">
        <v>195</v>
      </c>
      <c r="H196" s="10" t="s">
        <v>718</v>
      </c>
      <c r="I196" t="s">
        <v>1308</v>
      </c>
      <c r="J196" t="s">
        <v>1288</v>
      </c>
      <c r="K196">
        <v>-3.7</v>
      </c>
      <c r="L196">
        <v>5.47</v>
      </c>
      <c r="M196">
        <v>12.81</v>
      </c>
      <c r="N196" s="20">
        <v>0</v>
      </c>
      <c r="O196">
        <v>72.400000000000006</v>
      </c>
      <c r="P196">
        <v>89.05</v>
      </c>
      <c r="Q196">
        <v>37.270000000000003</v>
      </c>
      <c r="R196" s="21">
        <v>9911.8201000000008</v>
      </c>
    </row>
    <row r="197" spans="7:18" x14ac:dyDescent="0.15">
      <c r="G197" s="11">
        <v>196</v>
      </c>
      <c r="H197" s="10" t="s">
        <v>399</v>
      </c>
      <c r="I197" t="s">
        <v>919</v>
      </c>
      <c r="J197" t="s">
        <v>870</v>
      </c>
      <c r="K197">
        <v>-5.37</v>
      </c>
      <c r="L197">
        <v>4.29</v>
      </c>
      <c r="M197">
        <v>12.35</v>
      </c>
      <c r="N197" s="20">
        <v>0</v>
      </c>
      <c r="O197">
        <v>72.260000000000005</v>
      </c>
      <c r="P197">
        <v>85.49</v>
      </c>
      <c r="Q197">
        <v>40.83</v>
      </c>
      <c r="R197" s="21">
        <v>799.17762000000005</v>
      </c>
    </row>
    <row r="198" spans="7:18" x14ac:dyDescent="0.15">
      <c r="G198" s="11">
        <v>197</v>
      </c>
      <c r="H198" s="10" t="s">
        <v>390</v>
      </c>
      <c r="I198" t="s">
        <v>891</v>
      </c>
      <c r="J198" t="s">
        <v>870</v>
      </c>
      <c r="K198">
        <v>2.44</v>
      </c>
      <c r="L198">
        <v>5.91</v>
      </c>
      <c r="M198">
        <v>9.76</v>
      </c>
      <c r="N198" s="20">
        <v>-0.08</v>
      </c>
      <c r="O198">
        <v>72.12</v>
      </c>
      <c r="P198">
        <v>69.13</v>
      </c>
      <c r="Q198">
        <v>57.04</v>
      </c>
      <c r="R198" s="21">
        <v>82.520869200000007</v>
      </c>
    </row>
    <row r="199" spans="7:18" x14ac:dyDescent="0.15">
      <c r="G199" s="11">
        <v>198</v>
      </c>
      <c r="H199" s="10" t="s">
        <v>746</v>
      </c>
      <c r="I199" t="s">
        <v>1302</v>
      </c>
      <c r="J199" t="s">
        <v>1288</v>
      </c>
      <c r="K199">
        <v>-3.28</v>
      </c>
      <c r="L199">
        <v>1.35</v>
      </c>
      <c r="M199">
        <v>6.57</v>
      </c>
      <c r="N199" s="20">
        <v>-0.45</v>
      </c>
      <c r="O199">
        <v>71.98</v>
      </c>
      <c r="P199">
        <v>37.840000000000003</v>
      </c>
      <c r="Q199">
        <v>88.05</v>
      </c>
      <c r="R199" s="21">
        <v>2286.2484662000002</v>
      </c>
    </row>
    <row r="200" spans="7:18" x14ac:dyDescent="0.15">
      <c r="G200" s="11">
        <v>199</v>
      </c>
      <c r="H200" s="10" t="s">
        <v>1554</v>
      </c>
      <c r="I200" t="s">
        <v>1555</v>
      </c>
      <c r="J200" t="s">
        <v>1688</v>
      </c>
      <c r="K200">
        <v>-0.4</v>
      </c>
      <c r="L200">
        <v>2.74</v>
      </c>
      <c r="M200">
        <v>5.83</v>
      </c>
      <c r="N200" s="20">
        <v>-0.73</v>
      </c>
      <c r="O200">
        <v>71.83</v>
      </c>
      <c r="P200">
        <v>32.43</v>
      </c>
      <c r="Q200">
        <v>93.46</v>
      </c>
      <c r="R200" s="21">
        <v>160.63050000000001</v>
      </c>
    </row>
    <row r="201" spans="7:18" x14ac:dyDescent="0.15">
      <c r="G201" s="11">
        <v>200</v>
      </c>
      <c r="H201" s="10" t="s">
        <v>1528</v>
      </c>
      <c r="I201" t="s">
        <v>1529</v>
      </c>
      <c r="J201" t="s">
        <v>1688</v>
      </c>
      <c r="K201">
        <v>1.4</v>
      </c>
      <c r="L201">
        <v>5.15</v>
      </c>
      <c r="M201">
        <v>7.31</v>
      </c>
      <c r="N201" s="20">
        <v>-0.27</v>
      </c>
      <c r="O201">
        <v>71.69</v>
      </c>
      <c r="P201">
        <v>44.95</v>
      </c>
      <c r="Q201">
        <v>80.8</v>
      </c>
      <c r="R201" s="21">
        <v>12.50855</v>
      </c>
    </row>
    <row r="202" spans="7:18" x14ac:dyDescent="0.15">
      <c r="G202" s="11">
        <v>201</v>
      </c>
      <c r="H202" s="10" t="s">
        <v>1458</v>
      </c>
      <c r="I202" t="s">
        <v>1459</v>
      </c>
      <c r="J202" t="s">
        <v>1688</v>
      </c>
      <c r="K202">
        <v>0.65</v>
      </c>
      <c r="L202">
        <v>4.18</v>
      </c>
      <c r="M202">
        <v>6.87</v>
      </c>
      <c r="N202" s="20">
        <v>-0.33</v>
      </c>
      <c r="O202">
        <v>71.55</v>
      </c>
      <c r="P202">
        <v>40.83</v>
      </c>
      <c r="Q202">
        <v>84.64</v>
      </c>
      <c r="R202" s="21">
        <v>38.760899999999999</v>
      </c>
    </row>
    <row r="203" spans="7:18" x14ac:dyDescent="0.15">
      <c r="G203" s="11">
        <v>202</v>
      </c>
      <c r="H203" s="10" t="s">
        <v>694</v>
      </c>
      <c r="I203" t="s">
        <v>1097</v>
      </c>
      <c r="J203" t="s">
        <v>870</v>
      </c>
      <c r="K203">
        <v>1.74</v>
      </c>
      <c r="L203">
        <v>5.48</v>
      </c>
      <c r="M203">
        <v>8.14</v>
      </c>
      <c r="N203" s="20">
        <v>-0.17</v>
      </c>
      <c r="O203">
        <v>71.41</v>
      </c>
      <c r="P203">
        <v>53.77</v>
      </c>
      <c r="Q203">
        <v>71.55</v>
      </c>
      <c r="R203" s="21">
        <v>6192.3270000000002</v>
      </c>
    </row>
    <row r="204" spans="7:18" x14ac:dyDescent="0.15">
      <c r="G204" s="11">
        <v>203</v>
      </c>
      <c r="H204" s="10" t="s">
        <v>516</v>
      </c>
      <c r="I204" t="s">
        <v>968</v>
      </c>
      <c r="J204" t="s">
        <v>870</v>
      </c>
      <c r="K204">
        <v>1.28</v>
      </c>
      <c r="L204">
        <v>2.82</v>
      </c>
      <c r="M204">
        <v>8.69</v>
      </c>
      <c r="N204" s="20">
        <v>-0.13</v>
      </c>
      <c r="O204">
        <v>71.27</v>
      </c>
      <c r="P204">
        <v>59.03</v>
      </c>
      <c r="Q204">
        <v>66</v>
      </c>
      <c r="R204" s="21">
        <v>696.1721</v>
      </c>
    </row>
    <row r="205" spans="7:18" x14ac:dyDescent="0.15">
      <c r="G205" s="11">
        <v>204</v>
      </c>
      <c r="H205" s="10" t="s">
        <v>1546</v>
      </c>
      <c r="I205" t="s">
        <v>1547</v>
      </c>
      <c r="J205" t="s">
        <v>1688</v>
      </c>
      <c r="K205">
        <v>1.46</v>
      </c>
      <c r="L205">
        <v>5.91</v>
      </c>
      <c r="M205">
        <v>8.41</v>
      </c>
      <c r="N205" s="20">
        <v>-0.14000000000000001</v>
      </c>
      <c r="O205">
        <v>71.12</v>
      </c>
      <c r="P205">
        <v>56.9</v>
      </c>
      <c r="Q205">
        <v>67.989999999999995</v>
      </c>
      <c r="R205" s="21">
        <v>1845.4613999999999</v>
      </c>
    </row>
    <row r="206" spans="7:18" x14ac:dyDescent="0.15">
      <c r="G206" s="11">
        <v>205</v>
      </c>
      <c r="H206" s="10" t="s">
        <v>542</v>
      </c>
      <c r="I206" t="s">
        <v>1073</v>
      </c>
      <c r="J206" t="s">
        <v>870</v>
      </c>
      <c r="K206">
        <v>3.98</v>
      </c>
      <c r="L206">
        <v>8.15</v>
      </c>
      <c r="M206">
        <v>11.92</v>
      </c>
      <c r="N206" s="20">
        <v>0</v>
      </c>
      <c r="O206">
        <v>70.98</v>
      </c>
      <c r="P206">
        <v>83.36</v>
      </c>
      <c r="Q206">
        <v>41.11</v>
      </c>
      <c r="R206" s="21">
        <v>2470.5379965000002</v>
      </c>
    </row>
    <row r="207" spans="7:18" x14ac:dyDescent="0.15">
      <c r="G207" s="11">
        <v>206</v>
      </c>
      <c r="H207" s="10" t="s">
        <v>1509</v>
      </c>
      <c r="I207" t="s">
        <v>1510</v>
      </c>
      <c r="J207" t="s">
        <v>1688</v>
      </c>
      <c r="K207">
        <v>0.04</v>
      </c>
      <c r="L207">
        <v>3.81</v>
      </c>
      <c r="M207">
        <v>6.65</v>
      </c>
      <c r="N207" s="20">
        <v>-0.35</v>
      </c>
      <c r="O207">
        <v>70.84</v>
      </c>
      <c r="P207">
        <v>38.83</v>
      </c>
      <c r="Q207">
        <v>85.63</v>
      </c>
      <c r="R207" s="21">
        <v>453.92452000000003</v>
      </c>
    </row>
    <row r="208" spans="7:18" x14ac:dyDescent="0.15">
      <c r="G208" s="11">
        <v>207</v>
      </c>
      <c r="H208" s="10" t="s">
        <v>483</v>
      </c>
      <c r="I208" t="s">
        <v>924</v>
      </c>
      <c r="J208" t="s">
        <v>870</v>
      </c>
      <c r="K208">
        <v>1.37</v>
      </c>
      <c r="L208">
        <v>4.88</v>
      </c>
      <c r="M208">
        <v>7.42</v>
      </c>
      <c r="N208" s="20">
        <v>-0.24</v>
      </c>
      <c r="O208">
        <v>70.7</v>
      </c>
      <c r="P208">
        <v>45.38</v>
      </c>
      <c r="Q208">
        <v>78.95</v>
      </c>
      <c r="R208" s="21">
        <v>1431.0115000000001</v>
      </c>
    </row>
    <row r="209" spans="7:18" x14ac:dyDescent="0.15">
      <c r="G209" s="11">
        <v>208</v>
      </c>
      <c r="H209" s="10" t="s">
        <v>1627</v>
      </c>
      <c r="I209" t="s">
        <v>1628</v>
      </c>
      <c r="J209" t="s">
        <v>1688</v>
      </c>
      <c r="K209">
        <v>6.59</v>
      </c>
      <c r="L209">
        <v>13.84</v>
      </c>
      <c r="M209">
        <v>19.23</v>
      </c>
      <c r="N209" s="20">
        <v>0.11</v>
      </c>
      <c r="O209">
        <v>70.55</v>
      </c>
      <c r="P209">
        <v>97.72</v>
      </c>
      <c r="Q209">
        <v>26.6</v>
      </c>
      <c r="R209" s="21">
        <v>4051.0994999999998</v>
      </c>
    </row>
    <row r="210" spans="7:18" x14ac:dyDescent="0.15">
      <c r="G210" s="11">
        <v>209</v>
      </c>
      <c r="H210" s="10" t="s">
        <v>1451</v>
      </c>
      <c r="I210" t="s">
        <v>1452</v>
      </c>
      <c r="J210" t="s">
        <v>1688</v>
      </c>
      <c r="K210">
        <v>2.79</v>
      </c>
      <c r="L210">
        <v>6.83</v>
      </c>
      <c r="M210">
        <v>11.74</v>
      </c>
      <c r="N210" s="20">
        <v>0</v>
      </c>
      <c r="O210">
        <v>70.41</v>
      </c>
      <c r="P210">
        <v>82.22</v>
      </c>
      <c r="Q210">
        <v>41.96</v>
      </c>
      <c r="R210" s="21">
        <v>2823.0724800000003</v>
      </c>
    </row>
    <row r="211" spans="7:18" x14ac:dyDescent="0.15">
      <c r="G211" s="11">
        <v>210</v>
      </c>
      <c r="H211" s="10" t="s">
        <v>1376</v>
      </c>
      <c r="I211" t="s">
        <v>1377</v>
      </c>
      <c r="J211" t="s">
        <v>1688</v>
      </c>
      <c r="K211">
        <v>2.96</v>
      </c>
      <c r="L211">
        <v>9.8000000000000007</v>
      </c>
      <c r="M211">
        <v>14.41</v>
      </c>
      <c r="N211" s="20">
        <v>0.08</v>
      </c>
      <c r="O211">
        <v>70.27</v>
      </c>
      <c r="P211">
        <v>92.6</v>
      </c>
      <c r="Q211">
        <v>31.15</v>
      </c>
      <c r="R211" s="21">
        <v>885.27634999999998</v>
      </c>
    </row>
    <row r="212" spans="7:18" x14ac:dyDescent="0.15">
      <c r="G212" s="11">
        <v>211</v>
      </c>
      <c r="H212" s="10" t="s">
        <v>572</v>
      </c>
      <c r="I212" t="s">
        <v>266</v>
      </c>
      <c r="J212" t="s">
        <v>870</v>
      </c>
      <c r="K212">
        <v>1.43</v>
      </c>
      <c r="L212">
        <v>4.4400000000000004</v>
      </c>
      <c r="M212">
        <v>9.1300000000000008</v>
      </c>
      <c r="N212" s="20">
        <v>-0.09</v>
      </c>
      <c r="O212">
        <v>70.13</v>
      </c>
      <c r="P212">
        <v>64.86</v>
      </c>
      <c r="Q212">
        <v>58.89</v>
      </c>
      <c r="R212" s="21">
        <v>1055.2843</v>
      </c>
    </row>
    <row r="213" spans="7:18" x14ac:dyDescent="0.15">
      <c r="G213" s="11">
        <v>212</v>
      </c>
      <c r="H213" s="10" t="s">
        <v>566</v>
      </c>
      <c r="I213" t="s">
        <v>1116</v>
      </c>
      <c r="J213" t="s">
        <v>870</v>
      </c>
      <c r="K213">
        <v>-3.81</v>
      </c>
      <c r="L213">
        <v>4.9400000000000004</v>
      </c>
      <c r="M213">
        <v>11.88</v>
      </c>
      <c r="N213" s="20">
        <v>0</v>
      </c>
      <c r="O213">
        <v>69.989999999999995</v>
      </c>
      <c r="P213">
        <v>82.93</v>
      </c>
      <c r="Q213">
        <v>40.68</v>
      </c>
      <c r="R213" s="21">
        <v>10031.2469</v>
      </c>
    </row>
    <row r="214" spans="7:18" x14ac:dyDescent="0.15">
      <c r="G214" s="11">
        <v>213</v>
      </c>
      <c r="H214" s="10" t="s">
        <v>526</v>
      </c>
      <c r="I214" t="s">
        <v>886</v>
      </c>
      <c r="J214" t="s">
        <v>870</v>
      </c>
      <c r="K214">
        <v>0.62</v>
      </c>
      <c r="L214">
        <v>3.2</v>
      </c>
      <c r="M214">
        <v>6.96</v>
      </c>
      <c r="N214" s="20">
        <v>-0.28000000000000003</v>
      </c>
      <c r="O214">
        <v>69.84</v>
      </c>
      <c r="P214">
        <v>41.68</v>
      </c>
      <c r="Q214">
        <v>81.790000000000006</v>
      </c>
      <c r="R214" s="21">
        <v>86.869451999999995</v>
      </c>
    </row>
    <row r="215" spans="7:18" x14ac:dyDescent="0.15">
      <c r="G215" s="11">
        <v>214</v>
      </c>
      <c r="H215" s="10" t="s">
        <v>683</v>
      </c>
      <c r="I215" t="s">
        <v>814</v>
      </c>
      <c r="J215" t="s">
        <v>1288</v>
      </c>
      <c r="K215">
        <v>-3.36</v>
      </c>
      <c r="L215">
        <v>5.6</v>
      </c>
      <c r="M215">
        <v>12.79</v>
      </c>
      <c r="N215" s="20">
        <v>0</v>
      </c>
      <c r="O215">
        <v>69.7</v>
      </c>
      <c r="P215">
        <v>88.62</v>
      </c>
      <c r="Q215">
        <v>34.71</v>
      </c>
      <c r="R215" s="21">
        <v>65505.686199999996</v>
      </c>
    </row>
    <row r="216" spans="7:18" x14ac:dyDescent="0.15">
      <c r="G216" s="11">
        <v>215</v>
      </c>
      <c r="H216" s="10" t="s">
        <v>738</v>
      </c>
      <c r="I216" t="s">
        <v>1076</v>
      </c>
      <c r="J216" t="s">
        <v>870</v>
      </c>
      <c r="K216">
        <v>2.23</v>
      </c>
      <c r="L216">
        <v>9.14</v>
      </c>
      <c r="M216">
        <v>11.61</v>
      </c>
      <c r="N216" s="20">
        <v>0</v>
      </c>
      <c r="O216">
        <v>69.56</v>
      </c>
      <c r="P216">
        <v>80.510000000000005</v>
      </c>
      <c r="Q216">
        <v>42.53</v>
      </c>
      <c r="R216" s="21">
        <v>123070.5468</v>
      </c>
    </row>
    <row r="217" spans="7:18" x14ac:dyDescent="0.15">
      <c r="G217" s="11">
        <v>216</v>
      </c>
      <c r="H217" s="10" t="s">
        <v>430</v>
      </c>
      <c r="I217" t="s">
        <v>951</v>
      </c>
      <c r="J217" t="s">
        <v>870</v>
      </c>
      <c r="K217">
        <v>4.4400000000000004</v>
      </c>
      <c r="L217">
        <v>6.15</v>
      </c>
      <c r="M217">
        <v>8.07</v>
      </c>
      <c r="N217" s="20">
        <v>-0.15</v>
      </c>
      <c r="O217">
        <v>69.42</v>
      </c>
      <c r="P217">
        <v>52.63</v>
      </c>
      <c r="Q217">
        <v>69.989999999999995</v>
      </c>
      <c r="R217" s="21">
        <v>934.8322326</v>
      </c>
    </row>
    <row r="218" spans="7:18" x14ac:dyDescent="0.15">
      <c r="G218" s="11">
        <v>217</v>
      </c>
      <c r="H218" s="10" t="s">
        <v>311</v>
      </c>
      <c r="I218" t="s">
        <v>959</v>
      </c>
      <c r="J218" t="s">
        <v>870</v>
      </c>
      <c r="K218">
        <v>3.29</v>
      </c>
      <c r="L218">
        <v>9.85</v>
      </c>
      <c r="M218">
        <v>8.14</v>
      </c>
      <c r="N218" s="20">
        <v>-0.14000000000000001</v>
      </c>
      <c r="O218">
        <v>69.27</v>
      </c>
      <c r="P218">
        <v>53.49</v>
      </c>
      <c r="Q218">
        <v>68.989999999999995</v>
      </c>
      <c r="R218" s="21">
        <v>1372.6819</v>
      </c>
    </row>
    <row r="219" spans="7:18" x14ac:dyDescent="0.15">
      <c r="G219" s="11">
        <v>218</v>
      </c>
      <c r="H219" s="10" t="s">
        <v>577</v>
      </c>
      <c r="I219" t="s">
        <v>964</v>
      </c>
      <c r="J219" t="s">
        <v>870</v>
      </c>
      <c r="K219">
        <v>2.4700000000000002</v>
      </c>
      <c r="L219">
        <v>4.59</v>
      </c>
      <c r="M219">
        <v>11.58</v>
      </c>
      <c r="N219" s="20">
        <v>0</v>
      </c>
      <c r="O219">
        <v>69.13</v>
      </c>
      <c r="P219">
        <v>79.8</v>
      </c>
      <c r="Q219">
        <v>42.67</v>
      </c>
      <c r="R219" s="21">
        <v>2661.1034</v>
      </c>
    </row>
    <row r="220" spans="7:18" x14ac:dyDescent="0.15">
      <c r="G220" s="11">
        <v>219</v>
      </c>
      <c r="H220" s="10" t="s">
        <v>309</v>
      </c>
      <c r="I220" t="s">
        <v>854</v>
      </c>
      <c r="J220" t="s">
        <v>833</v>
      </c>
      <c r="K220">
        <v>-0.49</v>
      </c>
      <c r="L220">
        <v>-0.17</v>
      </c>
      <c r="M220">
        <v>4.24</v>
      </c>
      <c r="N220" s="20">
        <v>-2.69</v>
      </c>
      <c r="O220">
        <v>68.989999999999995</v>
      </c>
      <c r="P220">
        <v>24.47</v>
      </c>
      <c r="Q220">
        <v>97.87</v>
      </c>
      <c r="R220" s="21">
        <v>143.04751869999998</v>
      </c>
    </row>
    <row r="221" spans="7:18" x14ac:dyDescent="0.15">
      <c r="G221" s="11">
        <v>220</v>
      </c>
      <c r="H221" s="10" t="s">
        <v>637</v>
      </c>
      <c r="I221" t="s">
        <v>1079</v>
      </c>
      <c r="J221" t="s">
        <v>870</v>
      </c>
      <c r="K221">
        <v>2.62</v>
      </c>
      <c r="L221">
        <v>2.4500000000000002</v>
      </c>
      <c r="M221">
        <v>8.75</v>
      </c>
      <c r="N221" s="20">
        <v>-0.11</v>
      </c>
      <c r="O221">
        <v>68.849999999999994</v>
      </c>
      <c r="P221">
        <v>59.74</v>
      </c>
      <c r="Q221">
        <v>62.45</v>
      </c>
      <c r="R221" s="21">
        <v>3273.9477000000002</v>
      </c>
    </row>
    <row r="222" spans="7:18" x14ac:dyDescent="0.15">
      <c r="G222" s="11">
        <v>221</v>
      </c>
      <c r="H222" s="10" t="s">
        <v>522</v>
      </c>
      <c r="I222" t="s">
        <v>1018</v>
      </c>
      <c r="J222" t="s">
        <v>870</v>
      </c>
      <c r="K222">
        <v>3.55</v>
      </c>
      <c r="L222">
        <v>8.5</v>
      </c>
      <c r="M222">
        <v>13.46</v>
      </c>
      <c r="N222" s="20">
        <v>0.09</v>
      </c>
      <c r="O222">
        <v>68.709999999999994</v>
      </c>
      <c r="P222">
        <v>91.32</v>
      </c>
      <c r="Q222">
        <v>30.01</v>
      </c>
      <c r="R222" s="21">
        <v>1956.7572</v>
      </c>
    </row>
    <row r="223" spans="7:18" x14ac:dyDescent="0.15">
      <c r="G223" s="11">
        <v>222</v>
      </c>
      <c r="H223" s="10" t="s">
        <v>761</v>
      </c>
      <c r="I223" t="s">
        <v>1166</v>
      </c>
      <c r="J223" t="s">
        <v>870</v>
      </c>
      <c r="K223">
        <v>-0.4</v>
      </c>
      <c r="L223">
        <v>3.37</v>
      </c>
      <c r="M223">
        <v>6.76</v>
      </c>
      <c r="N223" s="20">
        <v>-0.27</v>
      </c>
      <c r="O223">
        <v>68.56</v>
      </c>
      <c r="P223">
        <v>39.69</v>
      </c>
      <c r="Q223">
        <v>81.37</v>
      </c>
      <c r="R223" s="21">
        <v>66697.911800000002</v>
      </c>
    </row>
    <row r="224" spans="7:18" x14ac:dyDescent="0.15">
      <c r="G224" s="11">
        <v>223</v>
      </c>
      <c r="H224" s="10" t="s">
        <v>624</v>
      </c>
      <c r="I224" t="s">
        <v>1012</v>
      </c>
      <c r="J224" t="s">
        <v>870</v>
      </c>
      <c r="K224">
        <v>1.65</v>
      </c>
      <c r="L224">
        <v>4.51</v>
      </c>
      <c r="M224">
        <v>11.57</v>
      </c>
      <c r="N224" s="20">
        <v>0</v>
      </c>
      <c r="O224">
        <v>68.42</v>
      </c>
      <c r="P224">
        <v>79.66</v>
      </c>
      <c r="Q224">
        <v>41.39</v>
      </c>
      <c r="R224" s="21">
        <v>1654.75262</v>
      </c>
    </row>
    <row r="225" spans="7:18" x14ac:dyDescent="0.15">
      <c r="G225" s="11">
        <v>224</v>
      </c>
      <c r="H225" s="10" t="s">
        <v>342</v>
      </c>
      <c r="I225" t="s">
        <v>1002</v>
      </c>
      <c r="J225" t="s">
        <v>870</v>
      </c>
      <c r="K225">
        <v>2.4700000000000002</v>
      </c>
      <c r="L225">
        <v>9.4499999999999993</v>
      </c>
      <c r="M225">
        <v>12.61</v>
      </c>
      <c r="N225" s="20">
        <v>0</v>
      </c>
      <c r="O225">
        <v>68.28</v>
      </c>
      <c r="P225">
        <v>86.91</v>
      </c>
      <c r="Q225">
        <v>34</v>
      </c>
      <c r="R225" s="21">
        <v>4100.5781141999996</v>
      </c>
    </row>
    <row r="226" spans="7:18" x14ac:dyDescent="0.15">
      <c r="G226" s="11">
        <v>225</v>
      </c>
      <c r="H226" s="10" t="s">
        <v>591</v>
      </c>
      <c r="I226" t="s">
        <v>992</v>
      </c>
      <c r="J226" t="s">
        <v>870</v>
      </c>
      <c r="K226">
        <v>2.52</v>
      </c>
      <c r="L226">
        <v>8.15</v>
      </c>
      <c r="M226">
        <v>11.44</v>
      </c>
      <c r="N226" s="20">
        <v>0</v>
      </c>
      <c r="O226">
        <v>68.14</v>
      </c>
      <c r="P226">
        <v>78.81</v>
      </c>
      <c r="Q226">
        <v>41.82</v>
      </c>
      <c r="R226" s="21">
        <v>1316.0025000000001</v>
      </c>
    </row>
    <row r="227" spans="7:18" x14ac:dyDescent="0.15">
      <c r="G227" s="11">
        <v>226</v>
      </c>
      <c r="H227" s="10" t="s">
        <v>1629</v>
      </c>
      <c r="I227" t="s">
        <v>1630</v>
      </c>
      <c r="J227" t="s">
        <v>1688</v>
      </c>
      <c r="K227">
        <v>0.88</v>
      </c>
      <c r="L227">
        <v>1.89</v>
      </c>
      <c r="M227">
        <v>8.0399999999999991</v>
      </c>
      <c r="N227" s="20">
        <v>-0.14000000000000001</v>
      </c>
      <c r="O227">
        <v>67.989999999999995</v>
      </c>
      <c r="P227">
        <v>52.06</v>
      </c>
      <c r="Q227">
        <v>68.56</v>
      </c>
      <c r="R227" s="21">
        <v>42.539000000000001</v>
      </c>
    </row>
    <row r="228" spans="7:18" x14ac:dyDescent="0.15">
      <c r="G228" s="11">
        <v>227</v>
      </c>
      <c r="H228" s="10" t="s">
        <v>761</v>
      </c>
      <c r="I228" t="s">
        <v>1311</v>
      </c>
      <c r="J228" t="s">
        <v>1288</v>
      </c>
      <c r="K228">
        <v>-0.4</v>
      </c>
      <c r="L228">
        <v>3.37</v>
      </c>
      <c r="M228">
        <v>6.76</v>
      </c>
      <c r="N228" s="20">
        <v>-0.27</v>
      </c>
      <c r="O228">
        <v>67.849999999999994</v>
      </c>
      <c r="P228">
        <v>39.54</v>
      </c>
      <c r="Q228">
        <v>81.08</v>
      </c>
      <c r="R228" s="21">
        <v>66697.911800000002</v>
      </c>
    </row>
    <row r="229" spans="7:18" x14ac:dyDescent="0.15">
      <c r="G229" s="11">
        <v>228</v>
      </c>
      <c r="H229" s="10" t="s">
        <v>552</v>
      </c>
      <c r="I229" t="s">
        <v>903</v>
      </c>
      <c r="J229" t="s">
        <v>870</v>
      </c>
      <c r="K229">
        <v>1.97</v>
      </c>
      <c r="L229">
        <v>4.87</v>
      </c>
      <c r="M229">
        <v>9.23</v>
      </c>
      <c r="N229" s="20">
        <v>-0.06</v>
      </c>
      <c r="O229">
        <v>67.709999999999994</v>
      </c>
      <c r="P229">
        <v>65.72</v>
      </c>
      <c r="Q229">
        <v>54.77</v>
      </c>
      <c r="R229" s="21">
        <v>748.38699999999994</v>
      </c>
    </row>
    <row r="230" spans="7:18" x14ac:dyDescent="0.15">
      <c r="G230" s="11">
        <v>229</v>
      </c>
      <c r="H230" s="10" t="s">
        <v>571</v>
      </c>
      <c r="I230" t="s">
        <v>954</v>
      </c>
      <c r="J230" t="s">
        <v>870</v>
      </c>
      <c r="K230">
        <v>-0.27</v>
      </c>
      <c r="L230">
        <v>2.98</v>
      </c>
      <c r="M230">
        <v>6.13</v>
      </c>
      <c r="N230" s="20">
        <v>-0.38</v>
      </c>
      <c r="O230">
        <v>67.569999999999993</v>
      </c>
      <c r="P230">
        <v>34.42</v>
      </c>
      <c r="Q230">
        <v>85.92</v>
      </c>
      <c r="R230" s="21">
        <v>820.66309999999999</v>
      </c>
    </row>
    <row r="231" spans="7:18" x14ac:dyDescent="0.15">
      <c r="G231" s="11">
        <v>230</v>
      </c>
      <c r="H231" s="10" t="s">
        <v>1433</v>
      </c>
      <c r="I231" t="s">
        <v>1434</v>
      </c>
      <c r="J231" t="s">
        <v>1688</v>
      </c>
      <c r="K231">
        <v>0.4</v>
      </c>
      <c r="L231">
        <v>3.19</v>
      </c>
      <c r="M231">
        <v>8.51</v>
      </c>
      <c r="N231" s="20">
        <v>-0.11</v>
      </c>
      <c r="O231">
        <v>67.430000000000007</v>
      </c>
      <c r="P231">
        <v>57.89</v>
      </c>
      <c r="Q231">
        <v>62.3</v>
      </c>
      <c r="R231" s="21">
        <v>286.27789000000001</v>
      </c>
    </row>
    <row r="232" spans="7:18" x14ac:dyDescent="0.15">
      <c r="G232" s="11">
        <v>231</v>
      </c>
      <c r="H232" s="10" t="s">
        <v>1502</v>
      </c>
      <c r="I232" t="s">
        <v>1503</v>
      </c>
      <c r="J232" t="s">
        <v>1688</v>
      </c>
      <c r="K232">
        <v>4.63</v>
      </c>
      <c r="L232">
        <v>9.65</v>
      </c>
      <c r="M232">
        <v>14.66</v>
      </c>
      <c r="N232" s="20">
        <v>0.11</v>
      </c>
      <c r="O232">
        <v>67.28</v>
      </c>
      <c r="P232">
        <v>92.89</v>
      </c>
      <c r="Q232">
        <v>27.17</v>
      </c>
      <c r="R232" s="21">
        <v>1389.8441</v>
      </c>
    </row>
    <row r="233" spans="7:18" x14ac:dyDescent="0.15">
      <c r="G233" s="11">
        <v>232</v>
      </c>
      <c r="H233" s="10" t="s">
        <v>485</v>
      </c>
      <c r="I233" t="s">
        <v>944</v>
      </c>
      <c r="J233" t="s">
        <v>870</v>
      </c>
      <c r="K233">
        <v>3.05</v>
      </c>
      <c r="L233">
        <v>6.94</v>
      </c>
      <c r="M233">
        <v>12.04</v>
      </c>
      <c r="N233" s="20">
        <v>0</v>
      </c>
      <c r="O233">
        <v>67.14</v>
      </c>
      <c r="P233">
        <v>84.07</v>
      </c>
      <c r="Q233">
        <v>35.28</v>
      </c>
      <c r="R233" s="21">
        <v>377.39850000000001</v>
      </c>
    </row>
    <row r="234" spans="7:18" x14ac:dyDescent="0.15">
      <c r="G234" s="11">
        <v>233</v>
      </c>
      <c r="H234" s="10" t="s">
        <v>1341</v>
      </c>
      <c r="I234" t="s">
        <v>1342</v>
      </c>
      <c r="J234" t="s">
        <v>1688</v>
      </c>
      <c r="K234">
        <v>2.37</v>
      </c>
      <c r="L234">
        <v>4.29</v>
      </c>
      <c r="M234">
        <v>11.2</v>
      </c>
      <c r="N234" s="20">
        <v>0</v>
      </c>
      <c r="O234">
        <v>67</v>
      </c>
      <c r="P234">
        <v>76.81</v>
      </c>
      <c r="Q234">
        <v>42.39</v>
      </c>
      <c r="R234" s="21">
        <v>2259.01442</v>
      </c>
    </row>
    <row r="235" spans="7:18" x14ac:dyDescent="0.15">
      <c r="G235" s="11">
        <v>234</v>
      </c>
      <c r="H235" s="10" t="s">
        <v>1347</v>
      </c>
      <c r="I235" t="s">
        <v>1348</v>
      </c>
      <c r="J235" t="s">
        <v>1688</v>
      </c>
      <c r="K235">
        <v>2.38</v>
      </c>
      <c r="L235">
        <v>4.3</v>
      </c>
      <c r="M235">
        <v>11.27</v>
      </c>
      <c r="N235" s="20">
        <v>0</v>
      </c>
      <c r="O235">
        <v>66.86</v>
      </c>
      <c r="P235">
        <v>77.52</v>
      </c>
      <c r="Q235">
        <v>41.54</v>
      </c>
      <c r="R235" s="21">
        <v>842.8130574999999</v>
      </c>
    </row>
    <row r="236" spans="7:18" x14ac:dyDescent="0.15">
      <c r="G236" s="11">
        <v>235</v>
      </c>
      <c r="H236" s="10" t="s">
        <v>589</v>
      </c>
      <c r="I236" t="s">
        <v>1115</v>
      </c>
      <c r="J236" t="s">
        <v>870</v>
      </c>
      <c r="K236">
        <v>1.27</v>
      </c>
      <c r="L236">
        <v>4.46</v>
      </c>
      <c r="M236">
        <v>6.32</v>
      </c>
      <c r="N236" s="20">
        <v>-0.28999999999999998</v>
      </c>
      <c r="O236">
        <v>66.709999999999994</v>
      </c>
      <c r="P236">
        <v>36.270000000000003</v>
      </c>
      <c r="Q236">
        <v>82.79</v>
      </c>
      <c r="R236" s="21">
        <v>8750.4604999999992</v>
      </c>
    </row>
    <row r="237" spans="7:18" x14ac:dyDescent="0.15">
      <c r="G237" s="11">
        <v>236</v>
      </c>
      <c r="H237" s="10" t="s">
        <v>497</v>
      </c>
      <c r="I237" t="s">
        <v>1161</v>
      </c>
      <c r="J237" t="s">
        <v>870</v>
      </c>
      <c r="K237">
        <v>1.29</v>
      </c>
      <c r="L237">
        <v>5.0199999999999996</v>
      </c>
      <c r="M237">
        <v>7.75</v>
      </c>
      <c r="N237" s="20">
        <v>-0.15</v>
      </c>
      <c r="O237">
        <v>66.569999999999993</v>
      </c>
      <c r="P237">
        <v>48.93</v>
      </c>
      <c r="Q237">
        <v>69.84</v>
      </c>
      <c r="R237" s="21">
        <v>37195.700124800002</v>
      </c>
    </row>
    <row r="238" spans="7:18" x14ac:dyDescent="0.15">
      <c r="G238" s="11">
        <v>237</v>
      </c>
      <c r="H238" s="10" t="s">
        <v>752</v>
      </c>
      <c r="I238" t="s">
        <v>1076</v>
      </c>
      <c r="J238" t="s">
        <v>870</v>
      </c>
      <c r="K238">
        <v>2.2000000000000002</v>
      </c>
      <c r="L238">
        <v>8.9700000000000006</v>
      </c>
      <c r="M238">
        <v>11.4</v>
      </c>
      <c r="N238" s="20">
        <v>0</v>
      </c>
      <c r="O238">
        <v>66.430000000000007</v>
      </c>
      <c r="P238">
        <v>78.38</v>
      </c>
      <c r="Q238">
        <v>40.26</v>
      </c>
      <c r="R238" s="21">
        <v>4694.6842170999998</v>
      </c>
    </row>
    <row r="239" spans="7:18" x14ac:dyDescent="0.15">
      <c r="G239" s="11">
        <v>238</v>
      </c>
      <c r="H239" s="10" t="s">
        <v>549</v>
      </c>
      <c r="I239" t="s">
        <v>1145</v>
      </c>
      <c r="J239" t="s">
        <v>870</v>
      </c>
      <c r="K239">
        <v>3.69</v>
      </c>
      <c r="L239">
        <v>7.75</v>
      </c>
      <c r="M239">
        <v>11.36</v>
      </c>
      <c r="N239" s="20">
        <v>0</v>
      </c>
      <c r="O239">
        <v>66.290000000000006</v>
      </c>
      <c r="P239">
        <v>77.95</v>
      </c>
      <c r="Q239">
        <v>40.54</v>
      </c>
      <c r="R239" s="21">
        <v>13978.458038699999</v>
      </c>
    </row>
    <row r="240" spans="7:18" x14ac:dyDescent="0.15">
      <c r="G240" s="11">
        <v>239</v>
      </c>
      <c r="H240" s="10" t="s">
        <v>600</v>
      </c>
      <c r="I240" t="s">
        <v>1069</v>
      </c>
      <c r="J240" t="s">
        <v>870</v>
      </c>
      <c r="K240">
        <v>1.38</v>
      </c>
      <c r="L240">
        <v>3.35</v>
      </c>
      <c r="M240">
        <v>7.72</v>
      </c>
      <c r="N240" s="20">
        <v>-0.16</v>
      </c>
      <c r="O240">
        <v>66.150000000000006</v>
      </c>
      <c r="P240">
        <v>48.36</v>
      </c>
      <c r="Q240">
        <v>70.13</v>
      </c>
      <c r="R240" s="21">
        <v>4036.1940204000002</v>
      </c>
    </row>
    <row r="241" spans="7:18" x14ac:dyDescent="0.15">
      <c r="G241" s="11">
        <v>240</v>
      </c>
      <c r="H241" s="10" t="s">
        <v>332</v>
      </c>
      <c r="I241" t="s">
        <v>1001</v>
      </c>
      <c r="J241" t="s">
        <v>870</v>
      </c>
      <c r="K241">
        <v>3.27</v>
      </c>
      <c r="L241">
        <v>9.73</v>
      </c>
      <c r="M241">
        <v>7.97</v>
      </c>
      <c r="N241" s="20">
        <v>-0.13</v>
      </c>
      <c r="O241">
        <v>66</v>
      </c>
      <c r="P241">
        <v>51.35</v>
      </c>
      <c r="Q241">
        <v>67</v>
      </c>
      <c r="R241" s="21">
        <v>1371.8135199999999</v>
      </c>
    </row>
    <row r="242" spans="7:18" x14ac:dyDescent="0.15">
      <c r="G242" s="11">
        <v>241</v>
      </c>
      <c r="H242" s="10" t="s">
        <v>356</v>
      </c>
      <c r="I242" t="s">
        <v>1064</v>
      </c>
      <c r="J242" t="s">
        <v>870</v>
      </c>
      <c r="K242">
        <v>1.33</v>
      </c>
      <c r="L242">
        <v>4.91</v>
      </c>
      <c r="M242">
        <v>7.77</v>
      </c>
      <c r="N242" s="20">
        <v>-0.14000000000000001</v>
      </c>
      <c r="O242">
        <v>65.86</v>
      </c>
      <c r="P242">
        <v>49.5</v>
      </c>
      <c r="Q242">
        <v>68.42</v>
      </c>
      <c r="R242" s="21">
        <v>4294.6531000000004</v>
      </c>
    </row>
    <row r="243" spans="7:18" x14ac:dyDescent="0.15">
      <c r="G243" s="11">
        <v>242</v>
      </c>
      <c r="H243" s="10" t="s">
        <v>398</v>
      </c>
      <c r="I243" t="s">
        <v>1088</v>
      </c>
      <c r="J243" t="s">
        <v>870</v>
      </c>
      <c r="K243">
        <v>1.26</v>
      </c>
      <c r="L243">
        <v>4.96</v>
      </c>
      <c r="M243">
        <v>7.66</v>
      </c>
      <c r="N243" s="20">
        <v>-0.15</v>
      </c>
      <c r="O243">
        <v>65.72</v>
      </c>
      <c r="P243">
        <v>47.94</v>
      </c>
      <c r="Q243">
        <v>69.56</v>
      </c>
      <c r="R243" s="21">
        <v>5198.5209999999997</v>
      </c>
    </row>
    <row r="244" spans="7:18" x14ac:dyDescent="0.15">
      <c r="G244" s="11">
        <v>243</v>
      </c>
      <c r="H244" s="10" t="s">
        <v>288</v>
      </c>
      <c r="I244" t="s">
        <v>1215</v>
      </c>
      <c r="J244" t="s">
        <v>1213</v>
      </c>
      <c r="K244">
        <v>-13.97</v>
      </c>
      <c r="L244">
        <v>-10.94</v>
      </c>
      <c r="M244">
        <v>2.56</v>
      </c>
      <c r="N244" s="20">
        <v>-6.26</v>
      </c>
      <c r="O244">
        <v>65.58</v>
      </c>
      <c r="P244">
        <v>17.64</v>
      </c>
      <c r="Q244">
        <v>99.72</v>
      </c>
      <c r="R244" s="21">
        <v>11074.1334914</v>
      </c>
    </row>
    <row r="245" spans="7:18" x14ac:dyDescent="0.15">
      <c r="G245" s="11">
        <v>244</v>
      </c>
      <c r="H245" s="10" t="s">
        <v>380</v>
      </c>
      <c r="I245" t="s">
        <v>975</v>
      </c>
      <c r="J245" t="s">
        <v>870</v>
      </c>
      <c r="K245">
        <v>-1.43</v>
      </c>
      <c r="L245">
        <v>6.17</v>
      </c>
      <c r="M245">
        <v>12.49</v>
      </c>
      <c r="N245" s="20">
        <v>0.08</v>
      </c>
      <c r="O245">
        <v>65.430000000000007</v>
      </c>
      <c r="P245">
        <v>86.06</v>
      </c>
      <c r="Q245">
        <v>30.87</v>
      </c>
      <c r="R245" s="21">
        <v>1039.2431999999999</v>
      </c>
    </row>
    <row r="246" spans="7:18" x14ac:dyDescent="0.15">
      <c r="G246" s="11">
        <v>245</v>
      </c>
      <c r="H246" s="10" t="s">
        <v>1584</v>
      </c>
      <c r="I246" t="s">
        <v>1585</v>
      </c>
      <c r="J246" t="s">
        <v>1688</v>
      </c>
      <c r="K246">
        <v>-2.84</v>
      </c>
      <c r="L246">
        <v>0.2</v>
      </c>
      <c r="M246">
        <v>4.33</v>
      </c>
      <c r="N246" s="20">
        <v>-0.62</v>
      </c>
      <c r="O246">
        <v>65.290000000000006</v>
      </c>
      <c r="P246">
        <v>24.89</v>
      </c>
      <c r="Q246">
        <v>91.61</v>
      </c>
      <c r="R246" s="21">
        <v>585.60929999999996</v>
      </c>
    </row>
    <row r="247" spans="7:18" x14ac:dyDescent="0.15">
      <c r="G247" s="11">
        <v>246</v>
      </c>
      <c r="H247" s="10" t="s">
        <v>1536</v>
      </c>
      <c r="I247" t="s">
        <v>1537</v>
      </c>
      <c r="J247" t="s">
        <v>1688</v>
      </c>
      <c r="K247">
        <v>-1.1200000000000001</v>
      </c>
      <c r="L247">
        <v>3.19</v>
      </c>
      <c r="M247">
        <v>7.77</v>
      </c>
      <c r="N247" s="20">
        <v>-0.13</v>
      </c>
      <c r="O247">
        <v>65.150000000000006</v>
      </c>
      <c r="P247">
        <v>49.64</v>
      </c>
      <c r="Q247">
        <v>66.86</v>
      </c>
      <c r="R247" s="21">
        <v>411.16441000000003</v>
      </c>
    </row>
    <row r="248" spans="7:18" x14ac:dyDescent="0.15">
      <c r="G248" s="11">
        <v>247</v>
      </c>
      <c r="H248" s="10" t="s">
        <v>396</v>
      </c>
      <c r="I248" t="s">
        <v>1067</v>
      </c>
      <c r="J248" t="s">
        <v>870</v>
      </c>
      <c r="K248">
        <v>3.64</v>
      </c>
      <c r="L248">
        <v>8.6</v>
      </c>
      <c r="M248">
        <v>8.94</v>
      </c>
      <c r="N248" s="20">
        <v>-0.06</v>
      </c>
      <c r="O248">
        <v>65.010000000000005</v>
      </c>
      <c r="P248">
        <v>61.88</v>
      </c>
      <c r="Q248">
        <v>54.48</v>
      </c>
      <c r="R248" s="21">
        <v>4835.7564600000005</v>
      </c>
    </row>
    <row r="249" spans="7:18" x14ac:dyDescent="0.15">
      <c r="G249" s="11">
        <v>248</v>
      </c>
      <c r="H249" s="10" t="s">
        <v>727</v>
      </c>
      <c r="I249" t="s">
        <v>913</v>
      </c>
      <c r="J249" t="s">
        <v>870</v>
      </c>
      <c r="K249">
        <v>1.39</v>
      </c>
      <c r="L249">
        <v>5.72</v>
      </c>
      <c r="M249">
        <v>7.93</v>
      </c>
      <c r="N249" s="20">
        <v>-0.12</v>
      </c>
      <c r="O249">
        <v>64.86</v>
      </c>
      <c r="P249">
        <v>51.07</v>
      </c>
      <c r="Q249">
        <v>65.150000000000006</v>
      </c>
      <c r="R249" s="21">
        <v>196.46680000000001</v>
      </c>
    </row>
    <row r="250" spans="7:18" x14ac:dyDescent="0.15">
      <c r="G250" s="11">
        <v>249</v>
      </c>
      <c r="H250" s="10" t="s">
        <v>673</v>
      </c>
      <c r="I250" t="s">
        <v>1050</v>
      </c>
      <c r="J250" t="s">
        <v>870</v>
      </c>
      <c r="K250">
        <v>1.73</v>
      </c>
      <c r="L250">
        <v>5.43</v>
      </c>
      <c r="M250">
        <v>8.1300000000000008</v>
      </c>
      <c r="N250" s="20">
        <v>-0.12</v>
      </c>
      <c r="O250">
        <v>64.72</v>
      </c>
      <c r="P250">
        <v>53.2</v>
      </c>
      <c r="Q250">
        <v>63.02</v>
      </c>
      <c r="R250" s="21">
        <v>1817.8396</v>
      </c>
    </row>
    <row r="251" spans="7:18" x14ac:dyDescent="0.15">
      <c r="G251" s="11">
        <v>250</v>
      </c>
      <c r="H251" s="10" t="s">
        <v>286</v>
      </c>
      <c r="I251" t="s">
        <v>20</v>
      </c>
      <c r="J251" t="s">
        <v>1213</v>
      </c>
      <c r="K251">
        <v>-2.25</v>
      </c>
      <c r="L251">
        <v>2.1</v>
      </c>
      <c r="M251">
        <v>3.64</v>
      </c>
      <c r="N251" s="20">
        <v>-0.85</v>
      </c>
      <c r="O251">
        <v>64.58</v>
      </c>
      <c r="P251">
        <v>21.76</v>
      </c>
      <c r="Q251">
        <v>94.31</v>
      </c>
      <c r="R251" s="21">
        <v>993.29148139999995</v>
      </c>
    </row>
    <row r="252" spans="7:18" x14ac:dyDescent="0.15">
      <c r="G252" s="11">
        <v>251</v>
      </c>
      <c r="H252" s="10" t="s">
        <v>607</v>
      </c>
      <c r="I252" t="s">
        <v>1147</v>
      </c>
      <c r="J252" t="s">
        <v>870</v>
      </c>
      <c r="K252">
        <v>1.41</v>
      </c>
      <c r="L252">
        <v>4.3</v>
      </c>
      <c r="M252">
        <v>8.9600000000000009</v>
      </c>
      <c r="N252" s="20">
        <v>-0.03</v>
      </c>
      <c r="O252">
        <v>64.44</v>
      </c>
      <c r="P252">
        <v>62.16</v>
      </c>
      <c r="Q252">
        <v>53.63</v>
      </c>
      <c r="R252" s="21">
        <v>15985.5189565</v>
      </c>
    </row>
    <row r="253" spans="7:18" x14ac:dyDescent="0.15">
      <c r="G253" s="11">
        <v>252</v>
      </c>
      <c r="H253" s="10" t="s">
        <v>1505</v>
      </c>
      <c r="I253" t="s">
        <v>1506</v>
      </c>
      <c r="J253" t="s">
        <v>1688</v>
      </c>
      <c r="K253">
        <v>2.29</v>
      </c>
      <c r="L253">
        <v>8.7799999999999994</v>
      </c>
      <c r="M253">
        <v>12.65</v>
      </c>
      <c r="N253" s="20">
        <v>0.1</v>
      </c>
      <c r="O253">
        <v>64.3</v>
      </c>
      <c r="P253">
        <v>87.2</v>
      </c>
      <c r="Q253">
        <v>28.31</v>
      </c>
      <c r="R253" s="21">
        <v>3746.3289</v>
      </c>
    </row>
    <row r="254" spans="7:18" x14ac:dyDescent="0.15">
      <c r="G254" s="11">
        <v>253</v>
      </c>
      <c r="H254" s="10" t="s">
        <v>1586</v>
      </c>
      <c r="I254" t="s">
        <v>1587</v>
      </c>
      <c r="J254" t="s">
        <v>1688</v>
      </c>
      <c r="K254">
        <v>-4.37</v>
      </c>
      <c r="L254">
        <v>0.65</v>
      </c>
      <c r="M254">
        <v>6.17</v>
      </c>
      <c r="N254" s="20">
        <v>-0.26</v>
      </c>
      <c r="O254">
        <v>64.150000000000006</v>
      </c>
      <c r="P254">
        <v>34.85</v>
      </c>
      <c r="Q254">
        <v>80.510000000000005</v>
      </c>
      <c r="R254" s="21">
        <v>195.53129999999999</v>
      </c>
    </row>
    <row r="255" spans="7:18" x14ac:dyDescent="0.15">
      <c r="G255" s="11">
        <v>254</v>
      </c>
      <c r="H255" s="10" t="s">
        <v>598</v>
      </c>
      <c r="I255" t="s">
        <v>1082</v>
      </c>
      <c r="J255" t="s">
        <v>870</v>
      </c>
      <c r="K255">
        <v>2.67</v>
      </c>
      <c r="L255">
        <v>7.22</v>
      </c>
      <c r="M255">
        <v>12.86</v>
      </c>
      <c r="N255" s="20">
        <v>0.12</v>
      </c>
      <c r="O255">
        <v>64.010000000000005</v>
      </c>
      <c r="P255">
        <v>89.62</v>
      </c>
      <c r="Q255">
        <v>25.6</v>
      </c>
      <c r="R255" s="21">
        <v>5350.9877999999999</v>
      </c>
    </row>
    <row r="256" spans="7:18" x14ac:dyDescent="0.15">
      <c r="G256" s="11">
        <v>255</v>
      </c>
      <c r="H256" s="10" t="s">
        <v>559</v>
      </c>
      <c r="I256" t="s">
        <v>1129</v>
      </c>
      <c r="J256" t="s">
        <v>870</v>
      </c>
      <c r="K256">
        <v>2.65</v>
      </c>
      <c r="L256">
        <v>7.3</v>
      </c>
      <c r="M256">
        <v>12.97</v>
      </c>
      <c r="N256" s="20">
        <v>0.13</v>
      </c>
      <c r="O256">
        <v>63.87</v>
      </c>
      <c r="P256">
        <v>90.33</v>
      </c>
      <c r="Q256">
        <v>24.61</v>
      </c>
      <c r="R256" s="21">
        <v>12243.207200000001</v>
      </c>
    </row>
    <row r="257" spans="7:18" x14ac:dyDescent="0.15">
      <c r="G257" s="11">
        <v>256</v>
      </c>
      <c r="H257" s="10" t="s">
        <v>391</v>
      </c>
      <c r="I257" t="s">
        <v>1245</v>
      </c>
      <c r="J257" t="s">
        <v>1242</v>
      </c>
      <c r="K257">
        <v>0.08</v>
      </c>
      <c r="L257">
        <v>2.68</v>
      </c>
      <c r="M257">
        <v>6.65</v>
      </c>
      <c r="N257" s="20">
        <v>-0.21</v>
      </c>
      <c r="O257">
        <v>63.73</v>
      </c>
      <c r="P257">
        <v>38.549999999999997</v>
      </c>
      <c r="Q257">
        <v>76.239999999999995</v>
      </c>
      <c r="R257" s="21">
        <v>123.44629999999999</v>
      </c>
    </row>
    <row r="258" spans="7:18" x14ac:dyDescent="0.15">
      <c r="G258" s="11">
        <v>257</v>
      </c>
      <c r="H258" s="10" t="s">
        <v>1472</v>
      </c>
      <c r="I258" t="s">
        <v>1473</v>
      </c>
      <c r="J258" t="s">
        <v>1688</v>
      </c>
      <c r="K258">
        <v>1.74</v>
      </c>
      <c r="L258">
        <v>5.73</v>
      </c>
      <c r="M258">
        <v>8.7100000000000009</v>
      </c>
      <c r="N258" s="20">
        <v>-7.0000000000000007E-2</v>
      </c>
      <c r="O258">
        <v>63.58</v>
      </c>
      <c r="P258">
        <v>59.17</v>
      </c>
      <c r="Q258">
        <v>55.05</v>
      </c>
      <c r="R258" s="21">
        <v>1102.9629</v>
      </c>
    </row>
    <row r="259" spans="7:18" x14ac:dyDescent="0.15">
      <c r="G259" s="11">
        <v>258</v>
      </c>
      <c r="H259" s="10" t="s">
        <v>587</v>
      </c>
      <c r="I259" t="s">
        <v>1059</v>
      </c>
      <c r="J259" t="s">
        <v>870</v>
      </c>
      <c r="K259">
        <v>3.35</v>
      </c>
      <c r="L259">
        <v>7.02</v>
      </c>
      <c r="M259">
        <v>11.11</v>
      </c>
      <c r="N259" s="20">
        <v>0</v>
      </c>
      <c r="O259">
        <v>63.44</v>
      </c>
      <c r="P259">
        <v>76.099999999999994</v>
      </c>
      <c r="Q259">
        <v>38.119999999999997</v>
      </c>
      <c r="R259" s="21">
        <v>3714.7678999999998</v>
      </c>
    </row>
    <row r="260" spans="7:18" x14ac:dyDescent="0.15">
      <c r="G260" s="11">
        <v>259</v>
      </c>
      <c r="H260" s="10" t="s">
        <v>537</v>
      </c>
      <c r="I260" t="s">
        <v>1068</v>
      </c>
      <c r="J260" t="s">
        <v>870</v>
      </c>
      <c r="K260">
        <v>1.24</v>
      </c>
      <c r="L260">
        <v>4.21</v>
      </c>
      <c r="M260">
        <v>8.89</v>
      </c>
      <c r="N260" s="20">
        <v>-0.01</v>
      </c>
      <c r="O260">
        <v>63.3</v>
      </c>
      <c r="P260">
        <v>61.31</v>
      </c>
      <c r="Q260">
        <v>52.77</v>
      </c>
      <c r="R260" s="21">
        <v>1942.7721600000002</v>
      </c>
    </row>
    <row r="261" spans="7:18" x14ac:dyDescent="0.15">
      <c r="G261" s="11">
        <v>260</v>
      </c>
      <c r="H261" s="10" t="s">
        <v>529</v>
      </c>
      <c r="I261" t="s">
        <v>900</v>
      </c>
      <c r="J261" t="s">
        <v>870</v>
      </c>
      <c r="K261">
        <v>3.15</v>
      </c>
      <c r="L261">
        <v>7.07</v>
      </c>
      <c r="M261">
        <v>11.06</v>
      </c>
      <c r="N261" s="20">
        <v>0</v>
      </c>
      <c r="O261">
        <v>63.16</v>
      </c>
      <c r="P261">
        <v>75.53</v>
      </c>
      <c r="Q261">
        <v>38.549999999999997</v>
      </c>
      <c r="R261" s="21">
        <v>351.78370000000001</v>
      </c>
    </row>
    <row r="262" spans="7:18" x14ac:dyDescent="0.15">
      <c r="G262" s="11">
        <v>261</v>
      </c>
      <c r="H262" s="10" t="s">
        <v>758</v>
      </c>
      <c r="I262" t="s">
        <v>1173</v>
      </c>
      <c r="J262" t="s">
        <v>870</v>
      </c>
      <c r="K262">
        <v>-3.04</v>
      </c>
      <c r="L262">
        <v>1.31</v>
      </c>
      <c r="M262">
        <v>6.19</v>
      </c>
      <c r="N262" s="20">
        <v>-0.24</v>
      </c>
      <c r="O262">
        <v>63.02</v>
      </c>
      <c r="P262">
        <v>34.99</v>
      </c>
      <c r="Q262">
        <v>78.81</v>
      </c>
      <c r="R262" s="21">
        <v>48494.887199999997</v>
      </c>
    </row>
    <row r="263" spans="7:18" x14ac:dyDescent="0.15">
      <c r="G263" s="11">
        <v>262</v>
      </c>
      <c r="H263" s="10" t="s">
        <v>1560</v>
      </c>
      <c r="I263" t="s">
        <v>1561</v>
      </c>
      <c r="J263" t="s">
        <v>1688</v>
      </c>
      <c r="K263">
        <v>-1.35</v>
      </c>
      <c r="L263">
        <v>5.43</v>
      </c>
      <c r="M263">
        <v>11</v>
      </c>
      <c r="N263" s="20">
        <v>0</v>
      </c>
      <c r="O263">
        <v>62.87</v>
      </c>
      <c r="P263">
        <v>75.25</v>
      </c>
      <c r="Q263">
        <v>38.409999999999997</v>
      </c>
      <c r="R263" s="21">
        <v>18.683802400000001</v>
      </c>
    </row>
    <row r="264" spans="7:18" x14ac:dyDescent="0.15">
      <c r="G264" s="11">
        <v>263</v>
      </c>
      <c r="H264" s="10" t="s">
        <v>758</v>
      </c>
      <c r="I264" t="s">
        <v>1173</v>
      </c>
      <c r="J264" t="s">
        <v>1288</v>
      </c>
      <c r="K264">
        <v>-3.04</v>
      </c>
      <c r="L264">
        <v>1.31</v>
      </c>
      <c r="M264">
        <v>6.19</v>
      </c>
      <c r="N264" s="20">
        <v>-0.24</v>
      </c>
      <c r="O264">
        <v>62.73</v>
      </c>
      <c r="P264">
        <v>35.14</v>
      </c>
      <c r="Q264">
        <v>78.38</v>
      </c>
      <c r="R264" s="21">
        <v>48494.887199999997</v>
      </c>
    </row>
    <row r="265" spans="7:18" x14ac:dyDescent="0.15">
      <c r="G265" s="11">
        <v>264</v>
      </c>
      <c r="H265" s="10" t="s">
        <v>541</v>
      </c>
      <c r="I265" t="s">
        <v>17</v>
      </c>
      <c r="J265" t="s">
        <v>1688</v>
      </c>
      <c r="K265">
        <v>0.83</v>
      </c>
      <c r="L265">
        <v>2.16</v>
      </c>
      <c r="M265">
        <v>2.74</v>
      </c>
      <c r="N265" s="20">
        <v>-0.97</v>
      </c>
      <c r="O265">
        <v>62.59</v>
      </c>
      <c r="P265">
        <v>18.350000000000001</v>
      </c>
      <c r="Q265">
        <v>95.02</v>
      </c>
      <c r="R265" s="21">
        <v>30283.042799999999</v>
      </c>
    </row>
    <row r="266" spans="7:18" x14ac:dyDescent="0.15">
      <c r="G266" s="11">
        <v>265</v>
      </c>
      <c r="H266" s="10" t="s">
        <v>392</v>
      </c>
      <c r="I266" t="s">
        <v>1135</v>
      </c>
      <c r="J266" t="s">
        <v>870</v>
      </c>
      <c r="K266">
        <v>3.41</v>
      </c>
      <c r="L266">
        <v>12.48</v>
      </c>
      <c r="M266">
        <v>17.079999999999998</v>
      </c>
      <c r="N266" s="20">
        <v>0.23</v>
      </c>
      <c r="O266">
        <v>62.45</v>
      </c>
      <c r="P266">
        <v>96.59</v>
      </c>
      <c r="Q266">
        <v>16.64</v>
      </c>
      <c r="R266" s="21">
        <v>19638.130399999998</v>
      </c>
    </row>
    <row r="267" spans="7:18" x14ac:dyDescent="0.15">
      <c r="G267" s="11">
        <v>266</v>
      </c>
      <c r="H267" s="10" t="s">
        <v>616</v>
      </c>
      <c r="I267" t="s">
        <v>946</v>
      </c>
      <c r="J267" t="s">
        <v>870</v>
      </c>
      <c r="K267">
        <v>1.68</v>
      </c>
      <c r="L267">
        <v>5.24</v>
      </c>
      <c r="M267">
        <v>8.39</v>
      </c>
      <c r="N267" s="20">
        <v>-0.08</v>
      </c>
      <c r="O267">
        <v>62.3</v>
      </c>
      <c r="P267">
        <v>56.61</v>
      </c>
      <c r="Q267">
        <v>56.61</v>
      </c>
      <c r="R267" s="21">
        <v>1142.9289000000001</v>
      </c>
    </row>
    <row r="268" spans="7:18" x14ac:dyDescent="0.15">
      <c r="G268" s="11">
        <v>267</v>
      </c>
      <c r="H268" s="10" t="s">
        <v>648</v>
      </c>
      <c r="I268" t="s">
        <v>1165</v>
      </c>
      <c r="J268" t="s">
        <v>870</v>
      </c>
      <c r="K268">
        <v>1.67</v>
      </c>
      <c r="L268">
        <v>5.22</v>
      </c>
      <c r="M268">
        <v>7.7</v>
      </c>
      <c r="N268" s="20">
        <v>-0.12</v>
      </c>
      <c r="O268">
        <v>62.16</v>
      </c>
      <c r="P268">
        <v>48.08</v>
      </c>
      <c r="Q268">
        <v>65.010000000000005</v>
      </c>
      <c r="R268" s="21">
        <v>67464.256685400003</v>
      </c>
    </row>
    <row r="269" spans="7:18" x14ac:dyDescent="0.15">
      <c r="G269" s="11">
        <v>268</v>
      </c>
      <c r="H269" s="10" t="s">
        <v>763</v>
      </c>
      <c r="I269" t="s">
        <v>1314</v>
      </c>
      <c r="J269" t="s">
        <v>1288</v>
      </c>
      <c r="K269">
        <v>-4.16</v>
      </c>
      <c r="L269">
        <v>6.22</v>
      </c>
      <c r="M269">
        <v>14.9</v>
      </c>
      <c r="N269" s="20">
        <v>0.19</v>
      </c>
      <c r="O269">
        <v>62.02</v>
      </c>
      <c r="P269">
        <v>93.46</v>
      </c>
      <c r="Q269">
        <v>19.63</v>
      </c>
      <c r="R269" s="21">
        <v>412553.3248</v>
      </c>
    </row>
    <row r="270" spans="7:18" x14ac:dyDescent="0.15">
      <c r="G270" s="11">
        <v>269</v>
      </c>
      <c r="H270" s="10" t="s">
        <v>401</v>
      </c>
      <c r="I270" t="s">
        <v>1062</v>
      </c>
      <c r="J270" t="s">
        <v>870</v>
      </c>
      <c r="K270">
        <v>2.62</v>
      </c>
      <c r="L270">
        <v>6.95</v>
      </c>
      <c r="M270">
        <v>9.89</v>
      </c>
      <c r="N270" s="20">
        <v>0</v>
      </c>
      <c r="O270">
        <v>61.88</v>
      </c>
      <c r="P270">
        <v>69.989999999999995</v>
      </c>
      <c r="Q270">
        <v>42.82</v>
      </c>
      <c r="R270" s="21">
        <v>6559.8972000000003</v>
      </c>
    </row>
    <row r="271" spans="7:18" x14ac:dyDescent="0.15">
      <c r="G271" s="11">
        <v>270</v>
      </c>
      <c r="H271" s="10" t="s">
        <v>702</v>
      </c>
      <c r="I271" t="s">
        <v>1014</v>
      </c>
      <c r="J271" t="s">
        <v>870</v>
      </c>
      <c r="K271">
        <v>1.7</v>
      </c>
      <c r="L271">
        <v>5.0599999999999996</v>
      </c>
      <c r="M271">
        <v>10.52</v>
      </c>
      <c r="N271" s="20">
        <v>0</v>
      </c>
      <c r="O271">
        <v>61.74</v>
      </c>
      <c r="P271">
        <v>73.400000000000006</v>
      </c>
      <c r="Q271">
        <v>39.4</v>
      </c>
      <c r="R271" s="21">
        <v>946.65620999999999</v>
      </c>
    </row>
    <row r="272" spans="7:18" x14ac:dyDescent="0.15">
      <c r="G272" s="11">
        <v>271</v>
      </c>
      <c r="H272" s="10" t="s">
        <v>636</v>
      </c>
      <c r="I272" t="s">
        <v>1061</v>
      </c>
      <c r="J272" t="s">
        <v>870</v>
      </c>
      <c r="K272">
        <v>4.55</v>
      </c>
      <c r="L272">
        <v>6.61</v>
      </c>
      <c r="M272">
        <v>17.3</v>
      </c>
      <c r="N272" s="20">
        <v>0.25</v>
      </c>
      <c r="O272">
        <v>61.59</v>
      </c>
      <c r="P272">
        <v>97.01</v>
      </c>
      <c r="Q272">
        <v>15.65</v>
      </c>
      <c r="R272" s="21">
        <v>12252.2091</v>
      </c>
    </row>
    <row r="273" spans="7:18" x14ac:dyDescent="0.15">
      <c r="G273" s="11">
        <v>272</v>
      </c>
      <c r="H273" s="10" t="s">
        <v>658</v>
      </c>
      <c r="I273" t="s">
        <v>1090</v>
      </c>
      <c r="J273" t="s">
        <v>870</v>
      </c>
      <c r="K273">
        <v>1.19</v>
      </c>
      <c r="L273">
        <v>4.01</v>
      </c>
      <c r="M273">
        <v>8.59</v>
      </c>
      <c r="N273" s="20">
        <v>-0.05</v>
      </c>
      <c r="O273">
        <v>61.45</v>
      </c>
      <c r="P273">
        <v>58.32</v>
      </c>
      <c r="Q273">
        <v>54.2</v>
      </c>
      <c r="R273" s="21">
        <v>2580.14</v>
      </c>
    </row>
    <row r="274" spans="7:18" x14ac:dyDescent="0.15">
      <c r="G274" s="11">
        <v>273</v>
      </c>
      <c r="H274" s="10" t="s">
        <v>722</v>
      </c>
      <c r="I274" t="s">
        <v>1072</v>
      </c>
      <c r="J274" t="s">
        <v>870</v>
      </c>
      <c r="K274">
        <v>1.83</v>
      </c>
      <c r="L274">
        <v>5.0999999999999996</v>
      </c>
      <c r="M274">
        <v>10.58</v>
      </c>
      <c r="N274" s="20">
        <v>0</v>
      </c>
      <c r="O274">
        <v>61.31</v>
      </c>
      <c r="P274">
        <v>73.680000000000007</v>
      </c>
      <c r="Q274">
        <v>38.83</v>
      </c>
      <c r="R274" s="21">
        <v>8795.2257000000009</v>
      </c>
    </row>
    <row r="275" spans="7:18" x14ac:dyDescent="0.15">
      <c r="G275" s="11">
        <v>274</v>
      </c>
      <c r="H275" s="10" t="s">
        <v>625</v>
      </c>
      <c r="I275" t="s">
        <v>977</v>
      </c>
      <c r="J275" t="s">
        <v>870</v>
      </c>
      <c r="K275">
        <v>1.64</v>
      </c>
      <c r="L275">
        <v>5.41</v>
      </c>
      <c r="M275">
        <v>8.34</v>
      </c>
      <c r="N275" s="20">
        <v>-7.0000000000000007E-2</v>
      </c>
      <c r="O275">
        <v>61.17</v>
      </c>
      <c r="P275">
        <v>56.33</v>
      </c>
      <c r="Q275">
        <v>55.33</v>
      </c>
      <c r="R275" s="21">
        <v>1929.2382</v>
      </c>
    </row>
    <row r="276" spans="7:18" x14ac:dyDescent="0.15">
      <c r="G276" s="11">
        <v>275</v>
      </c>
      <c r="H276" s="10" t="s">
        <v>642</v>
      </c>
      <c r="I276" t="s">
        <v>1008</v>
      </c>
      <c r="J276" t="s">
        <v>870</v>
      </c>
      <c r="K276">
        <v>1.59</v>
      </c>
      <c r="L276">
        <v>5.42</v>
      </c>
      <c r="M276">
        <v>8.3000000000000007</v>
      </c>
      <c r="N276" s="20">
        <v>-0.08</v>
      </c>
      <c r="O276">
        <v>61.02</v>
      </c>
      <c r="P276">
        <v>55.76</v>
      </c>
      <c r="Q276">
        <v>55.9</v>
      </c>
      <c r="R276" s="21">
        <v>2167.491</v>
      </c>
    </row>
    <row r="277" spans="7:18" x14ac:dyDescent="0.15">
      <c r="G277" s="11">
        <v>276</v>
      </c>
      <c r="H277" s="10" t="s">
        <v>1453</v>
      </c>
      <c r="I277" t="s">
        <v>1454</v>
      </c>
      <c r="J277" t="s">
        <v>1688</v>
      </c>
      <c r="K277">
        <v>1.9</v>
      </c>
      <c r="L277">
        <v>2.98</v>
      </c>
      <c r="M277">
        <v>10.210000000000001</v>
      </c>
      <c r="N277" s="20">
        <v>0</v>
      </c>
      <c r="O277">
        <v>60.88</v>
      </c>
      <c r="P277">
        <v>72.400000000000006</v>
      </c>
      <c r="Q277">
        <v>39.26</v>
      </c>
      <c r="R277" s="21">
        <v>1024.34132</v>
      </c>
    </row>
    <row r="278" spans="7:18" x14ac:dyDescent="0.15">
      <c r="G278" s="11">
        <v>277</v>
      </c>
      <c r="H278" s="10" t="s">
        <v>635</v>
      </c>
      <c r="I278" t="s">
        <v>1309</v>
      </c>
      <c r="J278" t="s">
        <v>1288</v>
      </c>
      <c r="K278">
        <v>-3.61</v>
      </c>
      <c r="L278">
        <v>5.55</v>
      </c>
      <c r="M278">
        <v>12.86</v>
      </c>
      <c r="N278" s="20">
        <v>0.17</v>
      </c>
      <c r="O278">
        <v>60.74</v>
      </c>
      <c r="P278">
        <v>89.47</v>
      </c>
      <c r="Q278">
        <v>21.91</v>
      </c>
      <c r="R278" s="21">
        <v>18580.44947</v>
      </c>
    </row>
    <row r="279" spans="7:18" x14ac:dyDescent="0.15">
      <c r="G279" s="11">
        <v>278</v>
      </c>
      <c r="H279" s="10" t="s">
        <v>1532</v>
      </c>
      <c r="I279" t="s">
        <v>1533</v>
      </c>
      <c r="J279" t="s">
        <v>1688</v>
      </c>
      <c r="K279">
        <v>2.65</v>
      </c>
      <c r="L279">
        <v>8.57</v>
      </c>
      <c r="M279">
        <v>11.99</v>
      </c>
      <c r="N279" s="20">
        <v>0.11</v>
      </c>
      <c r="O279">
        <v>60.6</v>
      </c>
      <c r="P279">
        <v>83.78</v>
      </c>
      <c r="Q279">
        <v>27.6</v>
      </c>
      <c r="R279" s="21">
        <v>573.22767999999996</v>
      </c>
    </row>
    <row r="280" spans="7:18" x14ac:dyDescent="0.15">
      <c r="G280" s="11">
        <v>279</v>
      </c>
      <c r="H280" s="10" t="s">
        <v>742</v>
      </c>
      <c r="I280" t="s">
        <v>1312</v>
      </c>
      <c r="J280" t="s">
        <v>1288</v>
      </c>
      <c r="K280">
        <v>-3.21</v>
      </c>
      <c r="L280">
        <v>-7.0000000000000007E-2</v>
      </c>
      <c r="M280">
        <v>4.26</v>
      </c>
      <c r="N280" s="20">
        <v>-0.35</v>
      </c>
      <c r="O280">
        <v>60.46</v>
      </c>
      <c r="P280">
        <v>24.61</v>
      </c>
      <c r="Q280">
        <v>85.78</v>
      </c>
      <c r="R280" s="21">
        <v>52864.2379182</v>
      </c>
    </row>
    <row r="281" spans="7:18" x14ac:dyDescent="0.15">
      <c r="G281" s="11">
        <v>280</v>
      </c>
      <c r="H281" s="10" t="s">
        <v>1417</v>
      </c>
      <c r="I281" t="s">
        <v>1418</v>
      </c>
      <c r="J281" t="s">
        <v>1688</v>
      </c>
      <c r="K281">
        <v>0.72</v>
      </c>
      <c r="L281">
        <v>3.7</v>
      </c>
      <c r="M281">
        <v>6.03</v>
      </c>
      <c r="N281" s="20">
        <v>-0.22</v>
      </c>
      <c r="O281">
        <v>60.31</v>
      </c>
      <c r="P281">
        <v>33.85</v>
      </c>
      <c r="Q281">
        <v>76.53</v>
      </c>
      <c r="R281" s="21">
        <v>1709.2299</v>
      </c>
    </row>
    <row r="282" spans="7:18" x14ac:dyDescent="0.15">
      <c r="G282" s="11">
        <v>281</v>
      </c>
      <c r="H282" s="10" t="s">
        <v>1391</v>
      </c>
      <c r="I282" t="s">
        <v>1392</v>
      </c>
      <c r="J282" t="s">
        <v>1688</v>
      </c>
      <c r="K282">
        <v>0.06</v>
      </c>
      <c r="L282">
        <v>1.37</v>
      </c>
      <c r="M282">
        <v>3.32</v>
      </c>
      <c r="N282" s="20">
        <v>-0.49</v>
      </c>
      <c r="O282">
        <v>60.17</v>
      </c>
      <c r="P282">
        <v>21.05</v>
      </c>
      <c r="Q282">
        <v>89.19</v>
      </c>
      <c r="R282" s="21">
        <v>3.1749999999999998</v>
      </c>
    </row>
    <row r="283" spans="7:18" x14ac:dyDescent="0.15">
      <c r="G283" s="11">
        <v>282</v>
      </c>
      <c r="H283" s="10" t="s">
        <v>498</v>
      </c>
      <c r="I283" t="s">
        <v>934</v>
      </c>
      <c r="J283" t="s">
        <v>870</v>
      </c>
      <c r="K283">
        <v>1.05</v>
      </c>
      <c r="L283">
        <v>1.91</v>
      </c>
      <c r="M283">
        <v>6.03</v>
      </c>
      <c r="N283" s="20">
        <v>-0.21</v>
      </c>
      <c r="O283">
        <v>60.03</v>
      </c>
      <c r="P283">
        <v>34</v>
      </c>
      <c r="Q283">
        <v>76.099999999999994</v>
      </c>
      <c r="R283" s="21">
        <v>519.12469999999996</v>
      </c>
    </row>
    <row r="284" spans="7:18" x14ac:dyDescent="0.15">
      <c r="G284" s="11">
        <v>283</v>
      </c>
      <c r="H284" s="10" t="s">
        <v>327</v>
      </c>
      <c r="I284" t="s">
        <v>1131</v>
      </c>
      <c r="J284" t="s">
        <v>870</v>
      </c>
      <c r="K284">
        <v>3.19</v>
      </c>
      <c r="L284">
        <v>9.5</v>
      </c>
      <c r="M284">
        <v>7.76</v>
      </c>
      <c r="N284" s="20">
        <v>-0.1</v>
      </c>
      <c r="O284">
        <v>59.89</v>
      </c>
      <c r="P284">
        <v>49.36</v>
      </c>
      <c r="Q284">
        <v>60.6</v>
      </c>
      <c r="R284" s="21">
        <v>19964.925340099999</v>
      </c>
    </row>
    <row r="285" spans="7:18" x14ac:dyDescent="0.15">
      <c r="G285" s="11">
        <v>284</v>
      </c>
      <c r="H285" s="10" t="s">
        <v>1275</v>
      </c>
      <c r="I285" t="s">
        <v>1276</v>
      </c>
      <c r="J285" t="s">
        <v>870</v>
      </c>
      <c r="K285">
        <v>-0.01</v>
      </c>
      <c r="L285">
        <v>0.57999999999999996</v>
      </c>
      <c r="M285">
        <v>4.9400000000000004</v>
      </c>
      <c r="N285" s="20">
        <v>-0.28000000000000003</v>
      </c>
      <c r="O285">
        <v>59.74</v>
      </c>
      <c r="P285">
        <v>28.31</v>
      </c>
      <c r="Q285">
        <v>81.650000000000006</v>
      </c>
      <c r="R285" s="21">
        <v>232.44752000000003</v>
      </c>
    </row>
    <row r="286" spans="7:18" x14ac:dyDescent="0.15">
      <c r="G286" s="11">
        <v>285</v>
      </c>
      <c r="H286" s="10" t="s">
        <v>488</v>
      </c>
      <c r="I286" t="s">
        <v>974</v>
      </c>
      <c r="J286" t="s">
        <v>870</v>
      </c>
      <c r="K286">
        <v>0.03</v>
      </c>
      <c r="L286">
        <v>1.27</v>
      </c>
      <c r="M286">
        <v>3.94</v>
      </c>
      <c r="N286" s="20">
        <v>-0.39</v>
      </c>
      <c r="O286">
        <v>59.6</v>
      </c>
      <c r="P286">
        <v>23.61</v>
      </c>
      <c r="Q286">
        <v>86.34</v>
      </c>
      <c r="R286" s="21">
        <v>777.82587999999998</v>
      </c>
    </row>
    <row r="287" spans="7:18" x14ac:dyDescent="0.15">
      <c r="G287" s="11">
        <v>286</v>
      </c>
      <c r="H287" s="10" t="s">
        <v>1480</v>
      </c>
      <c r="I287" t="s">
        <v>1481</v>
      </c>
      <c r="J287" t="s">
        <v>1688</v>
      </c>
      <c r="K287">
        <v>2.75</v>
      </c>
      <c r="L287">
        <v>4.33</v>
      </c>
      <c r="M287">
        <v>8.44</v>
      </c>
      <c r="N287" s="20">
        <v>0</v>
      </c>
      <c r="O287">
        <v>59.46</v>
      </c>
      <c r="P287">
        <v>57.47</v>
      </c>
      <c r="Q287">
        <v>52.35</v>
      </c>
      <c r="R287" s="21">
        <v>144.84734</v>
      </c>
    </row>
    <row r="288" spans="7:18" x14ac:dyDescent="0.15">
      <c r="G288" s="11">
        <v>287</v>
      </c>
      <c r="H288" s="10" t="s">
        <v>599</v>
      </c>
      <c r="I288" t="s">
        <v>814</v>
      </c>
      <c r="J288" t="s">
        <v>1288</v>
      </c>
      <c r="K288">
        <v>-3.65</v>
      </c>
      <c r="L288">
        <v>5.46</v>
      </c>
      <c r="M288">
        <v>12.67</v>
      </c>
      <c r="N288" s="20">
        <v>0.17</v>
      </c>
      <c r="O288">
        <v>59.32</v>
      </c>
      <c r="P288">
        <v>87.48</v>
      </c>
      <c r="Q288">
        <v>22.33</v>
      </c>
      <c r="R288" s="21">
        <v>11429.521588</v>
      </c>
    </row>
    <row r="289" spans="7:18" x14ac:dyDescent="0.15">
      <c r="G289" s="11">
        <v>288</v>
      </c>
      <c r="H289" s="10" t="s">
        <v>688</v>
      </c>
      <c r="I289" t="s">
        <v>957</v>
      </c>
      <c r="J289" t="s">
        <v>870</v>
      </c>
      <c r="K289">
        <v>1.62</v>
      </c>
      <c r="L289">
        <v>5.57</v>
      </c>
      <c r="M289">
        <v>8.68</v>
      </c>
      <c r="N289" s="20">
        <v>0</v>
      </c>
      <c r="O289">
        <v>59.17</v>
      </c>
      <c r="P289">
        <v>58.89</v>
      </c>
      <c r="Q289">
        <v>50.92</v>
      </c>
      <c r="R289" s="21">
        <v>1088.9671000000001</v>
      </c>
    </row>
    <row r="290" spans="7:18" x14ac:dyDescent="0.15">
      <c r="G290" s="11">
        <v>289</v>
      </c>
      <c r="H290" s="10" t="s">
        <v>838</v>
      </c>
      <c r="I290" t="s">
        <v>839</v>
      </c>
      <c r="J290" t="s">
        <v>833</v>
      </c>
      <c r="K290">
        <v>0.28000000000000003</v>
      </c>
      <c r="L290">
        <v>0.43</v>
      </c>
      <c r="M290">
        <v>0.5</v>
      </c>
      <c r="N290" s="20">
        <v>-5.92</v>
      </c>
      <c r="O290">
        <v>59.03</v>
      </c>
      <c r="P290">
        <v>10.1</v>
      </c>
      <c r="Q290">
        <v>99.43</v>
      </c>
      <c r="R290" s="21">
        <v>486.19392999999997</v>
      </c>
    </row>
    <row r="291" spans="7:18" x14ac:dyDescent="0.15">
      <c r="G291" s="11">
        <v>290</v>
      </c>
      <c r="H291" s="10" t="s">
        <v>548</v>
      </c>
      <c r="I291" t="s">
        <v>1178</v>
      </c>
      <c r="J291" t="s">
        <v>870</v>
      </c>
      <c r="K291">
        <v>3.95</v>
      </c>
      <c r="L291">
        <v>8.14</v>
      </c>
      <c r="M291">
        <v>11.91</v>
      </c>
      <c r="N291" s="20">
        <v>0.12</v>
      </c>
      <c r="O291">
        <v>58.89</v>
      </c>
      <c r="P291">
        <v>83.21</v>
      </c>
      <c r="Q291">
        <v>26.17</v>
      </c>
      <c r="R291" s="21">
        <v>118137.38647509999</v>
      </c>
    </row>
    <row r="292" spans="7:18" x14ac:dyDescent="0.15">
      <c r="G292" s="11">
        <v>291</v>
      </c>
      <c r="H292" s="10" t="s">
        <v>711</v>
      </c>
      <c r="I292" t="s">
        <v>981</v>
      </c>
      <c r="J292" t="s">
        <v>870</v>
      </c>
      <c r="K292">
        <v>1.7</v>
      </c>
      <c r="L292">
        <v>5.43</v>
      </c>
      <c r="M292">
        <v>8.08</v>
      </c>
      <c r="N292" s="20">
        <v>-0.08</v>
      </c>
      <c r="O292">
        <v>58.75</v>
      </c>
      <c r="P292">
        <v>52.77</v>
      </c>
      <c r="Q292">
        <v>56.33</v>
      </c>
      <c r="R292" s="21">
        <v>1207.6543999999999</v>
      </c>
    </row>
    <row r="293" spans="7:18" x14ac:dyDescent="0.15">
      <c r="G293" s="11">
        <v>292</v>
      </c>
      <c r="H293" s="10" t="s">
        <v>1478</v>
      </c>
      <c r="I293" t="s">
        <v>1479</v>
      </c>
      <c r="J293" t="s">
        <v>1688</v>
      </c>
      <c r="K293">
        <v>0.09</v>
      </c>
      <c r="L293">
        <v>0.54</v>
      </c>
      <c r="M293">
        <v>5.25</v>
      </c>
      <c r="N293" s="20">
        <v>-0.24</v>
      </c>
      <c r="O293">
        <v>58.61</v>
      </c>
      <c r="P293">
        <v>29.87</v>
      </c>
      <c r="Q293">
        <v>79.09</v>
      </c>
      <c r="R293" s="21">
        <v>674.31057999999996</v>
      </c>
    </row>
    <row r="294" spans="7:18" x14ac:dyDescent="0.15">
      <c r="G294" s="11">
        <v>293</v>
      </c>
      <c r="H294" s="10" t="s">
        <v>672</v>
      </c>
      <c r="I294" t="s">
        <v>1035</v>
      </c>
      <c r="J294" t="s">
        <v>870</v>
      </c>
      <c r="K294">
        <v>0.84</v>
      </c>
      <c r="L294">
        <v>3.1</v>
      </c>
      <c r="M294">
        <v>8.4</v>
      </c>
      <c r="N294" s="20">
        <v>0</v>
      </c>
      <c r="O294">
        <v>58.46</v>
      </c>
      <c r="P294">
        <v>56.76</v>
      </c>
      <c r="Q294">
        <v>51.78</v>
      </c>
      <c r="R294" s="21">
        <v>9504.9832999999999</v>
      </c>
    </row>
    <row r="295" spans="7:18" x14ac:dyDescent="0.15">
      <c r="G295" s="11">
        <v>294</v>
      </c>
      <c r="H295" s="10" t="s">
        <v>339</v>
      </c>
      <c r="I295" t="s">
        <v>948</v>
      </c>
      <c r="J295" t="s">
        <v>870</v>
      </c>
      <c r="K295">
        <v>5.15</v>
      </c>
      <c r="L295">
        <v>6.93</v>
      </c>
      <c r="M295">
        <v>9.2899999999999991</v>
      </c>
      <c r="N295" s="20">
        <v>0</v>
      </c>
      <c r="O295">
        <v>58.32</v>
      </c>
      <c r="P295">
        <v>66.150000000000006</v>
      </c>
      <c r="Q295">
        <v>42.25</v>
      </c>
      <c r="R295" s="21">
        <v>1192.0814</v>
      </c>
    </row>
    <row r="296" spans="7:18" x14ac:dyDescent="0.15">
      <c r="G296" s="11">
        <v>295</v>
      </c>
      <c r="H296" s="10" t="s">
        <v>660</v>
      </c>
      <c r="I296" t="s">
        <v>1152</v>
      </c>
      <c r="J296" t="s">
        <v>870</v>
      </c>
      <c r="K296">
        <v>1.78</v>
      </c>
      <c r="L296">
        <v>5.55</v>
      </c>
      <c r="M296">
        <v>8.1999999999999993</v>
      </c>
      <c r="N296" s="20">
        <v>-0.05</v>
      </c>
      <c r="O296">
        <v>58.18</v>
      </c>
      <c r="P296">
        <v>54.34</v>
      </c>
      <c r="Q296">
        <v>54.05</v>
      </c>
      <c r="R296" s="21">
        <v>13612.8231</v>
      </c>
    </row>
    <row r="297" spans="7:18" x14ac:dyDescent="0.15">
      <c r="G297" s="11">
        <v>296</v>
      </c>
      <c r="H297" s="10" t="s">
        <v>581</v>
      </c>
      <c r="I297" t="s">
        <v>994</v>
      </c>
      <c r="J297" t="s">
        <v>870</v>
      </c>
      <c r="K297">
        <v>1.34</v>
      </c>
      <c r="L297">
        <v>4.3099999999999996</v>
      </c>
      <c r="M297">
        <v>8.8699999999999992</v>
      </c>
      <c r="N297" s="20">
        <v>0</v>
      </c>
      <c r="O297">
        <v>58.04</v>
      </c>
      <c r="P297">
        <v>61.02</v>
      </c>
      <c r="Q297">
        <v>47.23</v>
      </c>
      <c r="R297" s="21">
        <v>1212.5934199999999</v>
      </c>
    </row>
    <row r="298" spans="7:18" x14ac:dyDescent="0.15">
      <c r="G298" s="11">
        <v>297</v>
      </c>
      <c r="H298" s="10" t="s">
        <v>300</v>
      </c>
      <c r="I298" t="s">
        <v>1267</v>
      </c>
      <c r="J298" t="s">
        <v>1251</v>
      </c>
      <c r="K298">
        <v>-5.19</v>
      </c>
      <c r="L298">
        <v>5.01</v>
      </c>
      <c r="M298">
        <v>14.08</v>
      </c>
      <c r="N298" s="20">
        <v>0.24</v>
      </c>
      <c r="O298">
        <v>57.89</v>
      </c>
      <c r="P298">
        <v>92.18</v>
      </c>
      <c r="Q298">
        <v>16.07</v>
      </c>
      <c r="R298" s="21">
        <v>209.91854860000001</v>
      </c>
    </row>
    <row r="299" spans="7:18" x14ac:dyDescent="0.15">
      <c r="G299" s="11">
        <v>298</v>
      </c>
      <c r="H299" s="10" t="s">
        <v>403</v>
      </c>
      <c r="I299" t="s">
        <v>949</v>
      </c>
      <c r="J299" t="s">
        <v>870</v>
      </c>
      <c r="K299">
        <v>4.66</v>
      </c>
      <c r="L299">
        <v>8.77</v>
      </c>
      <c r="M299">
        <v>9.5399999999999991</v>
      </c>
      <c r="N299" s="20">
        <v>0</v>
      </c>
      <c r="O299">
        <v>57.75</v>
      </c>
      <c r="P299">
        <v>67.989999999999995</v>
      </c>
      <c r="Q299">
        <v>39.97</v>
      </c>
      <c r="R299" s="21">
        <v>1240.8202000000001</v>
      </c>
    </row>
    <row r="300" spans="7:18" x14ac:dyDescent="0.15">
      <c r="G300" s="11">
        <v>299</v>
      </c>
      <c r="H300" s="10" t="s">
        <v>448</v>
      </c>
      <c r="I300" t="s">
        <v>842</v>
      </c>
      <c r="J300" t="s">
        <v>833</v>
      </c>
      <c r="K300">
        <v>-0.27</v>
      </c>
      <c r="L300">
        <v>0.67</v>
      </c>
      <c r="M300">
        <v>0.71</v>
      </c>
      <c r="N300" s="20">
        <v>-1.58</v>
      </c>
      <c r="O300">
        <v>57.61</v>
      </c>
      <c r="P300">
        <v>11.81</v>
      </c>
      <c r="Q300">
        <v>96.02</v>
      </c>
      <c r="R300" s="21">
        <v>13.824941000000001</v>
      </c>
    </row>
    <row r="301" spans="7:18" x14ac:dyDescent="0.15">
      <c r="G301" s="11">
        <v>300</v>
      </c>
      <c r="H301" s="10" t="s">
        <v>1631</v>
      </c>
      <c r="I301" t="s">
        <v>1632</v>
      </c>
      <c r="J301" t="s">
        <v>1688</v>
      </c>
      <c r="K301">
        <v>1.35</v>
      </c>
      <c r="L301">
        <v>4.82</v>
      </c>
      <c r="M301">
        <v>7.21</v>
      </c>
      <c r="N301" s="20">
        <v>-0.12</v>
      </c>
      <c r="O301">
        <v>57.47</v>
      </c>
      <c r="P301">
        <v>44.1</v>
      </c>
      <c r="Q301">
        <v>63.73</v>
      </c>
      <c r="R301" s="21">
        <v>549.58000000000004</v>
      </c>
    </row>
    <row r="302" spans="7:18" x14ac:dyDescent="0.15">
      <c r="G302" s="11">
        <v>301</v>
      </c>
      <c r="H302" s="10" t="s">
        <v>1378</v>
      </c>
      <c r="I302" t="s">
        <v>1379</v>
      </c>
      <c r="J302" t="s">
        <v>1688</v>
      </c>
      <c r="K302">
        <v>1.19</v>
      </c>
      <c r="L302">
        <v>4.37</v>
      </c>
      <c r="M302">
        <v>9.5399999999999991</v>
      </c>
      <c r="N302" s="20">
        <v>0</v>
      </c>
      <c r="O302">
        <v>57.33</v>
      </c>
      <c r="P302">
        <v>68.14</v>
      </c>
      <c r="Q302">
        <v>39.69</v>
      </c>
      <c r="R302" s="21">
        <v>31.625</v>
      </c>
    </row>
    <row r="303" spans="7:18" x14ac:dyDescent="0.15">
      <c r="G303" s="11">
        <v>302</v>
      </c>
      <c r="H303" s="10" t="s">
        <v>445</v>
      </c>
      <c r="I303" t="s">
        <v>889</v>
      </c>
      <c r="J303" t="s">
        <v>870</v>
      </c>
      <c r="K303">
        <v>1.47</v>
      </c>
      <c r="L303">
        <v>3.73</v>
      </c>
      <c r="M303">
        <v>9.65</v>
      </c>
      <c r="N303" s="20">
        <v>0</v>
      </c>
      <c r="O303">
        <v>57.18</v>
      </c>
      <c r="P303">
        <v>68.709999999999994</v>
      </c>
      <c r="Q303">
        <v>39.119999999999997</v>
      </c>
      <c r="R303" s="21">
        <v>84.162700000000001</v>
      </c>
    </row>
    <row r="304" spans="7:18" x14ac:dyDescent="0.15">
      <c r="G304" s="11">
        <v>303</v>
      </c>
      <c r="H304" s="10" t="s">
        <v>1600</v>
      </c>
      <c r="I304" t="s">
        <v>1601</v>
      </c>
      <c r="J304" t="s">
        <v>1688</v>
      </c>
      <c r="K304">
        <v>-2.65</v>
      </c>
      <c r="L304">
        <v>-0.51</v>
      </c>
      <c r="M304">
        <v>3.9</v>
      </c>
      <c r="N304" s="20">
        <v>-0.33</v>
      </c>
      <c r="O304">
        <v>57.04</v>
      </c>
      <c r="P304">
        <v>23.47</v>
      </c>
      <c r="Q304">
        <v>84.35</v>
      </c>
      <c r="R304" s="21">
        <v>1618.13805</v>
      </c>
    </row>
    <row r="305" spans="7:18" x14ac:dyDescent="0.15">
      <c r="G305" s="11">
        <v>304</v>
      </c>
      <c r="H305" s="10" t="s">
        <v>1315</v>
      </c>
      <c r="I305" t="s">
        <v>1316</v>
      </c>
      <c r="J305" t="s">
        <v>833</v>
      </c>
      <c r="K305">
        <v>-0.24</v>
      </c>
      <c r="L305">
        <v>7.0000000000000007E-2</v>
      </c>
      <c r="M305">
        <v>0.49</v>
      </c>
      <c r="N305" s="20">
        <v>-2.52</v>
      </c>
      <c r="O305">
        <v>56.9</v>
      </c>
      <c r="P305">
        <v>9.9600000000000009</v>
      </c>
      <c r="Q305">
        <v>97.72</v>
      </c>
      <c r="R305" s="21">
        <v>41.235550199999999</v>
      </c>
    </row>
    <row r="306" spans="7:18" x14ac:dyDescent="0.15">
      <c r="G306" s="11">
        <v>305</v>
      </c>
      <c r="H306" s="10" t="s">
        <v>697</v>
      </c>
      <c r="I306" t="s">
        <v>1052</v>
      </c>
      <c r="J306" t="s">
        <v>870</v>
      </c>
      <c r="K306">
        <v>2.2400000000000002</v>
      </c>
      <c r="L306">
        <v>9.14</v>
      </c>
      <c r="M306">
        <v>11.63</v>
      </c>
      <c r="N306" s="20">
        <v>0.11</v>
      </c>
      <c r="O306">
        <v>56.76</v>
      </c>
      <c r="P306">
        <v>80.94</v>
      </c>
      <c r="Q306">
        <v>26.74</v>
      </c>
      <c r="R306" s="21">
        <v>2031.7692</v>
      </c>
    </row>
    <row r="307" spans="7:18" x14ac:dyDescent="0.15">
      <c r="G307" s="11">
        <v>306</v>
      </c>
      <c r="H307" s="10" t="s">
        <v>1435</v>
      </c>
      <c r="I307" t="s">
        <v>1436</v>
      </c>
      <c r="J307" t="s">
        <v>1688</v>
      </c>
      <c r="K307">
        <v>2.88</v>
      </c>
      <c r="L307">
        <v>7.45</v>
      </c>
      <c r="M307">
        <v>9.52</v>
      </c>
      <c r="N307" s="20">
        <v>0</v>
      </c>
      <c r="O307">
        <v>56.61</v>
      </c>
      <c r="P307">
        <v>67.709999999999994</v>
      </c>
      <c r="Q307">
        <v>39.83</v>
      </c>
      <c r="R307" s="21">
        <v>448.4726</v>
      </c>
    </row>
    <row r="308" spans="7:18" x14ac:dyDescent="0.15">
      <c r="G308" s="11">
        <v>307</v>
      </c>
      <c r="H308" s="10" t="s">
        <v>331</v>
      </c>
      <c r="I308" t="s">
        <v>881</v>
      </c>
      <c r="J308" t="s">
        <v>870</v>
      </c>
      <c r="K308">
        <v>3.31</v>
      </c>
      <c r="L308">
        <v>8.69</v>
      </c>
      <c r="M308">
        <v>6.69</v>
      </c>
      <c r="N308" s="20">
        <v>-0.14000000000000001</v>
      </c>
      <c r="O308">
        <v>56.47</v>
      </c>
      <c r="P308">
        <v>39.26</v>
      </c>
      <c r="Q308">
        <v>68.28</v>
      </c>
      <c r="R308" s="21">
        <v>653.98094409999999</v>
      </c>
    </row>
    <row r="309" spans="7:18" x14ac:dyDescent="0.15">
      <c r="G309" s="11">
        <v>308</v>
      </c>
      <c r="H309" s="10" t="s">
        <v>643</v>
      </c>
      <c r="I309" t="s">
        <v>1041</v>
      </c>
      <c r="J309" t="s">
        <v>870</v>
      </c>
      <c r="K309">
        <v>1.38</v>
      </c>
      <c r="L309">
        <v>5.57</v>
      </c>
      <c r="M309">
        <v>7.48</v>
      </c>
      <c r="N309" s="20">
        <v>-0.11</v>
      </c>
      <c r="O309">
        <v>56.33</v>
      </c>
      <c r="P309">
        <v>46.09</v>
      </c>
      <c r="Q309">
        <v>61.31</v>
      </c>
      <c r="R309" s="21">
        <v>1393.2792999999999</v>
      </c>
    </row>
    <row r="310" spans="7:18" x14ac:dyDescent="0.15">
      <c r="G310" s="11">
        <v>309</v>
      </c>
      <c r="H310" s="10" t="s">
        <v>1421</v>
      </c>
      <c r="I310" t="s">
        <v>1422</v>
      </c>
      <c r="J310" t="s">
        <v>1688</v>
      </c>
      <c r="K310">
        <v>0.73</v>
      </c>
      <c r="L310">
        <v>1.27</v>
      </c>
      <c r="M310">
        <v>4.8099999999999996</v>
      </c>
      <c r="N310" s="20">
        <v>-0.25</v>
      </c>
      <c r="O310">
        <v>56.19</v>
      </c>
      <c r="P310">
        <v>27.31</v>
      </c>
      <c r="Q310">
        <v>80.09</v>
      </c>
      <c r="R310" s="21">
        <v>16.96218</v>
      </c>
    </row>
    <row r="311" spans="7:18" x14ac:dyDescent="0.15">
      <c r="G311" s="11">
        <v>310</v>
      </c>
      <c r="H311" s="10" t="s">
        <v>316</v>
      </c>
      <c r="I311" t="s">
        <v>1017</v>
      </c>
      <c r="J311" t="s">
        <v>870</v>
      </c>
      <c r="K311">
        <v>4.55</v>
      </c>
      <c r="L311">
        <v>8.32</v>
      </c>
      <c r="M311">
        <v>9.41</v>
      </c>
      <c r="N311" s="20">
        <v>0</v>
      </c>
      <c r="O311">
        <v>56.05</v>
      </c>
      <c r="P311">
        <v>66.709999999999994</v>
      </c>
      <c r="Q311">
        <v>40.4</v>
      </c>
      <c r="R311" s="21">
        <v>4033.4427999999998</v>
      </c>
    </row>
    <row r="312" spans="7:18" x14ac:dyDescent="0.15">
      <c r="G312" s="11">
        <v>311</v>
      </c>
      <c r="H312" s="10" t="s">
        <v>299</v>
      </c>
      <c r="I312" t="s">
        <v>847</v>
      </c>
      <c r="J312" t="s">
        <v>833</v>
      </c>
      <c r="K312">
        <v>0.23</v>
      </c>
      <c r="L312">
        <v>0.42</v>
      </c>
      <c r="M312">
        <v>1.41</v>
      </c>
      <c r="N312" s="20">
        <v>-0.67</v>
      </c>
      <c r="O312">
        <v>55.9</v>
      </c>
      <c r="P312">
        <v>14.65</v>
      </c>
      <c r="Q312">
        <v>92.32</v>
      </c>
      <c r="R312" s="21">
        <v>29.3643</v>
      </c>
    </row>
    <row r="313" spans="7:18" x14ac:dyDescent="0.15">
      <c r="G313" s="11">
        <v>312</v>
      </c>
      <c r="H313" s="10" t="s">
        <v>441</v>
      </c>
      <c r="I313" t="s">
        <v>1067</v>
      </c>
      <c r="J313" t="s">
        <v>870</v>
      </c>
      <c r="K313">
        <v>4.08</v>
      </c>
      <c r="L313">
        <v>9.3000000000000007</v>
      </c>
      <c r="M313">
        <v>10.1</v>
      </c>
      <c r="N313" s="20">
        <v>0</v>
      </c>
      <c r="O313">
        <v>55.76</v>
      </c>
      <c r="P313">
        <v>71.83</v>
      </c>
      <c r="Q313">
        <v>34.99</v>
      </c>
      <c r="R313" s="21">
        <v>61789.507799999999</v>
      </c>
    </row>
    <row r="314" spans="7:18" x14ac:dyDescent="0.15">
      <c r="G314" s="11">
        <v>313</v>
      </c>
      <c r="H314" s="10" t="s">
        <v>383</v>
      </c>
      <c r="I314" t="s">
        <v>1099</v>
      </c>
      <c r="J314" t="s">
        <v>870</v>
      </c>
      <c r="K314">
        <v>3.3</v>
      </c>
      <c r="L314">
        <v>8.51</v>
      </c>
      <c r="M314">
        <v>6.53</v>
      </c>
      <c r="N314" s="20">
        <v>-0.15</v>
      </c>
      <c r="O314">
        <v>55.62</v>
      </c>
      <c r="P314">
        <v>37.270000000000003</v>
      </c>
      <c r="Q314">
        <v>69.42</v>
      </c>
      <c r="R314" s="21">
        <v>10808.9720552</v>
      </c>
    </row>
    <row r="315" spans="7:18" x14ac:dyDescent="0.15">
      <c r="G315" s="11">
        <v>314</v>
      </c>
      <c r="H315" s="10" t="s">
        <v>297</v>
      </c>
      <c r="I315" t="s">
        <v>1253</v>
      </c>
      <c r="J315" t="s">
        <v>1251</v>
      </c>
      <c r="K315">
        <v>-4.07</v>
      </c>
      <c r="L315">
        <v>6.63</v>
      </c>
      <c r="M315">
        <v>15.61</v>
      </c>
      <c r="N315" s="20">
        <v>0.35</v>
      </c>
      <c r="O315">
        <v>55.48</v>
      </c>
      <c r="P315">
        <v>94.31</v>
      </c>
      <c r="Q315">
        <v>12.38</v>
      </c>
      <c r="R315" s="21">
        <v>65.762765299999998</v>
      </c>
    </row>
    <row r="316" spans="7:18" x14ac:dyDescent="0.15">
      <c r="G316" s="11">
        <v>315</v>
      </c>
      <c r="H316" s="10" t="s">
        <v>613</v>
      </c>
      <c r="I316" t="s">
        <v>1020</v>
      </c>
      <c r="J316" t="s">
        <v>870</v>
      </c>
      <c r="K316">
        <v>1.54</v>
      </c>
      <c r="L316">
        <v>5.67</v>
      </c>
      <c r="M316">
        <v>7.92</v>
      </c>
      <c r="N316" s="20">
        <v>-0.08</v>
      </c>
      <c r="O316">
        <v>55.33</v>
      </c>
      <c r="P316">
        <v>50.92</v>
      </c>
      <c r="Q316">
        <v>55.76</v>
      </c>
      <c r="R316" s="21">
        <v>2096.7979999999998</v>
      </c>
    </row>
    <row r="317" spans="7:18" x14ac:dyDescent="0.15">
      <c r="G317" s="11">
        <v>316</v>
      </c>
      <c r="H317" s="10" t="s">
        <v>402</v>
      </c>
      <c r="I317" t="s">
        <v>945</v>
      </c>
      <c r="J317" t="s">
        <v>870</v>
      </c>
      <c r="K317">
        <v>4.49</v>
      </c>
      <c r="L317">
        <v>9.27</v>
      </c>
      <c r="M317">
        <v>14.03</v>
      </c>
      <c r="N317" s="20">
        <v>0.27</v>
      </c>
      <c r="O317">
        <v>55.19</v>
      </c>
      <c r="P317">
        <v>91.89</v>
      </c>
      <c r="Q317">
        <v>14.65</v>
      </c>
      <c r="R317" s="21">
        <v>99.375900000000001</v>
      </c>
    </row>
    <row r="318" spans="7:18" x14ac:dyDescent="0.15">
      <c r="G318" s="11">
        <v>317</v>
      </c>
      <c r="H318" s="10" t="s">
        <v>675</v>
      </c>
      <c r="I318" t="s">
        <v>885</v>
      </c>
      <c r="J318" t="s">
        <v>870</v>
      </c>
      <c r="K318">
        <v>1.4</v>
      </c>
      <c r="L318">
        <v>5.44</v>
      </c>
      <c r="M318">
        <v>7.28</v>
      </c>
      <c r="N318" s="20">
        <v>-0.11</v>
      </c>
      <c r="O318">
        <v>55.05</v>
      </c>
      <c r="P318">
        <v>44.81</v>
      </c>
      <c r="Q318">
        <v>61.59</v>
      </c>
      <c r="R318" s="21">
        <v>27.9055</v>
      </c>
    </row>
    <row r="319" spans="7:18" x14ac:dyDescent="0.15">
      <c r="G319" s="11">
        <v>318</v>
      </c>
      <c r="H319" s="10" t="s">
        <v>413</v>
      </c>
      <c r="I319" t="s">
        <v>1086</v>
      </c>
      <c r="J319" t="s">
        <v>870</v>
      </c>
      <c r="K319">
        <v>1.39</v>
      </c>
      <c r="L319">
        <v>3.1</v>
      </c>
      <c r="M319">
        <v>7.43</v>
      </c>
      <c r="N319" s="20">
        <v>-0.1</v>
      </c>
      <c r="O319">
        <v>54.91</v>
      </c>
      <c r="P319">
        <v>45.52</v>
      </c>
      <c r="Q319">
        <v>60.88</v>
      </c>
      <c r="R319" s="21">
        <v>3873.3</v>
      </c>
    </row>
    <row r="320" spans="7:18" x14ac:dyDescent="0.15">
      <c r="G320" s="11">
        <v>319</v>
      </c>
      <c r="H320" s="10" t="s">
        <v>560</v>
      </c>
      <c r="I320" t="s">
        <v>1167</v>
      </c>
      <c r="J320" t="s">
        <v>870</v>
      </c>
      <c r="K320">
        <v>1.73</v>
      </c>
      <c r="L320">
        <v>4.84</v>
      </c>
      <c r="M320">
        <v>9.51</v>
      </c>
      <c r="N320" s="20">
        <v>0</v>
      </c>
      <c r="O320">
        <v>54.77</v>
      </c>
      <c r="P320">
        <v>67.569999999999993</v>
      </c>
      <c r="Q320">
        <v>38.69</v>
      </c>
      <c r="R320" s="21">
        <v>71261.249899999995</v>
      </c>
    </row>
    <row r="321" spans="7:18" x14ac:dyDescent="0.15">
      <c r="G321" s="11">
        <v>320</v>
      </c>
      <c r="H321" s="10" t="s">
        <v>389</v>
      </c>
      <c r="I321" t="s">
        <v>1265</v>
      </c>
      <c r="J321" t="s">
        <v>1251</v>
      </c>
      <c r="K321">
        <v>-0.98</v>
      </c>
      <c r="L321">
        <v>0.83</v>
      </c>
      <c r="M321">
        <v>0.74</v>
      </c>
      <c r="N321" s="20">
        <v>-0.75</v>
      </c>
      <c r="O321">
        <v>54.62</v>
      </c>
      <c r="P321">
        <v>12.38</v>
      </c>
      <c r="Q321">
        <v>93.6</v>
      </c>
      <c r="R321" s="21">
        <v>72.616699999999994</v>
      </c>
    </row>
    <row r="322" spans="7:18" x14ac:dyDescent="0.15">
      <c r="G322" s="11">
        <v>321</v>
      </c>
      <c r="H322" s="10" t="s">
        <v>435</v>
      </c>
      <c r="I322" t="s">
        <v>1006</v>
      </c>
      <c r="J322" t="s">
        <v>870</v>
      </c>
      <c r="K322">
        <v>-0.95</v>
      </c>
      <c r="L322">
        <v>6.8</v>
      </c>
      <c r="M322">
        <v>13.12</v>
      </c>
      <c r="N322" s="20">
        <v>0.26</v>
      </c>
      <c r="O322">
        <v>54.48</v>
      </c>
      <c r="P322">
        <v>90.75</v>
      </c>
      <c r="Q322">
        <v>15.08</v>
      </c>
      <c r="R322" s="21">
        <v>3141.0052999999998</v>
      </c>
    </row>
    <row r="323" spans="7:18" x14ac:dyDescent="0.15">
      <c r="G323" s="11">
        <v>322</v>
      </c>
      <c r="H323" s="10" t="s">
        <v>1286</v>
      </c>
      <c r="I323" t="s">
        <v>1287</v>
      </c>
      <c r="J323" t="s">
        <v>1288</v>
      </c>
      <c r="K323">
        <v>-2.9</v>
      </c>
      <c r="L323">
        <v>-0.14000000000000001</v>
      </c>
      <c r="M323">
        <v>4.08</v>
      </c>
      <c r="N323" s="20">
        <v>-0.27</v>
      </c>
      <c r="O323">
        <v>54.34</v>
      </c>
      <c r="P323">
        <v>24.04</v>
      </c>
      <c r="Q323">
        <v>81.510000000000005</v>
      </c>
      <c r="R323" s="21">
        <v>35.028399999999998</v>
      </c>
    </row>
    <row r="324" spans="7:18" x14ac:dyDescent="0.15">
      <c r="G324" s="11">
        <v>323</v>
      </c>
      <c r="H324" s="10" t="s">
        <v>1419</v>
      </c>
      <c r="I324" t="s">
        <v>1420</v>
      </c>
      <c r="J324" t="s">
        <v>1688</v>
      </c>
      <c r="K324">
        <v>0.67</v>
      </c>
      <c r="L324">
        <v>3.43</v>
      </c>
      <c r="M324">
        <v>7.01</v>
      </c>
      <c r="N324" s="20">
        <v>-0.12</v>
      </c>
      <c r="O324">
        <v>54.2</v>
      </c>
      <c r="P324">
        <v>42.11</v>
      </c>
      <c r="Q324">
        <v>63.3</v>
      </c>
      <c r="R324" s="21">
        <v>12918.8730564</v>
      </c>
    </row>
    <row r="325" spans="7:18" x14ac:dyDescent="0.15">
      <c r="G325" s="11">
        <v>324</v>
      </c>
      <c r="H325" s="10" t="s">
        <v>583</v>
      </c>
      <c r="I325" t="s">
        <v>1015</v>
      </c>
      <c r="J325" t="s">
        <v>870</v>
      </c>
      <c r="K325">
        <v>3.58</v>
      </c>
      <c r="L325">
        <v>8.5</v>
      </c>
      <c r="M325">
        <v>12.04</v>
      </c>
      <c r="N325" s="20">
        <v>0.18</v>
      </c>
      <c r="O325">
        <v>54.05</v>
      </c>
      <c r="P325">
        <v>84.21</v>
      </c>
      <c r="Q325">
        <v>21.05</v>
      </c>
      <c r="R325" s="21">
        <v>2220.0658208999998</v>
      </c>
    </row>
    <row r="326" spans="7:18" x14ac:dyDescent="0.15">
      <c r="G326" s="11">
        <v>325</v>
      </c>
      <c r="H326" s="10" t="s">
        <v>701</v>
      </c>
      <c r="I326" t="s">
        <v>1297</v>
      </c>
      <c r="J326" t="s">
        <v>1288</v>
      </c>
      <c r="K326">
        <v>-3.22</v>
      </c>
      <c r="L326">
        <v>1.1200000000000001</v>
      </c>
      <c r="M326">
        <v>6.54</v>
      </c>
      <c r="N326" s="20">
        <v>-0.14000000000000001</v>
      </c>
      <c r="O326">
        <v>53.91</v>
      </c>
      <c r="P326">
        <v>37.549999999999997</v>
      </c>
      <c r="Q326">
        <v>67.709999999999994</v>
      </c>
      <c r="R326" s="21">
        <v>42.632399999999997</v>
      </c>
    </row>
    <row r="327" spans="7:18" x14ac:dyDescent="0.15">
      <c r="G327" s="11">
        <v>326</v>
      </c>
      <c r="H327" s="10" t="s">
        <v>326</v>
      </c>
      <c r="I327" t="s">
        <v>1157</v>
      </c>
      <c r="J327" t="s">
        <v>870</v>
      </c>
      <c r="K327">
        <v>-5.54</v>
      </c>
      <c r="L327">
        <v>4.46</v>
      </c>
      <c r="M327">
        <v>13.5</v>
      </c>
      <c r="N327" s="20">
        <v>0.28000000000000003</v>
      </c>
      <c r="O327">
        <v>53.77</v>
      </c>
      <c r="P327">
        <v>91.47</v>
      </c>
      <c r="Q327">
        <v>13.66</v>
      </c>
      <c r="R327" s="21">
        <v>62644.111499999999</v>
      </c>
    </row>
    <row r="328" spans="7:18" x14ac:dyDescent="0.15">
      <c r="G328" s="11">
        <v>327</v>
      </c>
      <c r="H328" s="10" t="s">
        <v>319</v>
      </c>
      <c r="I328" t="s">
        <v>19</v>
      </c>
      <c r="J328" t="s">
        <v>868</v>
      </c>
      <c r="K328">
        <v>0.03</v>
      </c>
      <c r="L328">
        <v>0.04</v>
      </c>
      <c r="M328">
        <v>0.03</v>
      </c>
      <c r="N328" s="20">
        <v>-2.25</v>
      </c>
      <c r="O328">
        <v>53.63</v>
      </c>
      <c r="P328">
        <v>7.97</v>
      </c>
      <c r="Q328">
        <v>97.16</v>
      </c>
      <c r="R328" s="21">
        <v>414.3903846</v>
      </c>
    </row>
    <row r="329" spans="7:18" x14ac:dyDescent="0.15">
      <c r="G329" s="11">
        <v>328</v>
      </c>
      <c r="H329" s="10" t="s">
        <v>573</v>
      </c>
      <c r="I329" t="s">
        <v>931</v>
      </c>
      <c r="J329" t="s">
        <v>870</v>
      </c>
      <c r="K329">
        <v>2.31</v>
      </c>
      <c r="L329">
        <v>6.15</v>
      </c>
      <c r="M329">
        <v>9.2100000000000009</v>
      </c>
      <c r="N329" s="20">
        <v>0</v>
      </c>
      <c r="O329">
        <v>53.49</v>
      </c>
      <c r="P329">
        <v>65.430000000000007</v>
      </c>
      <c r="Q329">
        <v>39.54</v>
      </c>
      <c r="R329" s="21">
        <v>956.41456999999991</v>
      </c>
    </row>
    <row r="330" spans="7:18" x14ac:dyDescent="0.15">
      <c r="G330" s="11">
        <v>329</v>
      </c>
      <c r="H330" s="10" t="s">
        <v>471</v>
      </c>
      <c r="I330" t="s">
        <v>939</v>
      </c>
      <c r="J330" t="s">
        <v>870</v>
      </c>
      <c r="K330">
        <v>3.8</v>
      </c>
      <c r="L330">
        <v>7.48</v>
      </c>
      <c r="M330">
        <v>11.12</v>
      </c>
      <c r="N330" s="20">
        <v>0.1</v>
      </c>
      <c r="O330">
        <v>53.34</v>
      </c>
      <c r="P330">
        <v>76.39</v>
      </c>
      <c r="Q330">
        <v>28.17</v>
      </c>
      <c r="R330" s="21">
        <v>317.36172999999997</v>
      </c>
    </row>
    <row r="331" spans="7:18" x14ac:dyDescent="0.15">
      <c r="G331" s="11">
        <v>330</v>
      </c>
      <c r="H331" s="10" t="s">
        <v>685</v>
      </c>
      <c r="I331" t="s">
        <v>1071</v>
      </c>
      <c r="J331" t="s">
        <v>870</v>
      </c>
      <c r="K331">
        <v>1.37</v>
      </c>
      <c r="L331">
        <v>5.62</v>
      </c>
      <c r="M331">
        <v>7.55</v>
      </c>
      <c r="N331" s="20">
        <v>-0.08</v>
      </c>
      <c r="O331">
        <v>53.2</v>
      </c>
      <c r="P331">
        <v>46.8</v>
      </c>
      <c r="Q331">
        <v>57.75</v>
      </c>
      <c r="R331" s="21">
        <v>1112.9863</v>
      </c>
    </row>
    <row r="332" spans="7:18" x14ac:dyDescent="0.15">
      <c r="G332" s="11">
        <v>331</v>
      </c>
      <c r="H332" s="10" t="s">
        <v>570</v>
      </c>
      <c r="I332" t="s">
        <v>1111</v>
      </c>
      <c r="J332" t="s">
        <v>870</v>
      </c>
      <c r="K332">
        <v>6.96</v>
      </c>
      <c r="L332">
        <v>9.6</v>
      </c>
      <c r="M332">
        <v>11.42</v>
      </c>
      <c r="N332" s="20">
        <v>0.12</v>
      </c>
      <c r="O332">
        <v>53.06</v>
      </c>
      <c r="P332">
        <v>78.52</v>
      </c>
      <c r="Q332">
        <v>25.89</v>
      </c>
      <c r="R332" s="21">
        <v>5512.7796751999995</v>
      </c>
    </row>
    <row r="333" spans="7:18" x14ac:dyDescent="0.15">
      <c r="G333" s="11">
        <v>332</v>
      </c>
      <c r="H333" s="10" t="s">
        <v>1550</v>
      </c>
      <c r="I333" t="s">
        <v>1551</v>
      </c>
      <c r="J333" t="s">
        <v>1688</v>
      </c>
      <c r="K333">
        <v>3.18</v>
      </c>
      <c r="L333">
        <v>8.2100000000000009</v>
      </c>
      <c r="M333">
        <v>6.23</v>
      </c>
      <c r="N333" s="20">
        <v>-0.14000000000000001</v>
      </c>
      <c r="O333">
        <v>52.92</v>
      </c>
      <c r="P333">
        <v>35.56</v>
      </c>
      <c r="Q333">
        <v>68.849999999999994</v>
      </c>
      <c r="R333" s="21">
        <v>499.25889999999998</v>
      </c>
    </row>
    <row r="334" spans="7:18" x14ac:dyDescent="0.15">
      <c r="G334" s="11">
        <v>333</v>
      </c>
      <c r="H334" s="10" t="s">
        <v>1427</v>
      </c>
      <c r="I334" t="s">
        <v>1428</v>
      </c>
      <c r="J334" t="s">
        <v>1688</v>
      </c>
      <c r="K334">
        <v>2.4</v>
      </c>
      <c r="L334">
        <v>6.28</v>
      </c>
      <c r="M334">
        <v>9.3800000000000008</v>
      </c>
      <c r="N334" s="20">
        <v>0</v>
      </c>
      <c r="O334">
        <v>52.77</v>
      </c>
      <c r="P334">
        <v>66.430000000000007</v>
      </c>
      <c r="Q334">
        <v>37.979999999999997</v>
      </c>
      <c r="R334" s="21">
        <v>684.51357999999993</v>
      </c>
    </row>
    <row r="335" spans="7:18" x14ac:dyDescent="0.15">
      <c r="G335" s="11">
        <v>334</v>
      </c>
      <c r="H335" s="10" t="s">
        <v>755</v>
      </c>
      <c r="I335" t="s">
        <v>927</v>
      </c>
      <c r="J335" t="s">
        <v>870</v>
      </c>
      <c r="K335">
        <v>2.54</v>
      </c>
      <c r="L335">
        <v>9.8800000000000008</v>
      </c>
      <c r="M335">
        <v>12.12</v>
      </c>
      <c r="N335" s="20">
        <v>0.19</v>
      </c>
      <c r="O335">
        <v>52.63</v>
      </c>
      <c r="P335">
        <v>84.92</v>
      </c>
      <c r="Q335">
        <v>19.350000000000001</v>
      </c>
      <c r="R335" s="21">
        <v>725.6327</v>
      </c>
    </row>
    <row r="336" spans="7:18" x14ac:dyDescent="0.15">
      <c r="G336" s="11">
        <v>335</v>
      </c>
      <c r="H336" s="10" t="s">
        <v>774</v>
      </c>
      <c r="I336" t="s">
        <v>1214</v>
      </c>
      <c r="J336" t="s">
        <v>1213</v>
      </c>
      <c r="K336">
        <v>-13.18</v>
      </c>
      <c r="L336">
        <v>-10.91</v>
      </c>
      <c r="M336">
        <v>-1.58</v>
      </c>
      <c r="N336" s="20">
        <v>-6.42</v>
      </c>
      <c r="O336">
        <v>52.49</v>
      </c>
      <c r="P336">
        <v>4.41</v>
      </c>
      <c r="Q336">
        <v>99.86</v>
      </c>
      <c r="R336" s="21">
        <v>2403.9131980000002</v>
      </c>
    </row>
    <row r="337" spans="7:18" x14ac:dyDescent="0.15">
      <c r="G337" s="11">
        <v>336</v>
      </c>
      <c r="H337" s="10" t="s">
        <v>1476</v>
      </c>
      <c r="I337" t="s">
        <v>1477</v>
      </c>
      <c r="J337" t="s">
        <v>1688</v>
      </c>
      <c r="K337">
        <v>2.35</v>
      </c>
      <c r="L337">
        <v>8.7799999999999994</v>
      </c>
      <c r="M337">
        <v>12.61</v>
      </c>
      <c r="N337" s="20">
        <v>0.22</v>
      </c>
      <c r="O337">
        <v>52.35</v>
      </c>
      <c r="P337">
        <v>86.77</v>
      </c>
      <c r="Q337">
        <v>17.21</v>
      </c>
      <c r="R337" s="21">
        <v>149.72669999999999</v>
      </c>
    </row>
    <row r="338" spans="7:18" x14ac:dyDescent="0.15">
      <c r="G338" s="11">
        <v>337</v>
      </c>
      <c r="H338" s="10" t="s">
        <v>667</v>
      </c>
      <c r="I338" t="s">
        <v>1260</v>
      </c>
      <c r="J338" t="s">
        <v>1251</v>
      </c>
      <c r="K338">
        <v>1.04</v>
      </c>
      <c r="L338">
        <v>4.2</v>
      </c>
      <c r="M338">
        <v>5.27</v>
      </c>
      <c r="N338" s="20">
        <v>-0.19</v>
      </c>
      <c r="O338">
        <v>52.2</v>
      </c>
      <c r="P338">
        <v>30.01</v>
      </c>
      <c r="Q338">
        <v>73.83</v>
      </c>
      <c r="R338" s="21">
        <v>119.7342622</v>
      </c>
    </row>
    <row r="339" spans="7:18" x14ac:dyDescent="0.15">
      <c r="G339" s="11">
        <v>338</v>
      </c>
      <c r="H339" s="10" t="s">
        <v>371</v>
      </c>
      <c r="I339" t="s">
        <v>879</v>
      </c>
      <c r="J339" t="s">
        <v>870</v>
      </c>
      <c r="K339">
        <v>1.05</v>
      </c>
      <c r="L339">
        <v>3.54</v>
      </c>
      <c r="M339">
        <v>7.72</v>
      </c>
      <c r="N339" s="20">
        <v>-7.0000000000000007E-2</v>
      </c>
      <c r="O339">
        <v>52.06</v>
      </c>
      <c r="P339">
        <v>48.51</v>
      </c>
      <c r="Q339">
        <v>55.19</v>
      </c>
      <c r="R339" s="21">
        <v>196.6515</v>
      </c>
    </row>
    <row r="340" spans="7:18" x14ac:dyDescent="0.15">
      <c r="G340" s="11">
        <v>339</v>
      </c>
      <c r="H340" s="10" t="s">
        <v>1425</v>
      </c>
      <c r="I340" t="s">
        <v>1426</v>
      </c>
      <c r="J340" t="s">
        <v>1688</v>
      </c>
      <c r="K340">
        <v>3.85</v>
      </c>
      <c r="L340">
        <v>7.34</v>
      </c>
      <c r="M340">
        <v>11.08</v>
      </c>
      <c r="N340" s="20">
        <v>0.11</v>
      </c>
      <c r="O340">
        <v>51.92</v>
      </c>
      <c r="P340">
        <v>75.680000000000007</v>
      </c>
      <c r="Q340">
        <v>27.74</v>
      </c>
      <c r="R340" s="21">
        <v>167.64686</v>
      </c>
    </row>
    <row r="341" spans="7:18" x14ac:dyDescent="0.15">
      <c r="G341" s="11">
        <v>340</v>
      </c>
      <c r="H341" s="10" t="s">
        <v>716</v>
      </c>
      <c r="I341" t="s">
        <v>1030</v>
      </c>
      <c r="J341" t="s">
        <v>870</v>
      </c>
      <c r="K341">
        <v>2.21</v>
      </c>
      <c r="L341">
        <v>8.99</v>
      </c>
      <c r="M341">
        <v>11.46</v>
      </c>
      <c r="N341" s="20">
        <v>0.13</v>
      </c>
      <c r="O341">
        <v>51.78</v>
      </c>
      <c r="P341">
        <v>79.09</v>
      </c>
      <c r="Q341">
        <v>24.32</v>
      </c>
      <c r="R341" s="21">
        <v>1632.8428954999999</v>
      </c>
    </row>
    <row r="342" spans="7:18" x14ac:dyDescent="0.15">
      <c r="G342" s="11">
        <v>341</v>
      </c>
      <c r="H342" s="10" t="s">
        <v>287</v>
      </c>
      <c r="I342" t="s">
        <v>24</v>
      </c>
      <c r="J342" t="s">
        <v>1213</v>
      </c>
      <c r="K342">
        <v>-10.45</v>
      </c>
      <c r="L342">
        <v>-8.4700000000000006</v>
      </c>
      <c r="M342">
        <v>-1.88</v>
      </c>
      <c r="N342" s="20">
        <v>-5.27</v>
      </c>
      <c r="O342">
        <v>51.64</v>
      </c>
      <c r="P342">
        <v>4.13</v>
      </c>
      <c r="Q342">
        <v>99</v>
      </c>
      <c r="R342" s="21">
        <v>140.38301419999999</v>
      </c>
    </row>
    <row r="343" spans="7:18" x14ac:dyDescent="0.15">
      <c r="G343" s="11">
        <v>342</v>
      </c>
      <c r="H343" s="10" t="s">
        <v>292</v>
      </c>
      <c r="I343" t="s">
        <v>258</v>
      </c>
      <c r="J343" t="s">
        <v>1251</v>
      </c>
      <c r="K343">
        <v>-5.19</v>
      </c>
      <c r="L343">
        <v>4.57</v>
      </c>
      <c r="M343">
        <v>13.3</v>
      </c>
      <c r="N343" s="20">
        <v>0.37</v>
      </c>
      <c r="O343">
        <v>51.49</v>
      </c>
      <c r="P343">
        <v>91.04</v>
      </c>
      <c r="Q343">
        <v>11.95</v>
      </c>
      <c r="R343" s="21">
        <v>62.811647400000005</v>
      </c>
    </row>
    <row r="344" spans="7:18" x14ac:dyDescent="0.15">
      <c r="G344" s="11">
        <v>343</v>
      </c>
      <c r="H344" s="10" t="s">
        <v>664</v>
      </c>
      <c r="I344" t="s">
        <v>976</v>
      </c>
      <c r="J344" t="s">
        <v>870</v>
      </c>
      <c r="K344">
        <v>0.02</v>
      </c>
      <c r="L344">
        <v>1.24</v>
      </c>
      <c r="M344">
        <v>3.85</v>
      </c>
      <c r="N344" s="20">
        <v>-0.25</v>
      </c>
      <c r="O344">
        <v>51.35</v>
      </c>
      <c r="P344">
        <v>23.33</v>
      </c>
      <c r="Q344">
        <v>79.66</v>
      </c>
      <c r="R344" s="21">
        <v>2985.0853999999999</v>
      </c>
    </row>
    <row r="345" spans="7:18" x14ac:dyDescent="0.15">
      <c r="G345" s="11">
        <v>344</v>
      </c>
      <c r="H345" s="10" t="s">
        <v>323</v>
      </c>
      <c r="I345" t="s">
        <v>869</v>
      </c>
      <c r="J345" t="s">
        <v>868</v>
      </c>
      <c r="K345">
        <v>0</v>
      </c>
      <c r="L345">
        <v>0.11</v>
      </c>
      <c r="M345">
        <v>0.17</v>
      </c>
      <c r="N345" s="20">
        <v>-0.8</v>
      </c>
      <c r="O345">
        <v>51.21</v>
      </c>
      <c r="P345">
        <v>8.9600000000000009</v>
      </c>
      <c r="Q345">
        <v>93.88</v>
      </c>
      <c r="R345" s="21">
        <v>0</v>
      </c>
    </row>
    <row r="346" spans="7:18" x14ac:dyDescent="0.15">
      <c r="G346" s="11">
        <v>345</v>
      </c>
      <c r="H346" s="10" t="s">
        <v>653</v>
      </c>
      <c r="I346" t="s">
        <v>961</v>
      </c>
      <c r="J346" t="s">
        <v>870</v>
      </c>
      <c r="K346">
        <v>1.76</v>
      </c>
      <c r="L346">
        <v>5.54</v>
      </c>
      <c r="M346">
        <v>8.18</v>
      </c>
      <c r="N346" s="20">
        <v>0</v>
      </c>
      <c r="O346">
        <v>51.07</v>
      </c>
      <c r="P346">
        <v>54.2</v>
      </c>
      <c r="Q346">
        <v>48.51</v>
      </c>
      <c r="R346" s="21">
        <v>2155.9639999999999</v>
      </c>
    </row>
    <row r="347" spans="7:18" x14ac:dyDescent="0.15">
      <c r="G347" s="11">
        <v>346</v>
      </c>
      <c r="H347" s="10" t="s">
        <v>747</v>
      </c>
      <c r="I347" t="s">
        <v>1021</v>
      </c>
      <c r="J347" t="s">
        <v>870</v>
      </c>
      <c r="K347">
        <v>2.2400000000000002</v>
      </c>
      <c r="L347">
        <v>9.09</v>
      </c>
      <c r="M347">
        <v>11.66</v>
      </c>
      <c r="N347" s="20">
        <v>0.17</v>
      </c>
      <c r="O347">
        <v>50.92</v>
      </c>
      <c r="P347">
        <v>81.08</v>
      </c>
      <c r="Q347">
        <v>21.34</v>
      </c>
      <c r="R347" s="21">
        <v>1635.3985</v>
      </c>
    </row>
    <row r="348" spans="7:18" x14ac:dyDescent="0.15">
      <c r="G348" s="11">
        <v>347</v>
      </c>
      <c r="H348" s="10" t="s">
        <v>333</v>
      </c>
      <c r="I348" t="s">
        <v>860</v>
      </c>
      <c r="J348" t="s">
        <v>833</v>
      </c>
      <c r="K348">
        <v>-1.04</v>
      </c>
      <c r="L348">
        <v>-0.69</v>
      </c>
      <c r="M348">
        <v>-1.39</v>
      </c>
      <c r="N348" s="20">
        <v>-2.33</v>
      </c>
      <c r="O348">
        <v>50.78</v>
      </c>
      <c r="P348">
        <v>4.9800000000000004</v>
      </c>
      <c r="Q348">
        <v>97.3</v>
      </c>
      <c r="R348" s="21">
        <v>207.42663999999999</v>
      </c>
    </row>
    <row r="349" spans="7:18" x14ac:dyDescent="0.15">
      <c r="G349" s="11">
        <v>348</v>
      </c>
      <c r="H349" s="10" t="s">
        <v>359</v>
      </c>
      <c r="I349" t="s">
        <v>1217</v>
      </c>
      <c r="J349" t="s">
        <v>1213</v>
      </c>
      <c r="K349">
        <v>-11.01</v>
      </c>
      <c r="L349">
        <v>-9.01</v>
      </c>
      <c r="M349">
        <v>-3.68</v>
      </c>
      <c r="N349" s="20">
        <v>-4.6399999999999997</v>
      </c>
      <c r="O349">
        <v>50.64</v>
      </c>
      <c r="P349">
        <v>3.56</v>
      </c>
      <c r="Q349">
        <v>98.72</v>
      </c>
      <c r="R349" s="21">
        <v>271.91980950000004</v>
      </c>
    </row>
    <row r="350" spans="7:18" x14ac:dyDescent="0.15">
      <c r="G350" s="11">
        <v>349</v>
      </c>
      <c r="H350" s="10" t="s">
        <v>649</v>
      </c>
      <c r="I350" t="s">
        <v>1159</v>
      </c>
      <c r="J350" t="s">
        <v>870</v>
      </c>
      <c r="K350">
        <v>1.3</v>
      </c>
      <c r="L350">
        <v>4.53</v>
      </c>
      <c r="M350">
        <v>9.1199999999999992</v>
      </c>
      <c r="N350" s="20">
        <v>0</v>
      </c>
      <c r="O350">
        <v>50.5</v>
      </c>
      <c r="P350">
        <v>64.44</v>
      </c>
      <c r="Q350">
        <v>37.549999999999997</v>
      </c>
      <c r="R350" s="21">
        <v>20022.938699999999</v>
      </c>
    </row>
    <row r="351" spans="7:18" x14ac:dyDescent="0.15">
      <c r="G351" s="11">
        <v>350</v>
      </c>
      <c r="H351" s="10" t="s">
        <v>555</v>
      </c>
      <c r="I351" t="s">
        <v>985</v>
      </c>
      <c r="J351" t="s">
        <v>870</v>
      </c>
      <c r="K351">
        <v>2.21</v>
      </c>
      <c r="L351">
        <v>5.01</v>
      </c>
      <c r="M351">
        <v>6.29</v>
      </c>
      <c r="N351" s="20">
        <v>-0.13</v>
      </c>
      <c r="O351">
        <v>50.36</v>
      </c>
      <c r="P351">
        <v>36.130000000000003</v>
      </c>
      <c r="Q351">
        <v>65.58</v>
      </c>
      <c r="R351" s="21">
        <v>1059.8719460999998</v>
      </c>
    </row>
    <row r="352" spans="7:18" x14ac:dyDescent="0.15">
      <c r="G352" s="11">
        <v>351</v>
      </c>
      <c r="H352" s="10" t="s">
        <v>1492</v>
      </c>
      <c r="I352" t="s">
        <v>1493</v>
      </c>
      <c r="J352" t="s">
        <v>1688</v>
      </c>
      <c r="K352">
        <v>6.5</v>
      </c>
      <c r="L352">
        <v>13.67</v>
      </c>
      <c r="M352">
        <v>19.09</v>
      </c>
      <c r="N352" s="20">
        <v>2.04</v>
      </c>
      <c r="O352">
        <v>50.21</v>
      </c>
      <c r="P352">
        <v>97.58</v>
      </c>
      <c r="Q352">
        <v>3.98</v>
      </c>
      <c r="R352" s="21">
        <v>1302.2661799</v>
      </c>
    </row>
    <row r="353" spans="7:18" x14ac:dyDescent="0.15">
      <c r="G353" s="11">
        <v>352</v>
      </c>
      <c r="H353" s="10" t="s">
        <v>320</v>
      </c>
      <c r="I353" t="s">
        <v>856</v>
      </c>
      <c r="J353" t="s">
        <v>833</v>
      </c>
      <c r="K353">
        <v>2.85</v>
      </c>
      <c r="L353">
        <v>7.46</v>
      </c>
      <c r="M353">
        <v>13.29</v>
      </c>
      <c r="N353" s="20">
        <v>0.42</v>
      </c>
      <c r="O353">
        <v>50.07</v>
      </c>
      <c r="P353">
        <v>90.9</v>
      </c>
      <c r="Q353">
        <v>10.53</v>
      </c>
      <c r="R353" s="21">
        <v>1289.5938000000001</v>
      </c>
    </row>
    <row r="354" spans="7:18" x14ac:dyDescent="0.15">
      <c r="G354" s="11">
        <v>353</v>
      </c>
      <c r="H354" s="10" t="s">
        <v>564</v>
      </c>
      <c r="I354" t="s">
        <v>922</v>
      </c>
      <c r="J354" t="s">
        <v>870</v>
      </c>
      <c r="K354">
        <v>1.6</v>
      </c>
      <c r="L354">
        <v>2.52</v>
      </c>
      <c r="M354">
        <v>6.25</v>
      </c>
      <c r="N354" s="20">
        <v>-0.13</v>
      </c>
      <c r="O354">
        <v>49.93</v>
      </c>
      <c r="P354">
        <v>35.700000000000003</v>
      </c>
      <c r="Q354">
        <v>65.72</v>
      </c>
      <c r="R354" s="21">
        <v>878.65409999999997</v>
      </c>
    </row>
    <row r="355" spans="7:18" x14ac:dyDescent="0.15">
      <c r="G355" s="11">
        <v>354</v>
      </c>
      <c r="H355" s="10" t="s">
        <v>1484</v>
      </c>
      <c r="I355" t="s">
        <v>1485</v>
      </c>
      <c r="J355" t="s">
        <v>1688</v>
      </c>
      <c r="K355">
        <v>2.35</v>
      </c>
      <c r="L355">
        <v>8.83</v>
      </c>
      <c r="M355">
        <v>12.77</v>
      </c>
      <c r="N355" s="20">
        <v>0.31</v>
      </c>
      <c r="O355">
        <v>49.79</v>
      </c>
      <c r="P355">
        <v>88.48</v>
      </c>
      <c r="Q355">
        <v>12.8</v>
      </c>
      <c r="R355" s="21">
        <v>2216.1324</v>
      </c>
    </row>
    <row r="356" spans="7:18" x14ac:dyDescent="0.15">
      <c r="G356" s="11">
        <v>355</v>
      </c>
      <c r="H356" s="10" t="s">
        <v>508</v>
      </c>
      <c r="I356" t="s">
        <v>1125</v>
      </c>
      <c r="J356" t="s">
        <v>870</v>
      </c>
      <c r="K356">
        <v>3.93</v>
      </c>
      <c r="L356">
        <v>8</v>
      </c>
      <c r="M356">
        <v>11.67</v>
      </c>
      <c r="N356" s="20">
        <v>0.19</v>
      </c>
      <c r="O356">
        <v>49.64</v>
      </c>
      <c r="P356">
        <v>81.37</v>
      </c>
      <c r="Q356">
        <v>19.77</v>
      </c>
      <c r="R356" s="21">
        <v>8037.2368599999991</v>
      </c>
    </row>
    <row r="357" spans="7:18" x14ac:dyDescent="0.15">
      <c r="G357" s="11">
        <v>356</v>
      </c>
      <c r="H357" s="10" t="s">
        <v>489</v>
      </c>
      <c r="I357" t="s">
        <v>872</v>
      </c>
      <c r="J357" t="s">
        <v>870</v>
      </c>
      <c r="K357">
        <v>1.58</v>
      </c>
      <c r="L357">
        <v>5.1100000000000003</v>
      </c>
      <c r="M357">
        <v>8.2899999999999991</v>
      </c>
      <c r="N357" s="20">
        <v>0</v>
      </c>
      <c r="O357">
        <v>49.5</v>
      </c>
      <c r="P357">
        <v>55.62</v>
      </c>
      <c r="Q357">
        <v>45.38</v>
      </c>
      <c r="R357" s="21">
        <v>96.429299999999998</v>
      </c>
    </row>
    <row r="358" spans="7:18" x14ac:dyDescent="0.15">
      <c r="G358" s="11">
        <v>357</v>
      </c>
      <c r="H358" s="10" t="s">
        <v>313</v>
      </c>
      <c r="I358" t="s">
        <v>1382</v>
      </c>
      <c r="J358" t="s">
        <v>1688</v>
      </c>
      <c r="K358">
        <v>0.1</v>
      </c>
      <c r="L358">
        <v>0.09</v>
      </c>
      <c r="M358">
        <v>0.34</v>
      </c>
      <c r="N358" s="20">
        <v>-0.59</v>
      </c>
      <c r="O358">
        <v>49.36</v>
      </c>
      <c r="P358">
        <v>9.5299999999999994</v>
      </c>
      <c r="Q358">
        <v>91.32</v>
      </c>
      <c r="R358" s="21">
        <v>1128.83386</v>
      </c>
    </row>
    <row r="359" spans="7:18" x14ac:dyDescent="0.15">
      <c r="G359" s="11">
        <v>358</v>
      </c>
      <c r="H359" s="10" t="s">
        <v>668</v>
      </c>
      <c r="I359" t="s">
        <v>1176</v>
      </c>
      <c r="J359" t="s">
        <v>870</v>
      </c>
      <c r="K359">
        <v>1.51</v>
      </c>
      <c r="L359">
        <v>6.09</v>
      </c>
      <c r="M359">
        <v>8.9700000000000006</v>
      </c>
      <c r="N359" s="20">
        <v>0</v>
      </c>
      <c r="O359">
        <v>49.22</v>
      </c>
      <c r="P359">
        <v>62.73</v>
      </c>
      <c r="Q359">
        <v>37.840000000000003</v>
      </c>
      <c r="R359" s="21">
        <v>121851.659</v>
      </c>
    </row>
    <row r="360" spans="7:18" x14ac:dyDescent="0.15">
      <c r="G360" s="11">
        <v>359</v>
      </c>
      <c r="H360" s="10" t="s">
        <v>1279</v>
      </c>
      <c r="I360" t="s">
        <v>1280</v>
      </c>
      <c r="J360" t="s">
        <v>870</v>
      </c>
      <c r="K360">
        <v>-0.32</v>
      </c>
      <c r="L360">
        <v>2.88</v>
      </c>
      <c r="M360">
        <v>6.03</v>
      </c>
      <c r="N360" s="20">
        <v>-0.13</v>
      </c>
      <c r="O360">
        <v>49.08</v>
      </c>
      <c r="P360">
        <v>33.71</v>
      </c>
      <c r="Q360">
        <v>66.430000000000007</v>
      </c>
      <c r="R360" s="21">
        <v>1185.7444</v>
      </c>
    </row>
    <row r="361" spans="7:18" x14ac:dyDescent="0.15">
      <c r="G361" s="11">
        <v>360</v>
      </c>
      <c r="H361" s="10" t="s">
        <v>1362</v>
      </c>
      <c r="I361" t="s">
        <v>1363</v>
      </c>
      <c r="J361" t="s">
        <v>1688</v>
      </c>
      <c r="K361">
        <v>3.74</v>
      </c>
      <c r="L361">
        <v>7.46</v>
      </c>
      <c r="M361">
        <v>10.94</v>
      </c>
      <c r="N361" s="20">
        <v>0.12</v>
      </c>
      <c r="O361">
        <v>48.93</v>
      </c>
      <c r="P361">
        <v>74.959999999999994</v>
      </c>
      <c r="Q361">
        <v>25.18</v>
      </c>
      <c r="R361" s="21">
        <v>452.17599999999999</v>
      </c>
    </row>
    <row r="362" spans="7:18" x14ac:dyDescent="0.15">
      <c r="G362" s="11">
        <v>361</v>
      </c>
      <c r="H362" s="10" t="s">
        <v>475</v>
      </c>
      <c r="I362" t="s">
        <v>980</v>
      </c>
      <c r="J362" t="s">
        <v>870</v>
      </c>
      <c r="K362">
        <v>0.01</v>
      </c>
      <c r="L362">
        <v>0.28999999999999998</v>
      </c>
      <c r="M362">
        <v>4.3499999999999996</v>
      </c>
      <c r="N362" s="20">
        <v>-0.2</v>
      </c>
      <c r="O362">
        <v>48.79</v>
      </c>
      <c r="P362">
        <v>25.04</v>
      </c>
      <c r="Q362">
        <v>74.959999999999994</v>
      </c>
      <c r="R362" s="21">
        <v>4804.1868799999993</v>
      </c>
    </row>
    <row r="363" spans="7:18" x14ac:dyDescent="0.15">
      <c r="G363" s="11">
        <v>362</v>
      </c>
      <c r="H363" s="10" t="s">
        <v>771</v>
      </c>
      <c r="I363" t="s">
        <v>1203</v>
      </c>
      <c r="J363" t="s">
        <v>1198</v>
      </c>
      <c r="K363">
        <v>-4.47</v>
      </c>
      <c r="L363">
        <v>-5.61</v>
      </c>
      <c r="M363">
        <v>-4.8499999999999996</v>
      </c>
      <c r="N363" s="20">
        <v>-2.0499999999999998</v>
      </c>
      <c r="O363">
        <v>48.65</v>
      </c>
      <c r="P363">
        <v>3.41</v>
      </c>
      <c r="Q363">
        <v>96.59</v>
      </c>
      <c r="R363" s="21">
        <v>110.00489169999999</v>
      </c>
    </row>
    <row r="364" spans="7:18" x14ac:dyDescent="0.15">
      <c r="G364" s="11">
        <v>363</v>
      </c>
      <c r="H364" s="10" t="s">
        <v>1335</v>
      </c>
      <c r="I364" t="s">
        <v>1336</v>
      </c>
      <c r="J364" t="s">
        <v>1688</v>
      </c>
      <c r="K364">
        <v>0.09</v>
      </c>
      <c r="L364">
        <v>1.44</v>
      </c>
      <c r="M364">
        <v>3.41</v>
      </c>
      <c r="N364" s="20">
        <v>-0.24</v>
      </c>
      <c r="O364">
        <v>48.51</v>
      </c>
      <c r="P364">
        <v>21.34</v>
      </c>
      <c r="Q364">
        <v>78.52</v>
      </c>
      <c r="R364" s="21">
        <v>9.1249000000000002</v>
      </c>
    </row>
    <row r="365" spans="7:18" x14ac:dyDescent="0.15">
      <c r="G365" s="11">
        <v>364</v>
      </c>
      <c r="H365" s="10" t="s">
        <v>364</v>
      </c>
      <c r="I365" t="s">
        <v>1269</v>
      </c>
      <c r="J365" t="s">
        <v>1251</v>
      </c>
      <c r="K365">
        <v>5.54</v>
      </c>
      <c r="L365">
        <v>13.91</v>
      </c>
      <c r="M365">
        <v>19.079999999999998</v>
      </c>
      <c r="N365" s="20">
        <v>3.21</v>
      </c>
      <c r="O365">
        <v>48.36</v>
      </c>
      <c r="P365">
        <v>97.44</v>
      </c>
      <c r="Q365">
        <v>2.42</v>
      </c>
      <c r="R365" s="21">
        <v>1650.3125</v>
      </c>
    </row>
    <row r="366" spans="7:18" x14ac:dyDescent="0.15">
      <c r="G366" s="11">
        <v>365</v>
      </c>
      <c r="H366" s="10" t="s">
        <v>665</v>
      </c>
      <c r="I366" t="s">
        <v>1151</v>
      </c>
      <c r="J366" t="s">
        <v>870</v>
      </c>
      <c r="K366">
        <v>0.49</v>
      </c>
      <c r="L366">
        <v>0.97</v>
      </c>
      <c r="M366">
        <v>6.54</v>
      </c>
      <c r="N366" s="20">
        <v>-0.11</v>
      </c>
      <c r="O366">
        <v>48.22</v>
      </c>
      <c r="P366">
        <v>37.409999999999997</v>
      </c>
      <c r="Q366">
        <v>62.16</v>
      </c>
      <c r="R366" s="21">
        <v>14155.435669999999</v>
      </c>
    </row>
    <row r="367" spans="7:18" x14ac:dyDescent="0.15">
      <c r="G367" s="11">
        <v>366</v>
      </c>
      <c r="H367" s="10" t="s">
        <v>338</v>
      </c>
      <c r="I367" t="s">
        <v>1126</v>
      </c>
      <c r="J367" t="s">
        <v>870</v>
      </c>
      <c r="K367">
        <v>1.25</v>
      </c>
      <c r="L367">
        <v>5.01</v>
      </c>
      <c r="M367">
        <v>7.75</v>
      </c>
      <c r="N367" s="20">
        <v>0</v>
      </c>
      <c r="O367">
        <v>48.08</v>
      </c>
      <c r="P367">
        <v>49.08</v>
      </c>
      <c r="Q367">
        <v>50.36</v>
      </c>
      <c r="R367" s="21">
        <v>14242.377500000001</v>
      </c>
    </row>
    <row r="368" spans="7:18" x14ac:dyDescent="0.15">
      <c r="G368" s="11">
        <v>367</v>
      </c>
      <c r="H368" s="10" t="s">
        <v>518</v>
      </c>
      <c r="I368" t="s">
        <v>967</v>
      </c>
      <c r="J368" t="s">
        <v>870</v>
      </c>
      <c r="K368">
        <v>1.98</v>
      </c>
      <c r="L368">
        <v>4.84</v>
      </c>
      <c r="M368">
        <v>9.08</v>
      </c>
      <c r="N368" s="20">
        <v>0</v>
      </c>
      <c r="O368">
        <v>47.94</v>
      </c>
      <c r="P368">
        <v>64.150000000000006</v>
      </c>
      <c r="Q368">
        <v>35.14</v>
      </c>
      <c r="R368" s="21">
        <v>1004.8453699999999</v>
      </c>
    </row>
    <row r="369" spans="7:18" x14ac:dyDescent="0.15">
      <c r="G369" s="11">
        <v>368</v>
      </c>
      <c r="H369" s="10" t="s">
        <v>585</v>
      </c>
      <c r="I369" t="s">
        <v>1259</v>
      </c>
      <c r="J369" t="s">
        <v>1251</v>
      </c>
      <c r="K369">
        <v>5.53</v>
      </c>
      <c r="L369">
        <v>13.89</v>
      </c>
      <c r="M369">
        <v>19.05</v>
      </c>
      <c r="N369" s="20">
        <v>3.35</v>
      </c>
      <c r="O369">
        <v>47.8</v>
      </c>
      <c r="P369">
        <v>97.16</v>
      </c>
      <c r="Q369">
        <v>2.13</v>
      </c>
      <c r="R369" s="21">
        <v>489.66719999999998</v>
      </c>
    </row>
    <row r="370" spans="7:18" x14ac:dyDescent="0.15">
      <c r="G370" s="11">
        <v>369</v>
      </c>
      <c r="H370" s="10" t="s">
        <v>593</v>
      </c>
      <c r="I370" t="s">
        <v>877</v>
      </c>
      <c r="J370" t="s">
        <v>870</v>
      </c>
      <c r="K370">
        <v>1.42</v>
      </c>
      <c r="L370">
        <v>5.45</v>
      </c>
      <c r="M370">
        <v>7.26</v>
      </c>
      <c r="N370" s="20">
        <v>-0.06</v>
      </c>
      <c r="O370">
        <v>47.65</v>
      </c>
      <c r="P370">
        <v>44.67</v>
      </c>
      <c r="Q370">
        <v>54.62</v>
      </c>
      <c r="R370" s="21">
        <v>846.78869999999995</v>
      </c>
    </row>
    <row r="371" spans="7:18" x14ac:dyDescent="0.15">
      <c r="G371" s="11">
        <v>370</v>
      </c>
      <c r="H371" s="10" t="s">
        <v>357</v>
      </c>
      <c r="I371" t="s">
        <v>1256</v>
      </c>
      <c r="J371" t="s">
        <v>1251</v>
      </c>
      <c r="K371">
        <v>5.01</v>
      </c>
      <c r="L371">
        <v>12.14</v>
      </c>
      <c r="M371">
        <v>17.27</v>
      </c>
      <c r="N371" s="20">
        <v>3.34</v>
      </c>
      <c r="O371">
        <v>47.51</v>
      </c>
      <c r="P371">
        <v>96.87</v>
      </c>
      <c r="Q371">
        <v>2.2799999999999998</v>
      </c>
      <c r="R371" s="21">
        <v>315.09099709999998</v>
      </c>
    </row>
    <row r="372" spans="7:18" x14ac:dyDescent="0.15">
      <c r="G372" s="11">
        <v>371</v>
      </c>
      <c r="H372" s="10" t="s">
        <v>714</v>
      </c>
      <c r="I372" t="s">
        <v>1170</v>
      </c>
      <c r="J372" t="s">
        <v>870</v>
      </c>
      <c r="K372">
        <v>1.35</v>
      </c>
      <c r="L372">
        <v>4.79</v>
      </c>
      <c r="M372">
        <v>7.53</v>
      </c>
      <c r="N372" s="20">
        <v>0</v>
      </c>
      <c r="O372">
        <v>47.37</v>
      </c>
      <c r="P372">
        <v>46.51</v>
      </c>
      <c r="Q372">
        <v>52.63</v>
      </c>
      <c r="R372" s="21">
        <v>63504.213900000002</v>
      </c>
    </row>
    <row r="373" spans="7:18" x14ac:dyDescent="0.15">
      <c r="G373" s="11">
        <v>372</v>
      </c>
      <c r="H373" s="10" t="s">
        <v>1305</v>
      </c>
      <c r="I373" t="s">
        <v>1173</v>
      </c>
      <c r="J373" t="s">
        <v>1288</v>
      </c>
      <c r="K373">
        <v>-2.93</v>
      </c>
      <c r="L373">
        <v>0.73</v>
      </c>
      <c r="M373">
        <v>5.38</v>
      </c>
      <c r="N373" s="20">
        <v>-0.14000000000000001</v>
      </c>
      <c r="O373">
        <v>47.23</v>
      </c>
      <c r="P373">
        <v>30.73</v>
      </c>
      <c r="Q373">
        <v>68.14</v>
      </c>
      <c r="R373" s="21">
        <v>3523.7713899999999</v>
      </c>
    </row>
    <row r="374" spans="7:18" x14ac:dyDescent="0.15">
      <c r="G374" s="11">
        <v>373</v>
      </c>
      <c r="H374" s="10" t="s">
        <v>776</v>
      </c>
      <c r="I374" t="s">
        <v>1210</v>
      </c>
      <c r="J374" t="s">
        <v>1198</v>
      </c>
      <c r="K374">
        <v>-8.5500000000000007</v>
      </c>
      <c r="L374">
        <v>-10.67</v>
      </c>
      <c r="M374">
        <v>-6.73</v>
      </c>
      <c r="N374" s="20">
        <v>-2.13</v>
      </c>
      <c r="O374">
        <v>47.08</v>
      </c>
      <c r="P374">
        <v>1.85</v>
      </c>
      <c r="Q374">
        <v>96.87</v>
      </c>
      <c r="R374" s="21">
        <v>169.7932859</v>
      </c>
    </row>
    <row r="375" spans="7:18" x14ac:dyDescent="0.15">
      <c r="G375" s="11">
        <v>374</v>
      </c>
      <c r="H375" s="10" t="s">
        <v>1645</v>
      </c>
      <c r="I375" t="s">
        <v>1646</v>
      </c>
      <c r="J375" t="s">
        <v>1688</v>
      </c>
      <c r="K375">
        <v>2.09</v>
      </c>
      <c r="L375">
        <v>5.82</v>
      </c>
      <c r="M375">
        <v>8.91</v>
      </c>
      <c r="N375" s="20">
        <v>0</v>
      </c>
      <c r="O375">
        <v>46.94</v>
      </c>
      <c r="P375">
        <v>61.59</v>
      </c>
      <c r="Q375">
        <v>36.979999999999997</v>
      </c>
      <c r="R375" s="21">
        <v>2919.1576</v>
      </c>
    </row>
    <row r="376" spans="7:18" x14ac:dyDescent="0.15">
      <c r="G376" s="11">
        <v>375</v>
      </c>
      <c r="H376" s="10" t="s">
        <v>314</v>
      </c>
      <c r="I376" t="s">
        <v>853</v>
      </c>
      <c r="J376" t="s">
        <v>833</v>
      </c>
      <c r="K376">
        <v>3.33</v>
      </c>
      <c r="L376">
        <v>6.68</v>
      </c>
      <c r="M376">
        <v>12.03</v>
      </c>
      <c r="N376" s="20">
        <v>0.27</v>
      </c>
      <c r="O376">
        <v>46.8</v>
      </c>
      <c r="P376">
        <v>83.93</v>
      </c>
      <c r="Q376">
        <v>14.51</v>
      </c>
      <c r="R376" s="21">
        <v>754.10479999999995</v>
      </c>
    </row>
    <row r="377" spans="7:18" x14ac:dyDescent="0.15">
      <c r="G377" s="11">
        <v>376</v>
      </c>
      <c r="H377" s="10" t="s">
        <v>663</v>
      </c>
      <c r="I377" t="s">
        <v>1080</v>
      </c>
      <c r="J377" t="s">
        <v>870</v>
      </c>
      <c r="K377">
        <v>1.41</v>
      </c>
      <c r="L377">
        <v>4.4000000000000004</v>
      </c>
      <c r="M377">
        <v>9.07</v>
      </c>
      <c r="N377" s="20">
        <v>0</v>
      </c>
      <c r="O377">
        <v>46.66</v>
      </c>
      <c r="P377">
        <v>64.010000000000005</v>
      </c>
      <c r="Q377">
        <v>34.42</v>
      </c>
      <c r="R377" s="21">
        <v>4951.0209000000004</v>
      </c>
    </row>
    <row r="378" spans="7:18" x14ac:dyDescent="0.15">
      <c r="G378" s="11">
        <v>377</v>
      </c>
      <c r="H378" s="10" t="s">
        <v>629</v>
      </c>
      <c r="I378" t="s">
        <v>1047</v>
      </c>
      <c r="J378" t="s">
        <v>870</v>
      </c>
      <c r="K378">
        <v>7.12</v>
      </c>
      <c r="L378">
        <v>9.83</v>
      </c>
      <c r="M378">
        <v>11.67</v>
      </c>
      <c r="N378" s="20">
        <v>0.23</v>
      </c>
      <c r="O378">
        <v>46.51</v>
      </c>
      <c r="P378">
        <v>81.790000000000006</v>
      </c>
      <c r="Q378">
        <v>16.5</v>
      </c>
      <c r="R378" s="21">
        <v>4352.1235999999999</v>
      </c>
    </row>
    <row r="379" spans="7:18" x14ac:dyDescent="0.15">
      <c r="G379" s="11">
        <v>378</v>
      </c>
      <c r="H379" s="10" t="s">
        <v>723</v>
      </c>
      <c r="I379" t="s">
        <v>1112</v>
      </c>
      <c r="J379" t="s">
        <v>870</v>
      </c>
      <c r="K379">
        <v>1.7</v>
      </c>
      <c r="L379">
        <v>9.33</v>
      </c>
      <c r="M379">
        <v>11.46</v>
      </c>
      <c r="N379" s="20">
        <v>0.19</v>
      </c>
      <c r="O379">
        <v>46.37</v>
      </c>
      <c r="P379">
        <v>78.95</v>
      </c>
      <c r="Q379">
        <v>19.2</v>
      </c>
      <c r="R379" s="21">
        <v>12254.7466047</v>
      </c>
    </row>
    <row r="380" spans="7:18" x14ac:dyDescent="0.15">
      <c r="G380" s="11">
        <v>379</v>
      </c>
      <c r="H380" s="10" t="s">
        <v>511</v>
      </c>
      <c r="I380" t="s">
        <v>1455</v>
      </c>
      <c r="J380" t="s">
        <v>1688</v>
      </c>
      <c r="K380">
        <v>0.48</v>
      </c>
      <c r="L380">
        <v>1.46</v>
      </c>
      <c r="M380">
        <v>1.75</v>
      </c>
      <c r="N380" s="20">
        <v>-0.3</v>
      </c>
      <c r="O380">
        <v>46.23</v>
      </c>
      <c r="P380">
        <v>14.94</v>
      </c>
      <c r="Q380">
        <v>83.21</v>
      </c>
      <c r="R380" s="21">
        <v>9102.6062000000002</v>
      </c>
    </row>
    <row r="381" spans="7:18" x14ac:dyDescent="0.15">
      <c r="G381" s="11">
        <v>380</v>
      </c>
      <c r="H381" s="10" t="s">
        <v>1401</v>
      </c>
      <c r="I381" t="s">
        <v>1402</v>
      </c>
      <c r="J381" t="s">
        <v>1688</v>
      </c>
      <c r="K381">
        <v>0.21</v>
      </c>
      <c r="L381">
        <v>0.78</v>
      </c>
      <c r="M381">
        <v>5.66</v>
      </c>
      <c r="N381" s="20">
        <v>-0.13</v>
      </c>
      <c r="O381">
        <v>46.09</v>
      </c>
      <c r="P381">
        <v>32.01</v>
      </c>
      <c r="Q381">
        <v>65.86</v>
      </c>
      <c r="R381" s="21">
        <v>1322.0879421</v>
      </c>
    </row>
    <row r="382" spans="7:18" x14ac:dyDescent="0.15">
      <c r="G382" s="11">
        <v>381</v>
      </c>
      <c r="H382" s="10" t="s">
        <v>662</v>
      </c>
      <c r="I382" t="s">
        <v>1122</v>
      </c>
      <c r="J382" t="s">
        <v>870</v>
      </c>
      <c r="K382">
        <v>2.23</v>
      </c>
      <c r="L382">
        <v>9.1300000000000008</v>
      </c>
      <c r="M382">
        <v>11.6</v>
      </c>
      <c r="N382" s="20">
        <v>0.21</v>
      </c>
      <c r="O382">
        <v>45.95</v>
      </c>
      <c r="P382">
        <v>80.23</v>
      </c>
      <c r="Q382">
        <v>17.5</v>
      </c>
      <c r="R382" s="21">
        <v>26931.205000000002</v>
      </c>
    </row>
    <row r="383" spans="7:18" x14ac:dyDescent="0.15">
      <c r="G383" s="11">
        <v>382</v>
      </c>
      <c r="H383" s="10" t="s">
        <v>652</v>
      </c>
      <c r="I383" t="s">
        <v>880</v>
      </c>
      <c r="J383" t="s">
        <v>870</v>
      </c>
      <c r="K383">
        <v>1.3</v>
      </c>
      <c r="L383">
        <v>4.4400000000000004</v>
      </c>
      <c r="M383">
        <v>6.8</v>
      </c>
      <c r="N383" s="20">
        <v>-0.08</v>
      </c>
      <c r="O383">
        <v>45.8</v>
      </c>
      <c r="P383">
        <v>40.26</v>
      </c>
      <c r="Q383">
        <v>57.47</v>
      </c>
      <c r="R383" s="21">
        <v>66.505799999999994</v>
      </c>
    </row>
    <row r="384" spans="7:18" x14ac:dyDescent="0.15">
      <c r="G384" s="11">
        <v>383</v>
      </c>
      <c r="H384" s="10" t="s">
        <v>568</v>
      </c>
      <c r="I384" t="s">
        <v>1247</v>
      </c>
      <c r="J384" t="s">
        <v>1242</v>
      </c>
      <c r="K384">
        <v>0.52</v>
      </c>
      <c r="L384">
        <v>2.06</v>
      </c>
      <c r="M384">
        <v>4.4400000000000004</v>
      </c>
      <c r="N384" s="20">
        <v>-0.17</v>
      </c>
      <c r="O384">
        <v>45.66</v>
      </c>
      <c r="P384">
        <v>25.46</v>
      </c>
      <c r="Q384">
        <v>72.260000000000005</v>
      </c>
      <c r="R384" s="21">
        <v>145.3852</v>
      </c>
    </row>
    <row r="385" spans="7:18" x14ac:dyDescent="0.15">
      <c r="G385" s="11">
        <v>384</v>
      </c>
      <c r="H385" s="10" t="s">
        <v>832</v>
      </c>
      <c r="I385" t="s">
        <v>831</v>
      </c>
      <c r="J385" t="s">
        <v>1688</v>
      </c>
      <c r="K385">
        <v>0.19</v>
      </c>
      <c r="L385">
        <v>-0.19</v>
      </c>
      <c r="M385">
        <v>0.67</v>
      </c>
      <c r="N385" s="20">
        <v>-0.38</v>
      </c>
      <c r="O385">
        <v>45.52</v>
      </c>
      <c r="P385">
        <v>11.52</v>
      </c>
      <c r="Q385">
        <v>86.2</v>
      </c>
      <c r="R385" s="21">
        <v>526.25670000000002</v>
      </c>
    </row>
    <row r="386" spans="7:18" x14ac:dyDescent="0.15">
      <c r="G386" s="11">
        <v>385</v>
      </c>
      <c r="H386" s="10" t="s">
        <v>1294</v>
      </c>
      <c r="I386" t="s">
        <v>1295</v>
      </c>
      <c r="J386" t="s">
        <v>1288</v>
      </c>
      <c r="K386">
        <v>-0.62</v>
      </c>
      <c r="L386">
        <v>-2.54</v>
      </c>
      <c r="M386">
        <v>0.65</v>
      </c>
      <c r="N386" s="20">
        <v>-0.4</v>
      </c>
      <c r="O386">
        <v>45.38</v>
      </c>
      <c r="P386">
        <v>10.95</v>
      </c>
      <c r="Q386">
        <v>86.77</v>
      </c>
      <c r="R386" s="21">
        <v>45.582599999999999</v>
      </c>
    </row>
    <row r="387" spans="7:18" x14ac:dyDescent="0.15">
      <c r="G387" s="11">
        <v>386</v>
      </c>
      <c r="H387" s="10" t="s">
        <v>748</v>
      </c>
      <c r="I387" t="s">
        <v>1140</v>
      </c>
      <c r="J387" t="s">
        <v>870</v>
      </c>
      <c r="K387">
        <v>2.2599999999999998</v>
      </c>
      <c r="L387">
        <v>9.18</v>
      </c>
      <c r="M387">
        <v>11.67</v>
      </c>
      <c r="N387" s="20">
        <v>0.23</v>
      </c>
      <c r="O387">
        <v>45.23</v>
      </c>
      <c r="P387">
        <v>81.22</v>
      </c>
      <c r="Q387">
        <v>16.22</v>
      </c>
      <c r="R387" s="21">
        <v>15196.917884400002</v>
      </c>
    </row>
    <row r="388" spans="7:18" x14ac:dyDescent="0.15">
      <c r="G388" s="11">
        <v>387</v>
      </c>
      <c r="H388" s="10" t="s">
        <v>1665</v>
      </c>
      <c r="I388" t="s">
        <v>1666</v>
      </c>
      <c r="J388" t="s">
        <v>1688</v>
      </c>
      <c r="K388">
        <v>2.23</v>
      </c>
      <c r="L388">
        <v>7.34</v>
      </c>
      <c r="M388">
        <v>9.86</v>
      </c>
      <c r="N388" s="20">
        <v>0.11</v>
      </c>
      <c r="O388">
        <v>45.09</v>
      </c>
      <c r="P388">
        <v>69.7</v>
      </c>
      <c r="Q388">
        <v>27.45</v>
      </c>
      <c r="R388" s="21">
        <v>14579.339599999999</v>
      </c>
    </row>
    <row r="389" spans="7:18" x14ac:dyDescent="0.15">
      <c r="G389" s="11">
        <v>388</v>
      </c>
      <c r="H389" s="10" t="s">
        <v>706</v>
      </c>
      <c r="I389" t="s">
        <v>983</v>
      </c>
      <c r="J389" t="s">
        <v>870</v>
      </c>
      <c r="K389">
        <v>1.55</v>
      </c>
      <c r="L389">
        <v>4.87</v>
      </c>
      <c r="M389">
        <v>7.18</v>
      </c>
      <c r="N389" s="20">
        <v>-0.02</v>
      </c>
      <c r="O389">
        <v>44.95</v>
      </c>
      <c r="P389">
        <v>43.67</v>
      </c>
      <c r="Q389">
        <v>53.34</v>
      </c>
      <c r="R389" s="21">
        <v>1696.8778</v>
      </c>
    </row>
    <row r="390" spans="7:18" x14ac:dyDescent="0.15">
      <c r="G390" s="11">
        <v>389</v>
      </c>
      <c r="H390" s="10" t="s">
        <v>645</v>
      </c>
      <c r="I390" t="s">
        <v>1179</v>
      </c>
      <c r="J390" t="s">
        <v>870</v>
      </c>
      <c r="K390">
        <v>1.38</v>
      </c>
      <c r="L390">
        <v>4.3899999999999997</v>
      </c>
      <c r="M390">
        <v>9.07</v>
      </c>
      <c r="N390" s="20">
        <v>0.04</v>
      </c>
      <c r="O390">
        <v>44.81</v>
      </c>
      <c r="P390">
        <v>63.87</v>
      </c>
      <c r="Q390">
        <v>33</v>
      </c>
      <c r="R390" s="21">
        <v>163181.74280000001</v>
      </c>
    </row>
    <row r="391" spans="7:18" x14ac:dyDescent="0.15">
      <c r="G391" s="11">
        <v>390</v>
      </c>
      <c r="H391" s="10" t="s">
        <v>586</v>
      </c>
      <c r="I391" t="s">
        <v>991</v>
      </c>
      <c r="J391" t="s">
        <v>870</v>
      </c>
      <c r="K391">
        <v>1.7</v>
      </c>
      <c r="L391">
        <v>5.81</v>
      </c>
      <c r="M391">
        <v>8.85</v>
      </c>
      <c r="N391" s="20">
        <v>0</v>
      </c>
      <c r="O391">
        <v>44.67</v>
      </c>
      <c r="P391">
        <v>60.74</v>
      </c>
      <c r="Q391">
        <v>36.130000000000003</v>
      </c>
      <c r="R391" s="21">
        <v>1849.6276</v>
      </c>
    </row>
    <row r="392" spans="7:18" x14ac:dyDescent="0.15">
      <c r="G392" s="11">
        <v>391</v>
      </c>
      <c r="H392" s="10" t="s">
        <v>330</v>
      </c>
      <c r="I392" t="s">
        <v>1371</v>
      </c>
      <c r="J392" t="s">
        <v>1688</v>
      </c>
      <c r="K392">
        <v>0.05</v>
      </c>
      <c r="L392">
        <v>0.05</v>
      </c>
      <c r="M392">
        <v>0.21</v>
      </c>
      <c r="N392" s="20">
        <v>-0.41</v>
      </c>
      <c r="O392">
        <v>44.52</v>
      </c>
      <c r="P392">
        <v>9.39</v>
      </c>
      <c r="Q392">
        <v>87.2</v>
      </c>
      <c r="R392" s="21">
        <v>3756.7204999999999</v>
      </c>
    </row>
    <row r="393" spans="7:18" x14ac:dyDescent="0.15">
      <c r="G393" s="11">
        <v>392</v>
      </c>
      <c r="H393" s="10" t="s">
        <v>584</v>
      </c>
      <c r="I393" t="s">
        <v>1174</v>
      </c>
      <c r="J393" t="s">
        <v>870</v>
      </c>
      <c r="K393">
        <v>1.51</v>
      </c>
      <c r="L393">
        <v>6.07</v>
      </c>
      <c r="M393">
        <v>8.93</v>
      </c>
      <c r="N393" s="20">
        <v>0</v>
      </c>
      <c r="O393">
        <v>44.38</v>
      </c>
      <c r="P393">
        <v>61.74</v>
      </c>
      <c r="Q393">
        <v>34.85</v>
      </c>
      <c r="R393" s="21">
        <v>119261.95256219999</v>
      </c>
    </row>
    <row r="394" spans="7:18" x14ac:dyDescent="0.15">
      <c r="G394" s="11">
        <v>393</v>
      </c>
      <c r="H394" s="10" t="s">
        <v>1580</v>
      </c>
      <c r="I394" t="s">
        <v>1581</v>
      </c>
      <c r="J394" t="s">
        <v>1688</v>
      </c>
      <c r="K394">
        <v>-1.32</v>
      </c>
      <c r="L394">
        <v>5.3</v>
      </c>
      <c r="M394">
        <v>10.57</v>
      </c>
      <c r="N394" s="20">
        <v>0.15</v>
      </c>
      <c r="O394">
        <v>44.24</v>
      </c>
      <c r="P394">
        <v>73.540000000000006</v>
      </c>
      <c r="Q394">
        <v>23.04</v>
      </c>
      <c r="R394" s="21">
        <v>164.16691</v>
      </c>
    </row>
    <row r="395" spans="7:18" x14ac:dyDescent="0.15">
      <c r="G395" s="11">
        <v>394</v>
      </c>
      <c r="H395" s="10" t="s">
        <v>421</v>
      </c>
      <c r="I395" t="s">
        <v>1243</v>
      </c>
      <c r="J395" t="s">
        <v>1242</v>
      </c>
      <c r="K395">
        <v>3.5</v>
      </c>
      <c r="L395">
        <v>6.72</v>
      </c>
      <c r="M395">
        <v>12.58</v>
      </c>
      <c r="N395" s="20">
        <v>0.44</v>
      </c>
      <c r="O395">
        <v>44.1</v>
      </c>
      <c r="P395">
        <v>86.49</v>
      </c>
      <c r="Q395">
        <v>9.67</v>
      </c>
      <c r="R395" s="21">
        <v>100.7527</v>
      </c>
    </row>
    <row r="396" spans="7:18" x14ac:dyDescent="0.15">
      <c r="G396" s="11">
        <v>395</v>
      </c>
      <c r="H396" s="10" t="s">
        <v>666</v>
      </c>
      <c r="I396" t="s">
        <v>1172</v>
      </c>
      <c r="J396" t="s">
        <v>870</v>
      </c>
      <c r="K396">
        <v>1.5</v>
      </c>
      <c r="L396">
        <v>6.05</v>
      </c>
      <c r="M396">
        <v>8.9</v>
      </c>
      <c r="N396" s="20">
        <v>0</v>
      </c>
      <c r="O396">
        <v>43.95</v>
      </c>
      <c r="P396">
        <v>61.45</v>
      </c>
      <c r="Q396">
        <v>34.57</v>
      </c>
      <c r="R396" s="21">
        <v>95541.267699999997</v>
      </c>
    </row>
    <row r="397" spans="7:18" x14ac:dyDescent="0.15">
      <c r="G397" s="11">
        <v>396</v>
      </c>
      <c r="H397" s="10" t="s">
        <v>696</v>
      </c>
      <c r="I397" t="s">
        <v>986</v>
      </c>
      <c r="J397" t="s">
        <v>870</v>
      </c>
      <c r="K397">
        <v>-0.47</v>
      </c>
      <c r="L397">
        <v>0.51</v>
      </c>
      <c r="M397">
        <v>5.62</v>
      </c>
      <c r="N397" s="20">
        <v>-0.12</v>
      </c>
      <c r="O397">
        <v>43.81</v>
      </c>
      <c r="P397">
        <v>31.72</v>
      </c>
      <c r="Q397">
        <v>64.150000000000006</v>
      </c>
      <c r="R397" s="21">
        <v>884.99186999999995</v>
      </c>
    </row>
    <row r="398" spans="7:18" x14ac:dyDescent="0.15">
      <c r="G398" s="11">
        <v>397</v>
      </c>
      <c r="H398" s="10" t="s">
        <v>713</v>
      </c>
      <c r="I398" t="s">
        <v>1169</v>
      </c>
      <c r="J398" t="s">
        <v>870</v>
      </c>
      <c r="K398">
        <v>1.53</v>
      </c>
      <c r="L398">
        <v>4.7699999999999996</v>
      </c>
      <c r="M398">
        <v>7.02</v>
      </c>
      <c r="N398" s="20">
        <v>-0.02</v>
      </c>
      <c r="O398">
        <v>43.67</v>
      </c>
      <c r="P398">
        <v>42.53</v>
      </c>
      <c r="Q398">
        <v>53.2</v>
      </c>
      <c r="R398" s="21">
        <v>56887.206899999997</v>
      </c>
    </row>
    <row r="399" spans="7:18" x14ac:dyDescent="0.15">
      <c r="G399" s="11">
        <v>398</v>
      </c>
      <c r="H399" s="10" t="s">
        <v>687</v>
      </c>
      <c r="I399" t="s">
        <v>1016</v>
      </c>
      <c r="J399" t="s">
        <v>870</v>
      </c>
      <c r="K399">
        <v>2.23</v>
      </c>
      <c r="L399">
        <v>9.15</v>
      </c>
      <c r="M399">
        <v>11.67</v>
      </c>
      <c r="N399" s="20">
        <v>0.27</v>
      </c>
      <c r="O399">
        <v>43.53</v>
      </c>
      <c r="P399">
        <v>81.650000000000006</v>
      </c>
      <c r="Q399">
        <v>13.94</v>
      </c>
      <c r="R399" s="21">
        <v>5009.9296000000004</v>
      </c>
    </row>
    <row r="400" spans="7:18" x14ac:dyDescent="0.15">
      <c r="G400" s="11">
        <v>399</v>
      </c>
      <c r="H400" s="10" t="s">
        <v>533</v>
      </c>
      <c r="I400" t="s">
        <v>955</v>
      </c>
      <c r="J400" t="s">
        <v>870</v>
      </c>
      <c r="K400">
        <v>2.97</v>
      </c>
      <c r="L400">
        <v>5.61</v>
      </c>
      <c r="M400">
        <v>8.7799999999999994</v>
      </c>
      <c r="N400" s="20">
        <v>0</v>
      </c>
      <c r="O400">
        <v>43.39</v>
      </c>
      <c r="P400">
        <v>59.89</v>
      </c>
      <c r="Q400">
        <v>35.42</v>
      </c>
      <c r="R400" s="21">
        <v>1947.6682936</v>
      </c>
    </row>
    <row r="401" spans="7:18" x14ac:dyDescent="0.15">
      <c r="G401" s="11">
        <v>400</v>
      </c>
      <c r="H401" s="10" t="s">
        <v>425</v>
      </c>
      <c r="I401" t="s">
        <v>898</v>
      </c>
      <c r="J401" t="s">
        <v>870</v>
      </c>
      <c r="K401">
        <v>0.48</v>
      </c>
      <c r="L401">
        <v>3.36</v>
      </c>
      <c r="M401">
        <v>6.59</v>
      </c>
      <c r="N401" s="20">
        <v>-0.08</v>
      </c>
      <c r="O401">
        <v>43.24</v>
      </c>
      <c r="P401">
        <v>37.979999999999997</v>
      </c>
      <c r="Q401">
        <v>57.18</v>
      </c>
      <c r="R401" s="21">
        <v>244.69829999999999</v>
      </c>
    </row>
    <row r="402" spans="7:18" x14ac:dyDescent="0.15">
      <c r="G402" s="11">
        <v>401</v>
      </c>
      <c r="H402" s="10" t="s">
        <v>1657</v>
      </c>
      <c r="I402" t="s">
        <v>1658</v>
      </c>
      <c r="J402" t="s">
        <v>1688</v>
      </c>
      <c r="K402">
        <v>-0.03</v>
      </c>
      <c r="L402">
        <v>0.56999999999999995</v>
      </c>
      <c r="M402">
        <v>4.8499999999999996</v>
      </c>
      <c r="N402" s="20">
        <v>-0.13</v>
      </c>
      <c r="O402">
        <v>43.1</v>
      </c>
      <c r="P402">
        <v>27.6</v>
      </c>
      <c r="Q402">
        <v>67.430000000000007</v>
      </c>
      <c r="R402" s="21">
        <v>783.90390000000002</v>
      </c>
    </row>
    <row r="403" spans="7:18" x14ac:dyDescent="0.15">
      <c r="G403" s="11">
        <v>402</v>
      </c>
      <c r="H403" s="10" t="s">
        <v>538</v>
      </c>
      <c r="I403" t="s">
        <v>1095</v>
      </c>
      <c r="J403" t="s">
        <v>870</v>
      </c>
      <c r="K403">
        <v>2.34</v>
      </c>
      <c r="L403">
        <v>5.36</v>
      </c>
      <c r="M403">
        <v>10.06</v>
      </c>
      <c r="N403" s="20">
        <v>0.14000000000000001</v>
      </c>
      <c r="O403">
        <v>42.96</v>
      </c>
      <c r="P403">
        <v>71.41</v>
      </c>
      <c r="Q403">
        <v>23.61</v>
      </c>
      <c r="R403" s="21">
        <v>5498.9334498000007</v>
      </c>
    </row>
    <row r="404" spans="7:18" x14ac:dyDescent="0.15">
      <c r="G404" s="11">
        <v>403</v>
      </c>
      <c r="H404" s="10" t="s">
        <v>315</v>
      </c>
      <c r="I404" t="s">
        <v>1349</v>
      </c>
      <c r="J404" t="s">
        <v>1688</v>
      </c>
      <c r="K404">
        <v>0.09</v>
      </c>
      <c r="L404">
        <v>0.05</v>
      </c>
      <c r="M404">
        <v>0.2</v>
      </c>
      <c r="N404" s="20">
        <v>-0.35</v>
      </c>
      <c r="O404">
        <v>42.82</v>
      </c>
      <c r="P404">
        <v>9.25</v>
      </c>
      <c r="Q404">
        <v>85.35</v>
      </c>
      <c r="R404" s="21">
        <v>974.38691999999992</v>
      </c>
    </row>
    <row r="405" spans="7:18" x14ac:dyDescent="0.15">
      <c r="G405" s="11">
        <v>404</v>
      </c>
      <c r="H405" s="10" t="s">
        <v>1647</v>
      </c>
      <c r="I405" t="s">
        <v>1648</v>
      </c>
      <c r="J405" t="s">
        <v>1688</v>
      </c>
      <c r="K405">
        <v>1.37</v>
      </c>
      <c r="L405">
        <v>4.2300000000000004</v>
      </c>
      <c r="M405">
        <v>8.86</v>
      </c>
      <c r="N405" s="20">
        <v>0</v>
      </c>
      <c r="O405">
        <v>42.67</v>
      </c>
      <c r="P405">
        <v>60.88</v>
      </c>
      <c r="Q405">
        <v>33.57</v>
      </c>
      <c r="R405" s="21">
        <v>8647.4249</v>
      </c>
    </row>
    <row r="406" spans="7:18" x14ac:dyDescent="0.15">
      <c r="G406" s="11">
        <v>405</v>
      </c>
      <c r="H406" s="10" t="s">
        <v>732</v>
      </c>
      <c r="I406" t="s">
        <v>1010</v>
      </c>
      <c r="J406" t="s">
        <v>870</v>
      </c>
      <c r="K406">
        <v>3.78</v>
      </c>
      <c r="L406">
        <v>7.55</v>
      </c>
      <c r="M406">
        <v>11.19</v>
      </c>
      <c r="N406" s="20">
        <v>0.21</v>
      </c>
      <c r="O406">
        <v>42.53</v>
      </c>
      <c r="P406">
        <v>76.67</v>
      </c>
      <c r="Q406">
        <v>17.78</v>
      </c>
      <c r="R406" s="21">
        <v>1507.1797900000001</v>
      </c>
    </row>
    <row r="407" spans="7:18" x14ac:dyDescent="0.15">
      <c r="G407" s="11">
        <v>406</v>
      </c>
      <c r="H407" s="10" t="s">
        <v>1415</v>
      </c>
      <c r="I407" t="s">
        <v>1416</v>
      </c>
      <c r="J407" t="s">
        <v>1688</v>
      </c>
      <c r="K407">
        <v>1.1499999999999999</v>
      </c>
      <c r="L407">
        <v>3.41</v>
      </c>
      <c r="M407">
        <v>8.07</v>
      </c>
      <c r="N407" s="20">
        <v>0</v>
      </c>
      <c r="O407">
        <v>42.39</v>
      </c>
      <c r="P407">
        <v>52.49</v>
      </c>
      <c r="Q407">
        <v>41.68</v>
      </c>
      <c r="R407" s="21">
        <v>904.38048019999997</v>
      </c>
    </row>
    <row r="408" spans="7:18" x14ac:dyDescent="0.15">
      <c r="G408" s="11">
        <v>407</v>
      </c>
      <c r="H408" s="10" t="s">
        <v>324</v>
      </c>
      <c r="I408" t="s">
        <v>1370</v>
      </c>
      <c r="J408" t="s">
        <v>1688</v>
      </c>
      <c r="K408">
        <v>-0.01</v>
      </c>
      <c r="L408">
        <v>-7.0000000000000007E-2</v>
      </c>
      <c r="M408">
        <v>0.16</v>
      </c>
      <c r="N408" s="20">
        <v>-0.35</v>
      </c>
      <c r="O408">
        <v>42.25</v>
      </c>
      <c r="P408">
        <v>8.82</v>
      </c>
      <c r="Q408">
        <v>85.21</v>
      </c>
      <c r="R408" s="21">
        <v>2769.8483000000001</v>
      </c>
    </row>
    <row r="409" spans="7:18" x14ac:dyDescent="0.15">
      <c r="G409" s="11">
        <v>408</v>
      </c>
      <c r="H409" s="10" t="s">
        <v>1625</v>
      </c>
      <c r="I409" t="s">
        <v>1626</v>
      </c>
      <c r="J409" t="s">
        <v>1688</v>
      </c>
      <c r="K409">
        <v>-1.04</v>
      </c>
      <c r="L409">
        <v>0.52</v>
      </c>
      <c r="M409">
        <v>0.72</v>
      </c>
      <c r="N409" s="20">
        <v>-0.28000000000000003</v>
      </c>
      <c r="O409">
        <v>42.11</v>
      </c>
      <c r="P409">
        <v>12.09</v>
      </c>
      <c r="Q409">
        <v>81.93</v>
      </c>
      <c r="R409" s="21">
        <v>9.1737099999999998</v>
      </c>
    </row>
    <row r="410" spans="7:18" x14ac:dyDescent="0.15">
      <c r="G410" s="11">
        <v>409</v>
      </c>
      <c r="H410" s="10" t="s">
        <v>609</v>
      </c>
      <c r="I410" t="s">
        <v>963</v>
      </c>
      <c r="J410" t="s">
        <v>870</v>
      </c>
      <c r="K410">
        <v>3.99</v>
      </c>
      <c r="L410">
        <v>8.14</v>
      </c>
      <c r="M410">
        <v>11.85</v>
      </c>
      <c r="N410" s="20">
        <v>0.38</v>
      </c>
      <c r="O410">
        <v>41.96</v>
      </c>
      <c r="P410">
        <v>82.65</v>
      </c>
      <c r="Q410">
        <v>11.24</v>
      </c>
      <c r="R410" s="21">
        <v>1963.7103500000001</v>
      </c>
    </row>
    <row r="411" spans="7:18" x14ac:dyDescent="0.15">
      <c r="G411" s="11">
        <v>410</v>
      </c>
      <c r="H411" s="10" t="s">
        <v>709</v>
      </c>
      <c r="I411" t="s">
        <v>265</v>
      </c>
      <c r="J411" t="s">
        <v>870</v>
      </c>
      <c r="K411">
        <v>1.79</v>
      </c>
      <c r="L411">
        <v>5.59</v>
      </c>
      <c r="M411">
        <v>8.26</v>
      </c>
      <c r="N411" s="20">
        <v>0</v>
      </c>
      <c r="O411">
        <v>41.82</v>
      </c>
      <c r="P411">
        <v>54.91</v>
      </c>
      <c r="Q411">
        <v>38.979999999999997</v>
      </c>
      <c r="R411" s="21">
        <v>13048.480299999999</v>
      </c>
    </row>
    <row r="412" spans="7:18" x14ac:dyDescent="0.15">
      <c r="G412" s="11">
        <v>411</v>
      </c>
      <c r="H412" s="10" t="s">
        <v>404</v>
      </c>
      <c r="I412" t="s">
        <v>1049</v>
      </c>
      <c r="J412" t="s">
        <v>870</v>
      </c>
      <c r="K412">
        <v>1.27</v>
      </c>
      <c r="L412">
        <v>4.9000000000000004</v>
      </c>
      <c r="M412">
        <v>7.55</v>
      </c>
      <c r="N412" s="20">
        <v>0</v>
      </c>
      <c r="O412">
        <v>41.68</v>
      </c>
      <c r="P412">
        <v>46.94</v>
      </c>
      <c r="Q412">
        <v>46.94</v>
      </c>
      <c r="R412" s="21">
        <v>2239.5859</v>
      </c>
    </row>
    <row r="413" spans="7:18" x14ac:dyDescent="0.15">
      <c r="G413" s="11">
        <v>412</v>
      </c>
      <c r="H413" s="10" t="s">
        <v>360</v>
      </c>
      <c r="I413" t="s">
        <v>1127</v>
      </c>
      <c r="J413" t="s">
        <v>870</v>
      </c>
      <c r="K413">
        <v>1.3</v>
      </c>
      <c r="L413">
        <v>4.88</v>
      </c>
      <c r="M413">
        <v>7.58</v>
      </c>
      <c r="N413" s="20">
        <v>0</v>
      </c>
      <c r="O413">
        <v>41.54</v>
      </c>
      <c r="P413">
        <v>47.23</v>
      </c>
      <c r="Q413">
        <v>46.51</v>
      </c>
      <c r="R413" s="21">
        <v>14486.388199999999</v>
      </c>
    </row>
    <row r="414" spans="7:18" x14ac:dyDescent="0.15">
      <c r="G414" s="11">
        <v>413</v>
      </c>
      <c r="H414" s="10" t="s">
        <v>406</v>
      </c>
      <c r="I414" t="s">
        <v>1102</v>
      </c>
      <c r="J414" t="s">
        <v>870</v>
      </c>
      <c r="K414">
        <v>-2.0499999999999998</v>
      </c>
      <c r="L414">
        <v>0.45</v>
      </c>
      <c r="M414">
        <v>0.62</v>
      </c>
      <c r="N414" s="20">
        <v>-0.3</v>
      </c>
      <c r="O414">
        <v>41.39</v>
      </c>
      <c r="P414">
        <v>10.67</v>
      </c>
      <c r="Q414">
        <v>83.07</v>
      </c>
      <c r="R414" s="21">
        <v>3137.39626</v>
      </c>
    </row>
    <row r="415" spans="7:18" x14ac:dyDescent="0.15">
      <c r="G415" s="11">
        <v>414</v>
      </c>
      <c r="H415" s="10" t="s">
        <v>348</v>
      </c>
      <c r="I415" t="s">
        <v>1024</v>
      </c>
      <c r="J415" t="s">
        <v>870</v>
      </c>
      <c r="K415">
        <v>3.83</v>
      </c>
      <c r="L415">
        <v>7.97</v>
      </c>
      <c r="M415">
        <v>7.97</v>
      </c>
      <c r="N415" s="20">
        <v>0</v>
      </c>
      <c r="O415">
        <v>41.25</v>
      </c>
      <c r="P415">
        <v>51.49</v>
      </c>
      <c r="Q415">
        <v>42.11</v>
      </c>
      <c r="R415" s="21">
        <v>4608.6652000000004</v>
      </c>
    </row>
    <row r="416" spans="7:18" x14ac:dyDescent="0.15">
      <c r="G416" s="11">
        <v>415</v>
      </c>
      <c r="H416" s="10" t="s">
        <v>1534</v>
      </c>
      <c r="I416" t="s">
        <v>1535</v>
      </c>
      <c r="J416" t="s">
        <v>1688</v>
      </c>
      <c r="K416">
        <v>0.04</v>
      </c>
      <c r="L416">
        <v>1.24</v>
      </c>
      <c r="M416">
        <v>3.83</v>
      </c>
      <c r="N416" s="20">
        <v>-0.16</v>
      </c>
      <c r="O416">
        <v>41.11</v>
      </c>
      <c r="P416">
        <v>22.9</v>
      </c>
      <c r="Q416">
        <v>70.55</v>
      </c>
      <c r="R416" s="21">
        <v>123.42619999999999</v>
      </c>
    </row>
    <row r="417" spans="7:18" x14ac:dyDescent="0.15">
      <c r="G417" s="11">
        <v>416</v>
      </c>
      <c r="H417" s="10" t="s">
        <v>472</v>
      </c>
      <c r="I417" t="s">
        <v>1471</v>
      </c>
      <c r="J417" t="s">
        <v>1688</v>
      </c>
      <c r="K417">
        <v>0.04</v>
      </c>
      <c r="L417">
        <v>0.02</v>
      </c>
      <c r="M417">
        <v>0.03</v>
      </c>
      <c r="N417" s="20">
        <v>-0.34</v>
      </c>
      <c r="O417">
        <v>40.97</v>
      </c>
      <c r="P417">
        <v>8.11</v>
      </c>
      <c r="Q417">
        <v>85.06</v>
      </c>
      <c r="R417" s="21">
        <v>1070.4765</v>
      </c>
    </row>
    <row r="418" spans="7:18" x14ac:dyDescent="0.15">
      <c r="G418" s="11">
        <v>417</v>
      </c>
      <c r="H418" s="10" t="s">
        <v>1403</v>
      </c>
      <c r="I418" t="s">
        <v>1404</v>
      </c>
      <c r="J418" t="s">
        <v>1688</v>
      </c>
      <c r="K418">
        <v>1.21</v>
      </c>
      <c r="L418">
        <v>2.61</v>
      </c>
      <c r="M418">
        <v>8.25</v>
      </c>
      <c r="N418" s="20">
        <v>0</v>
      </c>
      <c r="O418">
        <v>40.83</v>
      </c>
      <c r="P418">
        <v>54.77</v>
      </c>
      <c r="Q418">
        <v>38.26</v>
      </c>
      <c r="R418" s="21">
        <v>452.74175329999997</v>
      </c>
    </row>
    <row r="419" spans="7:18" x14ac:dyDescent="0.15">
      <c r="G419" s="11">
        <v>418</v>
      </c>
      <c r="H419" s="10" t="s">
        <v>606</v>
      </c>
      <c r="I419" t="s">
        <v>1098</v>
      </c>
      <c r="J419" t="s">
        <v>870</v>
      </c>
      <c r="K419">
        <v>0.85</v>
      </c>
      <c r="L419">
        <v>1.36</v>
      </c>
      <c r="M419">
        <v>6.1</v>
      </c>
      <c r="N419" s="20">
        <v>-0.09</v>
      </c>
      <c r="O419">
        <v>40.68</v>
      </c>
      <c r="P419">
        <v>34.14</v>
      </c>
      <c r="Q419">
        <v>58.61</v>
      </c>
      <c r="R419" s="21">
        <v>1068.48125</v>
      </c>
    </row>
    <row r="420" spans="7:18" x14ac:dyDescent="0.15">
      <c r="G420" s="11">
        <v>419</v>
      </c>
      <c r="H420" s="10" t="s">
        <v>689</v>
      </c>
      <c r="I420" t="s">
        <v>1039</v>
      </c>
      <c r="J420" t="s">
        <v>870</v>
      </c>
      <c r="K420">
        <v>0.16</v>
      </c>
      <c r="L420">
        <v>2.4300000000000002</v>
      </c>
      <c r="M420">
        <v>3.03</v>
      </c>
      <c r="N420" s="20">
        <v>-0.17</v>
      </c>
      <c r="O420">
        <v>40.54</v>
      </c>
      <c r="P420">
        <v>19.77</v>
      </c>
      <c r="Q420">
        <v>72.83</v>
      </c>
      <c r="R420" s="21">
        <v>3015.2229000000002</v>
      </c>
    </row>
    <row r="421" spans="7:18" x14ac:dyDescent="0.15">
      <c r="G421" s="11">
        <v>420</v>
      </c>
      <c r="H421" s="10" t="s">
        <v>1327</v>
      </c>
      <c r="I421" t="s">
        <v>1328</v>
      </c>
      <c r="J421" t="s">
        <v>1688</v>
      </c>
      <c r="K421">
        <v>-0.56999999999999995</v>
      </c>
      <c r="L421">
        <v>0.32</v>
      </c>
      <c r="M421">
        <v>5.35</v>
      </c>
      <c r="N421" s="20">
        <v>-0.11</v>
      </c>
      <c r="O421">
        <v>40.4</v>
      </c>
      <c r="P421">
        <v>30.44</v>
      </c>
      <c r="Q421">
        <v>61.88</v>
      </c>
      <c r="R421" s="21">
        <v>519.76289999999995</v>
      </c>
    </row>
    <row r="422" spans="7:18" x14ac:dyDescent="0.15">
      <c r="G422" s="11">
        <v>421</v>
      </c>
      <c r="H422" s="10" t="s">
        <v>647</v>
      </c>
      <c r="I422" t="s">
        <v>269</v>
      </c>
      <c r="J422" t="s">
        <v>1242</v>
      </c>
      <c r="K422">
        <v>0.09</v>
      </c>
      <c r="L422">
        <v>0.34</v>
      </c>
      <c r="M422">
        <v>0.48</v>
      </c>
      <c r="N422" s="20">
        <v>-0.28999999999999998</v>
      </c>
      <c r="O422">
        <v>40.26</v>
      </c>
      <c r="P422">
        <v>9.82</v>
      </c>
      <c r="Q422">
        <v>82.36</v>
      </c>
      <c r="R422" s="21">
        <v>953.66363839999997</v>
      </c>
    </row>
    <row r="423" spans="7:18" x14ac:dyDescent="0.15">
      <c r="G423" s="11">
        <v>422</v>
      </c>
      <c r="H423" s="10" t="s">
        <v>456</v>
      </c>
      <c r="I423" t="s">
        <v>941</v>
      </c>
      <c r="J423" t="s">
        <v>870</v>
      </c>
      <c r="K423">
        <v>3.92</v>
      </c>
      <c r="L423">
        <v>8.0399999999999991</v>
      </c>
      <c r="M423">
        <v>11.79</v>
      </c>
      <c r="N423" s="20">
        <v>0.45</v>
      </c>
      <c r="O423">
        <v>40.11</v>
      </c>
      <c r="P423">
        <v>82.36</v>
      </c>
      <c r="Q423">
        <v>9.5299999999999994</v>
      </c>
      <c r="R423" s="21">
        <v>472.23957999999999</v>
      </c>
    </row>
    <row r="424" spans="7:18" x14ac:dyDescent="0.15">
      <c r="G424" s="11">
        <v>423</v>
      </c>
      <c r="H424" s="10" t="s">
        <v>705</v>
      </c>
      <c r="I424" t="s">
        <v>1272</v>
      </c>
      <c r="J424" t="s">
        <v>1251</v>
      </c>
      <c r="K424">
        <v>-1.1100000000000001</v>
      </c>
      <c r="L424">
        <v>-0.15</v>
      </c>
      <c r="M424">
        <v>-1.31</v>
      </c>
      <c r="N424" s="20">
        <v>-0.38</v>
      </c>
      <c r="O424">
        <v>39.97</v>
      </c>
      <c r="P424">
        <v>5.12</v>
      </c>
      <c r="Q424">
        <v>86.06</v>
      </c>
      <c r="R424" s="21">
        <v>761.1606377999999</v>
      </c>
    </row>
    <row r="425" spans="7:18" x14ac:dyDescent="0.15">
      <c r="G425" s="11">
        <v>424</v>
      </c>
      <c r="H425" s="10" t="s">
        <v>367</v>
      </c>
      <c r="I425" t="s">
        <v>23</v>
      </c>
      <c r="J425" t="s">
        <v>1182</v>
      </c>
      <c r="K425">
        <v>0.19</v>
      </c>
      <c r="L425">
        <v>-0.2</v>
      </c>
      <c r="M425">
        <v>0.66</v>
      </c>
      <c r="N425" s="20">
        <v>-0.25</v>
      </c>
      <c r="O425">
        <v>39.83</v>
      </c>
      <c r="P425">
        <v>11.24</v>
      </c>
      <c r="Q425">
        <v>79.8</v>
      </c>
      <c r="R425" s="21">
        <v>140.66040000000001</v>
      </c>
    </row>
    <row r="426" spans="7:18" x14ac:dyDescent="0.15">
      <c r="G426" s="11">
        <v>425</v>
      </c>
      <c r="H426" s="10" t="s">
        <v>646</v>
      </c>
      <c r="I426" t="s">
        <v>1000</v>
      </c>
      <c r="J426" t="s">
        <v>870</v>
      </c>
      <c r="K426">
        <v>0.5</v>
      </c>
      <c r="L426">
        <v>0.15</v>
      </c>
      <c r="M426">
        <v>5.0199999999999996</v>
      </c>
      <c r="N426" s="20">
        <v>-0.11</v>
      </c>
      <c r="O426">
        <v>39.69</v>
      </c>
      <c r="P426">
        <v>28.88</v>
      </c>
      <c r="Q426">
        <v>62.02</v>
      </c>
      <c r="R426" s="21">
        <v>1073.4930709</v>
      </c>
    </row>
    <row r="427" spans="7:18" x14ac:dyDescent="0.15">
      <c r="G427" s="11">
        <v>426</v>
      </c>
      <c r="H427" s="10" t="s">
        <v>1291</v>
      </c>
      <c r="I427" t="s">
        <v>1292</v>
      </c>
      <c r="J427" t="s">
        <v>1288</v>
      </c>
      <c r="K427">
        <v>-2.4900000000000002</v>
      </c>
      <c r="L427">
        <v>-0.09</v>
      </c>
      <c r="M427">
        <v>3.69</v>
      </c>
      <c r="N427" s="20">
        <v>-0.14000000000000001</v>
      </c>
      <c r="O427">
        <v>39.54</v>
      </c>
      <c r="P427">
        <v>22.05</v>
      </c>
      <c r="Q427">
        <v>68.709999999999994</v>
      </c>
      <c r="R427" s="21">
        <v>280.88977</v>
      </c>
    </row>
    <row r="428" spans="7:18" x14ac:dyDescent="0.15">
      <c r="G428" s="11">
        <v>427</v>
      </c>
      <c r="H428" s="10" t="s">
        <v>301</v>
      </c>
      <c r="I428" t="s">
        <v>848</v>
      </c>
      <c r="J428" t="s">
        <v>833</v>
      </c>
      <c r="K428">
        <v>3.42</v>
      </c>
      <c r="L428">
        <v>8.42</v>
      </c>
      <c r="M428">
        <v>12.18</v>
      </c>
      <c r="N428" s="20">
        <v>1.05</v>
      </c>
      <c r="O428">
        <v>39.4</v>
      </c>
      <c r="P428">
        <v>85.21</v>
      </c>
      <c r="Q428">
        <v>5.41</v>
      </c>
      <c r="R428" s="21">
        <v>466.01909999999998</v>
      </c>
    </row>
    <row r="429" spans="7:18" x14ac:dyDescent="0.15">
      <c r="G429" s="11">
        <v>428</v>
      </c>
      <c r="H429" s="10" t="s">
        <v>676</v>
      </c>
      <c r="I429" t="s">
        <v>1048</v>
      </c>
      <c r="J429" t="s">
        <v>870</v>
      </c>
      <c r="K429">
        <v>1.74</v>
      </c>
      <c r="L429">
        <v>5.69</v>
      </c>
      <c r="M429">
        <v>8.7200000000000006</v>
      </c>
      <c r="N429" s="20">
        <v>7.0000000000000007E-2</v>
      </c>
      <c r="O429">
        <v>39.26</v>
      </c>
      <c r="P429">
        <v>59.32</v>
      </c>
      <c r="Q429">
        <v>31.29</v>
      </c>
      <c r="R429" s="21">
        <v>2132.2444999999998</v>
      </c>
    </row>
    <row r="430" spans="7:18" x14ac:dyDescent="0.15">
      <c r="G430" s="11">
        <v>429</v>
      </c>
      <c r="H430" s="10" t="s">
        <v>640</v>
      </c>
      <c r="I430" t="s">
        <v>1045</v>
      </c>
      <c r="J430" t="s">
        <v>870</v>
      </c>
      <c r="K430">
        <v>-3.96</v>
      </c>
      <c r="L430">
        <v>4.62</v>
      </c>
      <c r="M430">
        <v>11.4</v>
      </c>
      <c r="N430" s="20">
        <v>0.36</v>
      </c>
      <c r="O430">
        <v>39.119999999999997</v>
      </c>
      <c r="P430">
        <v>78.239999999999995</v>
      </c>
      <c r="Q430">
        <v>12.23</v>
      </c>
      <c r="R430" s="21">
        <v>4065.3076000000001</v>
      </c>
    </row>
    <row r="431" spans="7:18" x14ac:dyDescent="0.15">
      <c r="G431" s="11">
        <v>430</v>
      </c>
      <c r="H431" s="10" t="s">
        <v>1518</v>
      </c>
      <c r="I431" t="s">
        <v>1519</v>
      </c>
      <c r="J431" t="s">
        <v>1688</v>
      </c>
      <c r="K431">
        <v>1.47</v>
      </c>
      <c r="L431">
        <v>4.95</v>
      </c>
      <c r="M431">
        <v>6.88</v>
      </c>
      <c r="N431" s="20">
        <v>0</v>
      </c>
      <c r="O431">
        <v>38.979999999999997</v>
      </c>
      <c r="P431">
        <v>40.97</v>
      </c>
      <c r="Q431">
        <v>49.36</v>
      </c>
      <c r="R431" s="21">
        <v>143.8922</v>
      </c>
    </row>
    <row r="432" spans="7:18" x14ac:dyDescent="0.15">
      <c r="G432" s="11">
        <v>431</v>
      </c>
      <c r="H432" s="10" t="s">
        <v>493</v>
      </c>
      <c r="I432" t="s">
        <v>933</v>
      </c>
      <c r="J432" t="s">
        <v>870</v>
      </c>
      <c r="K432">
        <v>1.62</v>
      </c>
      <c r="L432">
        <v>5.6</v>
      </c>
      <c r="M432">
        <v>8.56</v>
      </c>
      <c r="N432" s="20">
        <v>0.06</v>
      </c>
      <c r="O432">
        <v>38.83</v>
      </c>
      <c r="P432">
        <v>58.18</v>
      </c>
      <c r="Q432">
        <v>32.01</v>
      </c>
      <c r="R432" s="21">
        <v>414.49990000000003</v>
      </c>
    </row>
    <row r="433" spans="7:18" x14ac:dyDescent="0.15">
      <c r="G433" s="11">
        <v>432</v>
      </c>
      <c r="H433" s="10" t="s">
        <v>387</v>
      </c>
      <c r="I433" t="s">
        <v>1244</v>
      </c>
      <c r="J433" t="s">
        <v>1242</v>
      </c>
      <c r="K433">
        <v>0.25</v>
      </c>
      <c r="L433">
        <v>2.29</v>
      </c>
      <c r="M433">
        <v>3.05</v>
      </c>
      <c r="N433" s="20">
        <v>-0.16</v>
      </c>
      <c r="O433">
        <v>38.69</v>
      </c>
      <c r="P433">
        <v>19.91</v>
      </c>
      <c r="Q433">
        <v>70.27</v>
      </c>
      <c r="R433" s="21">
        <v>58.693300000000001</v>
      </c>
    </row>
    <row r="434" spans="7:18" x14ac:dyDescent="0.15">
      <c r="G434" s="11">
        <v>433</v>
      </c>
      <c r="H434" s="10" t="s">
        <v>623</v>
      </c>
      <c r="I434" t="s">
        <v>1130</v>
      </c>
      <c r="J434" t="s">
        <v>870</v>
      </c>
      <c r="K434">
        <v>2.4</v>
      </c>
      <c r="L434">
        <v>6.34</v>
      </c>
      <c r="M434">
        <v>9.49</v>
      </c>
      <c r="N434" s="20">
        <v>0.15</v>
      </c>
      <c r="O434">
        <v>38.549999999999997</v>
      </c>
      <c r="P434">
        <v>67.430000000000007</v>
      </c>
      <c r="Q434">
        <v>22.62</v>
      </c>
      <c r="R434" s="21">
        <v>8126.6699636999992</v>
      </c>
    </row>
    <row r="435" spans="7:18" x14ac:dyDescent="0.15">
      <c r="G435" s="11">
        <v>434</v>
      </c>
      <c r="H435" s="10" t="s">
        <v>349</v>
      </c>
      <c r="I435" t="s">
        <v>1096</v>
      </c>
      <c r="J435" t="s">
        <v>870</v>
      </c>
      <c r="K435">
        <v>3.35</v>
      </c>
      <c r="L435">
        <v>7.66</v>
      </c>
      <c r="M435">
        <v>7.24</v>
      </c>
      <c r="N435" s="20">
        <v>0</v>
      </c>
      <c r="O435">
        <v>38.409999999999997</v>
      </c>
      <c r="P435">
        <v>44.52</v>
      </c>
      <c r="Q435">
        <v>45.52</v>
      </c>
      <c r="R435" s="21">
        <v>3894.3031799999999</v>
      </c>
    </row>
    <row r="436" spans="7:18" x14ac:dyDescent="0.15">
      <c r="G436" s="11">
        <v>435</v>
      </c>
      <c r="H436" s="10" t="s">
        <v>361</v>
      </c>
      <c r="I436" t="s">
        <v>918</v>
      </c>
      <c r="J436" t="s">
        <v>870</v>
      </c>
      <c r="K436">
        <v>3.25</v>
      </c>
      <c r="L436">
        <v>9.51</v>
      </c>
      <c r="M436">
        <v>7.78</v>
      </c>
      <c r="N436" s="20">
        <v>0</v>
      </c>
      <c r="O436">
        <v>38.26</v>
      </c>
      <c r="P436">
        <v>49.79</v>
      </c>
      <c r="Q436">
        <v>40.11</v>
      </c>
      <c r="R436" s="21">
        <v>583.71410000000003</v>
      </c>
    </row>
    <row r="437" spans="7:18" x14ac:dyDescent="0.15">
      <c r="G437" s="11">
        <v>436</v>
      </c>
      <c r="H437" s="10" t="s">
        <v>450</v>
      </c>
      <c r="I437" t="s">
        <v>1153</v>
      </c>
      <c r="J437" t="s">
        <v>870</v>
      </c>
      <c r="K437">
        <v>2.34</v>
      </c>
      <c r="L437">
        <v>5.3</v>
      </c>
      <c r="M437">
        <v>10.039999999999999</v>
      </c>
      <c r="N437" s="20">
        <v>0.2</v>
      </c>
      <c r="O437">
        <v>38.119999999999997</v>
      </c>
      <c r="P437">
        <v>71.12</v>
      </c>
      <c r="Q437">
        <v>18.78</v>
      </c>
      <c r="R437" s="21">
        <v>23087.142899999999</v>
      </c>
    </row>
    <row r="438" spans="7:18" x14ac:dyDescent="0.15">
      <c r="G438" s="11">
        <v>437</v>
      </c>
      <c r="H438" s="10" t="s">
        <v>1542</v>
      </c>
      <c r="I438" t="s">
        <v>1543</v>
      </c>
      <c r="J438" t="s">
        <v>1688</v>
      </c>
      <c r="K438">
        <v>4.1100000000000003</v>
      </c>
      <c r="L438">
        <v>8.9600000000000009</v>
      </c>
      <c r="M438">
        <v>9.33</v>
      </c>
      <c r="N438" s="20">
        <v>0.15</v>
      </c>
      <c r="O438">
        <v>37.979999999999997</v>
      </c>
      <c r="P438">
        <v>66.290000000000006</v>
      </c>
      <c r="Q438">
        <v>23.33</v>
      </c>
      <c r="R438" s="21">
        <v>2934.2281491999997</v>
      </c>
    </row>
    <row r="439" spans="7:18" x14ac:dyDescent="0.15">
      <c r="G439" s="11">
        <v>438</v>
      </c>
      <c r="H439" s="10" t="s">
        <v>397</v>
      </c>
      <c r="I439" t="s">
        <v>979</v>
      </c>
      <c r="J439" t="s">
        <v>870</v>
      </c>
      <c r="K439">
        <v>3.14</v>
      </c>
      <c r="L439">
        <v>9.41</v>
      </c>
      <c r="M439">
        <v>8.14</v>
      </c>
      <c r="N439" s="20">
        <v>0</v>
      </c>
      <c r="O439">
        <v>37.840000000000003</v>
      </c>
      <c r="P439">
        <v>53.91</v>
      </c>
      <c r="Q439">
        <v>35.700000000000003</v>
      </c>
      <c r="R439" s="21">
        <v>1635.6539</v>
      </c>
    </row>
    <row r="440" spans="7:18" x14ac:dyDescent="0.15">
      <c r="G440" s="11">
        <v>439</v>
      </c>
      <c r="H440" s="10" t="s">
        <v>657</v>
      </c>
      <c r="I440" t="s">
        <v>996</v>
      </c>
      <c r="J440" t="s">
        <v>870</v>
      </c>
      <c r="K440">
        <v>6.91</v>
      </c>
      <c r="L440">
        <v>9.43</v>
      </c>
      <c r="M440">
        <v>11.26</v>
      </c>
      <c r="N440" s="20">
        <v>0.36</v>
      </c>
      <c r="O440">
        <v>37.700000000000003</v>
      </c>
      <c r="P440">
        <v>77.38</v>
      </c>
      <c r="Q440">
        <v>12.09</v>
      </c>
      <c r="R440" s="21">
        <v>19389.279895</v>
      </c>
    </row>
    <row r="441" spans="7:18" x14ac:dyDescent="0.15">
      <c r="G441" s="11">
        <v>440</v>
      </c>
      <c r="H441" s="10" t="s">
        <v>766</v>
      </c>
      <c r="I441" t="s">
        <v>1197</v>
      </c>
      <c r="J441" t="s">
        <v>1198</v>
      </c>
      <c r="K441">
        <v>-3.67</v>
      </c>
      <c r="L441">
        <v>6.42</v>
      </c>
      <c r="M441">
        <v>12.55</v>
      </c>
      <c r="N441" s="20">
        <v>2.57</v>
      </c>
      <c r="O441">
        <v>37.549999999999997</v>
      </c>
      <c r="P441">
        <v>86.34</v>
      </c>
      <c r="Q441">
        <v>2.99</v>
      </c>
      <c r="R441" s="21">
        <v>21332.887934099999</v>
      </c>
    </row>
    <row r="442" spans="7:18" x14ac:dyDescent="0.15">
      <c r="G442" s="11">
        <v>441</v>
      </c>
      <c r="H442" s="10" t="s">
        <v>765</v>
      </c>
      <c r="I442" t="s">
        <v>1199</v>
      </c>
      <c r="J442" t="s">
        <v>1198</v>
      </c>
      <c r="K442">
        <v>-3.88</v>
      </c>
      <c r="L442">
        <v>6.41</v>
      </c>
      <c r="M442">
        <v>12.42</v>
      </c>
      <c r="N442" s="20">
        <v>2.34</v>
      </c>
      <c r="O442">
        <v>37.409999999999997</v>
      </c>
      <c r="P442">
        <v>85.92</v>
      </c>
      <c r="Q442">
        <v>3.27</v>
      </c>
      <c r="R442" s="21">
        <v>133711.03138080001</v>
      </c>
    </row>
    <row r="443" spans="7:18" x14ac:dyDescent="0.15">
      <c r="G443" s="11">
        <v>442</v>
      </c>
      <c r="H443" s="10" t="s">
        <v>699</v>
      </c>
      <c r="I443" t="s">
        <v>1144</v>
      </c>
      <c r="J443" t="s">
        <v>870</v>
      </c>
      <c r="K443">
        <v>0.01</v>
      </c>
      <c r="L443">
        <v>2.83</v>
      </c>
      <c r="M443">
        <v>2.54</v>
      </c>
      <c r="N443" s="20">
        <v>-0.17</v>
      </c>
      <c r="O443">
        <v>37.270000000000003</v>
      </c>
      <c r="P443">
        <v>17.350000000000001</v>
      </c>
      <c r="Q443">
        <v>71.83</v>
      </c>
      <c r="R443" s="21">
        <v>12666.4403</v>
      </c>
    </row>
    <row r="444" spans="7:18" x14ac:dyDescent="0.15">
      <c r="G444" s="11">
        <v>443</v>
      </c>
      <c r="H444" s="10" t="s">
        <v>1385</v>
      </c>
      <c r="I444" t="s">
        <v>1386</v>
      </c>
      <c r="J444" t="s">
        <v>1688</v>
      </c>
      <c r="K444">
        <v>2.27</v>
      </c>
      <c r="L444">
        <v>9.23</v>
      </c>
      <c r="M444">
        <v>11.56</v>
      </c>
      <c r="N444" s="20">
        <v>0.46</v>
      </c>
      <c r="O444">
        <v>37.130000000000003</v>
      </c>
      <c r="P444">
        <v>79.52</v>
      </c>
      <c r="Q444">
        <v>9.25</v>
      </c>
      <c r="R444" s="21">
        <v>3423.5491999999999</v>
      </c>
    </row>
    <row r="445" spans="7:18" x14ac:dyDescent="0.15">
      <c r="G445" s="11">
        <v>444</v>
      </c>
      <c r="H445" s="10" t="s">
        <v>524</v>
      </c>
      <c r="I445" t="s">
        <v>1257</v>
      </c>
      <c r="J445" t="s">
        <v>1251</v>
      </c>
      <c r="K445">
        <v>0.2</v>
      </c>
      <c r="L445">
        <v>4.8499999999999996</v>
      </c>
      <c r="M445">
        <v>8.32</v>
      </c>
      <c r="N445" s="20">
        <v>0.06</v>
      </c>
      <c r="O445">
        <v>36.979999999999997</v>
      </c>
      <c r="P445">
        <v>56.05</v>
      </c>
      <c r="Q445">
        <v>32.29</v>
      </c>
      <c r="R445" s="21">
        <v>251.11490000000001</v>
      </c>
    </row>
    <row r="446" spans="7:18" x14ac:dyDescent="0.15">
      <c r="G446" s="11">
        <v>445</v>
      </c>
      <c r="H446" s="10" t="s">
        <v>446</v>
      </c>
      <c r="I446" t="s">
        <v>871</v>
      </c>
      <c r="J446" t="s">
        <v>870</v>
      </c>
      <c r="K446">
        <v>-0.01</v>
      </c>
      <c r="L446">
        <v>1.6</v>
      </c>
      <c r="M446">
        <v>6.81</v>
      </c>
      <c r="N446" s="20">
        <v>0</v>
      </c>
      <c r="O446">
        <v>36.840000000000003</v>
      </c>
      <c r="P446">
        <v>40.4</v>
      </c>
      <c r="Q446">
        <v>47.94</v>
      </c>
      <c r="R446" s="21">
        <v>71.51321999999999</v>
      </c>
    </row>
    <row r="447" spans="7:18" x14ac:dyDescent="0.15">
      <c r="G447" s="11">
        <v>446</v>
      </c>
      <c r="H447" s="10" t="s">
        <v>603</v>
      </c>
      <c r="I447" t="s">
        <v>893</v>
      </c>
      <c r="J447" t="s">
        <v>870</v>
      </c>
      <c r="K447">
        <v>2.2799999999999998</v>
      </c>
      <c r="L447">
        <v>6.12</v>
      </c>
      <c r="M447">
        <v>9.1300000000000008</v>
      </c>
      <c r="N447" s="20">
        <v>0.14000000000000001</v>
      </c>
      <c r="O447">
        <v>36.700000000000003</v>
      </c>
      <c r="P447">
        <v>64.58</v>
      </c>
      <c r="Q447">
        <v>23.47</v>
      </c>
      <c r="R447" s="21">
        <v>117.34952</v>
      </c>
    </row>
    <row r="448" spans="7:18" x14ac:dyDescent="0.15">
      <c r="G448" s="11">
        <v>447</v>
      </c>
      <c r="H448" s="10" t="s">
        <v>565</v>
      </c>
      <c r="I448" t="s">
        <v>1299</v>
      </c>
      <c r="J448" t="s">
        <v>1288</v>
      </c>
      <c r="K448">
        <v>-3.14</v>
      </c>
      <c r="L448">
        <v>-0.35</v>
      </c>
      <c r="M448">
        <v>3.8</v>
      </c>
      <c r="N448" s="20">
        <v>-0.12</v>
      </c>
      <c r="O448">
        <v>36.56</v>
      </c>
      <c r="P448">
        <v>22.62</v>
      </c>
      <c r="Q448">
        <v>65.290000000000006</v>
      </c>
      <c r="R448" s="21">
        <v>785.73069999999996</v>
      </c>
    </row>
    <row r="449" spans="7:18" x14ac:dyDescent="0.15">
      <c r="G449" s="11">
        <v>448</v>
      </c>
      <c r="H449" s="10" t="s">
        <v>744</v>
      </c>
      <c r="I449" t="s">
        <v>947</v>
      </c>
      <c r="J449" t="s">
        <v>870</v>
      </c>
      <c r="K449">
        <v>2.19</v>
      </c>
      <c r="L449">
        <v>8.93</v>
      </c>
      <c r="M449">
        <v>11.32</v>
      </c>
      <c r="N449" s="20">
        <v>0.43</v>
      </c>
      <c r="O449">
        <v>36.42</v>
      </c>
      <c r="P449">
        <v>77.67</v>
      </c>
      <c r="Q449">
        <v>10.24</v>
      </c>
      <c r="R449" s="21">
        <v>524.29939999999999</v>
      </c>
    </row>
    <row r="450" spans="7:18" x14ac:dyDescent="0.15">
      <c r="G450" s="11">
        <v>449</v>
      </c>
      <c r="H450" s="10" t="s">
        <v>540</v>
      </c>
      <c r="I450" t="s">
        <v>888</v>
      </c>
      <c r="J450" t="s">
        <v>870</v>
      </c>
      <c r="K450">
        <v>2.89</v>
      </c>
      <c r="L450">
        <v>6.81</v>
      </c>
      <c r="M450">
        <v>11.12</v>
      </c>
      <c r="N450" s="20">
        <v>0.37</v>
      </c>
      <c r="O450">
        <v>36.270000000000003</v>
      </c>
      <c r="P450">
        <v>76.239999999999995</v>
      </c>
      <c r="Q450">
        <v>11.66</v>
      </c>
      <c r="R450" s="21">
        <v>414.94839999999999</v>
      </c>
    </row>
    <row r="451" spans="7:18" x14ac:dyDescent="0.15">
      <c r="G451" s="11">
        <v>450</v>
      </c>
      <c r="H451" s="10" t="s">
        <v>1659</v>
      </c>
      <c r="I451" t="s">
        <v>1660</v>
      </c>
      <c r="J451" t="s">
        <v>1688</v>
      </c>
      <c r="K451">
        <v>1.93</v>
      </c>
      <c r="L451">
        <v>3.15</v>
      </c>
      <c r="M451">
        <v>10.31</v>
      </c>
      <c r="N451" s="20">
        <v>0.26</v>
      </c>
      <c r="O451">
        <v>36.130000000000003</v>
      </c>
      <c r="P451">
        <v>72.97</v>
      </c>
      <c r="Q451">
        <v>14.79</v>
      </c>
      <c r="R451" s="21">
        <v>176.8168</v>
      </c>
    </row>
    <row r="452" spans="7:18" x14ac:dyDescent="0.15">
      <c r="G452" s="11">
        <v>451</v>
      </c>
      <c r="H452" s="10" t="s">
        <v>353</v>
      </c>
      <c r="I452" t="s">
        <v>1268</v>
      </c>
      <c r="J452" t="s">
        <v>1251</v>
      </c>
      <c r="K452">
        <v>-0.06</v>
      </c>
      <c r="L452">
        <v>0.11</v>
      </c>
      <c r="M452">
        <v>1.1499999999999999</v>
      </c>
      <c r="N452" s="20">
        <v>-0.18</v>
      </c>
      <c r="O452">
        <v>35.99</v>
      </c>
      <c r="P452">
        <v>14.22</v>
      </c>
      <c r="Q452">
        <v>73.400000000000006</v>
      </c>
      <c r="R452" s="21">
        <v>149.94481189999999</v>
      </c>
    </row>
    <row r="453" spans="7:18" x14ac:dyDescent="0.15">
      <c r="G453" s="11">
        <v>452</v>
      </c>
      <c r="H453" s="10" t="s">
        <v>473</v>
      </c>
      <c r="I453" t="s">
        <v>1092</v>
      </c>
      <c r="J453" t="s">
        <v>870</v>
      </c>
      <c r="K453">
        <v>-0.32</v>
      </c>
      <c r="L453">
        <v>0.53</v>
      </c>
      <c r="M453">
        <v>4.97</v>
      </c>
      <c r="N453" s="20">
        <v>-0.09</v>
      </c>
      <c r="O453">
        <v>35.85</v>
      </c>
      <c r="P453">
        <v>28.45</v>
      </c>
      <c r="Q453">
        <v>59.17</v>
      </c>
      <c r="R453" s="21">
        <v>1294.3391999999999</v>
      </c>
    </row>
    <row r="454" spans="7:18" x14ac:dyDescent="0.15">
      <c r="G454" s="11">
        <v>453</v>
      </c>
      <c r="H454" s="10" t="s">
        <v>565</v>
      </c>
      <c r="I454" t="s">
        <v>1007</v>
      </c>
      <c r="J454" t="s">
        <v>870</v>
      </c>
      <c r="K454">
        <v>-3.14</v>
      </c>
      <c r="L454">
        <v>-0.35</v>
      </c>
      <c r="M454">
        <v>3.8</v>
      </c>
      <c r="N454" s="20">
        <v>-0.12</v>
      </c>
      <c r="O454">
        <v>35.700000000000003</v>
      </c>
      <c r="P454">
        <v>22.48</v>
      </c>
      <c r="Q454">
        <v>64.86</v>
      </c>
      <c r="R454" s="21">
        <v>785.73069999999996</v>
      </c>
    </row>
    <row r="455" spans="7:18" x14ac:dyDescent="0.15">
      <c r="G455" s="11">
        <v>454</v>
      </c>
      <c r="H455" s="10" t="s">
        <v>617</v>
      </c>
      <c r="I455" t="s">
        <v>921</v>
      </c>
      <c r="J455" t="s">
        <v>870</v>
      </c>
      <c r="K455">
        <v>-0.82</v>
      </c>
      <c r="L455">
        <v>1.74</v>
      </c>
      <c r="M455">
        <v>5.08</v>
      </c>
      <c r="N455" s="20">
        <v>-0.08</v>
      </c>
      <c r="O455">
        <v>35.56</v>
      </c>
      <c r="P455">
        <v>29.3</v>
      </c>
      <c r="Q455">
        <v>57.89</v>
      </c>
      <c r="R455" s="21">
        <v>130.46090000000001</v>
      </c>
    </row>
    <row r="456" spans="7:18" x14ac:dyDescent="0.15">
      <c r="G456" s="11">
        <v>455</v>
      </c>
      <c r="H456" s="10" t="s">
        <v>1675</v>
      </c>
      <c r="I456" t="s">
        <v>1676</v>
      </c>
      <c r="J456" t="s">
        <v>1688</v>
      </c>
      <c r="K456">
        <v>0.82</v>
      </c>
      <c r="L456">
        <v>4.07</v>
      </c>
      <c r="M456">
        <v>8.5399999999999991</v>
      </c>
      <c r="N456" s="20">
        <v>0.1</v>
      </c>
      <c r="O456">
        <v>35.42</v>
      </c>
      <c r="P456">
        <v>58.04</v>
      </c>
      <c r="Q456">
        <v>28.88</v>
      </c>
      <c r="R456" s="21">
        <v>2613.4207000000001</v>
      </c>
    </row>
    <row r="457" spans="7:18" x14ac:dyDescent="0.15">
      <c r="G457" s="11">
        <v>456</v>
      </c>
      <c r="H457" s="10" t="s">
        <v>698</v>
      </c>
      <c r="I457" t="s">
        <v>971</v>
      </c>
      <c r="J457" t="s">
        <v>870</v>
      </c>
      <c r="K457">
        <v>2.23</v>
      </c>
      <c r="L457">
        <v>9.0500000000000007</v>
      </c>
      <c r="M457">
        <v>11.52</v>
      </c>
      <c r="N457" s="20">
        <v>0.63</v>
      </c>
      <c r="O457">
        <v>35.28</v>
      </c>
      <c r="P457">
        <v>79.37</v>
      </c>
      <c r="Q457">
        <v>7.4</v>
      </c>
      <c r="R457" s="21">
        <v>1767.4446</v>
      </c>
    </row>
    <row r="458" spans="7:18" x14ac:dyDescent="0.15">
      <c r="G458" s="11">
        <v>457</v>
      </c>
      <c r="H458" s="10" t="s">
        <v>569</v>
      </c>
      <c r="I458" t="s">
        <v>996</v>
      </c>
      <c r="J458" t="s">
        <v>870</v>
      </c>
      <c r="K458">
        <v>6.95</v>
      </c>
      <c r="L458">
        <v>9.42</v>
      </c>
      <c r="M458">
        <v>11.21</v>
      </c>
      <c r="N458" s="20">
        <v>0.46</v>
      </c>
      <c r="O458">
        <v>35.14</v>
      </c>
      <c r="P458">
        <v>77.099999999999994</v>
      </c>
      <c r="Q458">
        <v>9.39</v>
      </c>
      <c r="R458" s="21">
        <v>3298.7231000000002</v>
      </c>
    </row>
    <row r="459" spans="7:18" x14ac:dyDescent="0.15">
      <c r="G459" s="11">
        <v>458</v>
      </c>
      <c r="H459" s="10" t="s">
        <v>1566</v>
      </c>
      <c r="I459" t="s">
        <v>1567</v>
      </c>
      <c r="J459" t="s">
        <v>1688</v>
      </c>
      <c r="K459">
        <v>-0.37</v>
      </c>
      <c r="L459">
        <v>2.86</v>
      </c>
      <c r="M459">
        <v>7.1</v>
      </c>
      <c r="N459" s="20">
        <v>0</v>
      </c>
      <c r="O459">
        <v>34.99</v>
      </c>
      <c r="P459">
        <v>43.24</v>
      </c>
      <c r="Q459">
        <v>43.24</v>
      </c>
      <c r="R459" s="21">
        <v>475.17599999999999</v>
      </c>
    </row>
    <row r="460" spans="7:18" x14ac:dyDescent="0.15">
      <c r="G460" s="11">
        <v>459</v>
      </c>
      <c r="H460" s="10" t="s">
        <v>536</v>
      </c>
      <c r="I460" t="s">
        <v>1303</v>
      </c>
      <c r="J460" t="s">
        <v>1288</v>
      </c>
      <c r="K460">
        <v>-3.26</v>
      </c>
      <c r="L460">
        <v>-0.86</v>
      </c>
      <c r="M460">
        <v>3.3</v>
      </c>
      <c r="N460" s="20">
        <v>-0.12</v>
      </c>
      <c r="O460">
        <v>34.85</v>
      </c>
      <c r="P460">
        <v>20.77</v>
      </c>
      <c r="Q460">
        <v>65.430000000000007</v>
      </c>
      <c r="R460" s="21">
        <v>2446.6907000000001</v>
      </c>
    </row>
    <row r="461" spans="7:18" x14ac:dyDescent="0.15">
      <c r="G461" s="11">
        <v>460</v>
      </c>
      <c r="H461" s="10" t="s">
        <v>633</v>
      </c>
      <c r="I461" t="s">
        <v>1134</v>
      </c>
      <c r="J461" t="s">
        <v>870</v>
      </c>
      <c r="K461">
        <v>1.06</v>
      </c>
      <c r="L461">
        <v>4.03</v>
      </c>
      <c r="M461">
        <v>7.04</v>
      </c>
      <c r="N461" s="20">
        <v>0</v>
      </c>
      <c r="O461">
        <v>34.71</v>
      </c>
      <c r="P461">
        <v>42.67</v>
      </c>
      <c r="Q461">
        <v>43.39</v>
      </c>
      <c r="R461" s="21">
        <v>7148.8575000000001</v>
      </c>
    </row>
    <row r="462" spans="7:18" x14ac:dyDescent="0.15">
      <c r="G462" s="11">
        <v>461</v>
      </c>
      <c r="H462" t="s">
        <v>678</v>
      </c>
      <c r="I462" t="s">
        <v>1139</v>
      </c>
      <c r="J462" t="s">
        <v>870</v>
      </c>
      <c r="K462">
        <v>4.4000000000000004</v>
      </c>
      <c r="L462">
        <v>4.25</v>
      </c>
      <c r="M462">
        <v>6.94</v>
      </c>
      <c r="N462" s="20">
        <v>0</v>
      </c>
      <c r="O462">
        <v>34.57</v>
      </c>
      <c r="P462">
        <v>41.39</v>
      </c>
      <c r="Q462">
        <v>44.52</v>
      </c>
      <c r="R462" s="21">
        <v>20873.288916000001</v>
      </c>
    </row>
    <row r="463" spans="7:18" x14ac:dyDescent="0.15">
      <c r="G463" s="11">
        <v>462</v>
      </c>
      <c r="H463" t="s">
        <v>558</v>
      </c>
      <c r="I463" t="s">
        <v>1056</v>
      </c>
      <c r="J463" t="s">
        <v>870</v>
      </c>
      <c r="K463">
        <v>1.69</v>
      </c>
      <c r="L463">
        <v>5.22</v>
      </c>
      <c r="M463">
        <v>8.31</v>
      </c>
      <c r="N463" s="20">
        <v>0.09</v>
      </c>
      <c r="O463">
        <v>34.42</v>
      </c>
      <c r="P463">
        <v>55.9</v>
      </c>
      <c r="Q463">
        <v>29.59</v>
      </c>
      <c r="R463" s="21">
        <v>5219.0748999999996</v>
      </c>
    </row>
    <row r="464" spans="7:18" x14ac:dyDescent="0.15">
      <c r="G464" s="11">
        <v>463</v>
      </c>
      <c r="H464" t="s">
        <v>536</v>
      </c>
      <c r="I464" t="s">
        <v>1077</v>
      </c>
      <c r="J464" t="s">
        <v>870</v>
      </c>
      <c r="K464">
        <v>-3.26</v>
      </c>
      <c r="L464">
        <v>-0.86</v>
      </c>
      <c r="M464">
        <v>3.3</v>
      </c>
      <c r="N464" s="20">
        <v>-0.12</v>
      </c>
      <c r="O464">
        <v>34.28</v>
      </c>
      <c r="P464">
        <v>20.63</v>
      </c>
      <c r="Q464">
        <v>64.72</v>
      </c>
      <c r="R464" s="21">
        <v>2446.6907000000001</v>
      </c>
    </row>
    <row r="465" spans="7:18" x14ac:dyDescent="0.15">
      <c r="G465" s="11">
        <v>464</v>
      </c>
      <c r="H465" t="s">
        <v>528</v>
      </c>
      <c r="I465" t="s">
        <v>1100</v>
      </c>
      <c r="J465" t="s">
        <v>870</v>
      </c>
      <c r="K465">
        <v>-0.27</v>
      </c>
      <c r="L465">
        <v>0.31</v>
      </c>
      <c r="M465">
        <v>4.74</v>
      </c>
      <c r="N465" s="20">
        <v>-0.08</v>
      </c>
      <c r="O465">
        <v>34.14</v>
      </c>
      <c r="P465">
        <v>26.74</v>
      </c>
      <c r="Q465">
        <v>58.18</v>
      </c>
      <c r="R465" s="21">
        <v>6389.3963000000003</v>
      </c>
    </row>
    <row r="466" spans="7:18" x14ac:dyDescent="0.15">
      <c r="G466" s="11">
        <v>465</v>
      </c>
      <c r="H466" t="s">
        <v>517</v>
      </c>
      <c r="I466" t="s">
        <v>894</v>
      </c>
      <c r="J466" t="s">
        <v>870</v>
      </c>
      <c r="K466">
        <v>0.39</v>
      </c>
      <c r="L466">
        <v>2.23</v>
      </c>
      <c r="M466">
        <v>4.7699999999999996</v>
      </c>
      <c r="N466" s="20">
        <v>-0.08</v>
      </c>
      <c r="O466">
        <v>34</v>
      </c>
      <c r="P466">
        <v>27.03</v>
      </c>
      <c r="Q466">
        <v>57.61</v>
      </c>
      <c r="R466" s="21">
        <v>1.9817</v>
      </c>
    </row>
    <row r="467" spans="7:18" x14ac:dyDescent="0.15">
      <c r="G467" s="11">
        <v>466</v>
      </c>
      <c r="H467" t="s">
        <v>1590</v>
      </c>
      <c r="I467" t="s">
        <v>1591</v>
      </c>
      <c r="J467" t="s">
        <v>1688</v>
      </c>
      <c r="K467">
        <v>-4.46</v>
      </c>
      <c r="L467">
        <v>2.8</v>
      </c>
      <c r="M467">
        <v>9.0399999999999991</v>
      </c>
      <c r="N467" s="20">
        <v>0.18</v>
      </c>
      <c r="O467">
        <v>33.85</v>
      </c>
      <c r="P467">
        <v>63.44</v>
      </c>
      <c r="Q467">
        <v>21.19</v>
      </c>
      <c r="R467" s="21">
        <v>5829.9838</v>
      </c>
    </row>
    <row r="468" spans="7:18" x14ac:dyDescent="0.15">
      <c r="G468" s="11">
        <v>467</v>
      </c>
      <c r="H468" t="s">
        <v>1281</v>
      </c>
      <c r="I468" t="s">
        <v>1282</v>
      </c>
      <c r="J468" t="s">
        <v>870</v>
      </c>
      <c r="K468">
        <v>-2.56</v>
      </c>
      <c r="L468">
        <v>5.6</v>
      </c>
      <c r="M468">
        <v>7.63</v>
      </c>
      <c r="N468" s="20">
        <v>0</v>
      </c>
      <c r="O468">
        <v>33.71</v>
      </c>
      <c r="P468">
        <v>47.65</v>
      </c>
      <c r="Q468">
        <v>36.840000000000003</v>
      </c>
      <c r="R468" s="21">
        <v>2241.5295000000001</v>
      </c>
    </row>
    <row r="469" spans="7:18" x14ac:dyDescent="0.15">
      <c r="G469" s="11">
        <v>468</v>
      </c>
      <c r="H469" t="s">
        <v>708</v>
      </c>
      <c r="I469" t="s">
        <v>1078</v>
      </c>
      <c r="J469" t="s">
        <v>870</v>
      </c>
      <c r="K469">
        <v>1.47</v>
      </c>
      <c r="L469">
        <v>5.69</v>
      </c>
      <c r="M469">
        <v>7.57</v>
      </c>
      <c r="N469" s="20">
        <v>0</v>
      </c>
      <c r="O469">
        <v>33.57</v>
      </c>
      <c r="P469">
        <v>47.08</v>
      </c>
      <c r="Q469">
        <v>37.409999999999997</v>
      </c>
      <c r="R469" s="21">
        <v>1528.6610000000001</v>
      </c>
    </row>
    <row r="470" spans="7:18" x14ac:dyDescent="0.15">
      <c r="G470" s="11">
        <v>469</v>
      </c>
      <c r="H470" t="s">
        <v>1667</v>
      </c>
      <c r="I470" t="s">
        <v>1668</v>
      </c>
      <c r="J470" t="s">
        <v>1688</v>
      </c>
      <c r="K470">
        <v>0.49</v>
      </c>
      <c r="L470">
        <v>0.91</v>
      </c>
      <c r="M470">
        <v>6.46</v>
      </c>
      <c r="N470" s="20">
        <v>0</v>
      </c>
      <c r="O470">
        <v>33.43</v>
      </c>
      <c r="P470">
        <v>37.130000000000003</v>
      </c>
      <c r="Q470">
        <v>46.37</v>
      </c>
      <c r="R470" s="21">
        <v>2562.83</v>
      </c>
    </row>
    <row r="471" spans="7:18" x14ac:dyDescent="0.15">
      <c r="G471" s="11">
        <v>470</v>
      </c>
      <c r="H471" t="s">
        <v>495</v>
      </c>
      <c r="I471" t="s">
        <v>1136</v>
      </c>
      <c r="J471" t="s">
        <v>870</v>
      </c>
      <c r="K471">
        <v>-1.51</v>
      </c>
      <c r="L471">
        <v>0.82</v>
      </c>
      <c r="M471">
        <v>6.23</v>
      </c>
      <c r="N471" s="20">
        <v>0</v>
      </c>
      <c r="O471">
        <v>33.29</v>
      </c>
      <c r="P471">
        <v>35.42</v>
      </c>
      <c r="Q471">
        <v>47.8</v>
      </c>
      <c r="R471" s="21">
        <v>11096.055899999999</v>
      </c>
    </row>
    <row r="472" spans="7:18" x14ac:dyDescent="0.15">
      <c r="G472" s="11">
        <v>471</v>
      </c>
      <c r="H472" t="s">
        <v>480</v>
      </c>
      <c r="I472" t="s">
        <v>1101</v>
      </c>
      <c r="J472" t="s">
        <v>870</v>
      </c>
      <c r="K472">
        <v>2.92</v>
      </c>
      <c r="L472">
        <v>8.17</v>
      </c>
      <c r="M472">
        <v>8.9600000000000009</v>
      </c>
      <c r="N472" s="20">
        <v>0.18</v>
      </c>
      <c r="O472">
        <v>33.14</v>
      </c>
      <c r="P472">
        <v>62.3</v>
      </c>
      <c r="Q472">
        <v>20.91</v>
      </c>
      <c r="R472" s="21">
        <v>54393.586300000003</v>
      </c>
    </row>
    <row r="473" spans="7:18" x14ac:dyDescent="0.15">
      <c r="G473" s="11">
        <v>472</v>
      </c>
      <c r="H473" t="s">
        <v>749</v>
      </c>
      <c r="I473" t="s">
        <v>973</v>
      </c>
      <c r="J473" t="s">
        <v>870</v>
      </c>
      <c r="K473">
        <v>2.56</v>
      </c>
      <c r="L473">
        <v>8.3699999999999992</v>
      </c>
      <c r="M473">
        <v>10.67</v>
      </c>
      <c r="N473" s="20">
        <v>0.48</v>
      </c>
      <c r="O473">
        <v>33</v>
      </c>
      <c r="P473">
        <v>74.11</v>
      </c>
      <c r="Q473">
        <v>8.9600000000000009</v>
      </c>
      <c r="R473" s="21">
        <v>1586.8812</v>
      </c>
    </row>
    <row r="474" spans="7:18" x14ac:dyDescent="0.15">
      <c r="G474" s="11">
        <v>473</v>
      </c>
      <c r="H474" t="s">
        <v>704</v>
      </c>
      <c r="I474" t="s">
        <v>1154</v>
      </c>
      <c r="J474" t="s">
        <v>870</v>
      </c>
      <c r="K474">
        <v>3.07</v>
      </c>
      <c r="L474">
        <v>8.5399999999999991</v>
      </c>
      <c r="M474">
        <v>10.58</v>
      </c>
      <c r="N474" s="20">
        <v>0.47</v>
      </c>
      <c r="O474">
        <v>32.86</v>
      </c>
      <c r="P474">
        <v>73.83</v>
      </c>
      <c r="Q474">
        <v>9.1</v>
      </c>
      <c r="R474" s="21">
        <v>27541.855800000001</v>
      </c>
    </row>
    <row r="475" spans="7:18" x14ac:dyDescent="0.15">
      <c r="G475" s="11">
        <v>474</v>
      </c>
      <c r="H475" t="s">
        <v>547</v>
      </c>
      <c r="I475" t="s">
        <v>902</v>
      </c>
      <c r="J475" t="s">
        <v>870</v>
      </c>
      <c r="K475">
        <v>3.21</v>
      </c>
      <c r="L475">
        <v>9.33</v>
      </c>
      <c r="M475">
        <v>7.5</v>
      </c>
      <c r="N475" s="20">
        <v>0</v>
      </c>
      <c r="O475">
        <v>32.72</v>
      </c>
      <c r="P475">
        <v>46.23</v>
      </c>
      <c r="Q475">
        <v>36.42</v>
      </c>
      <c r="R475" s="21">
        <v>180.12200609999999</v>
      </c>
    </row>
    <row r="476" spans="7:18" x14ac:dyDescent="0.15">
      <c r="G476" s="11">
        <v>475</v>
      </c>
      <c r="H476" t="s">
        <v>728</v>
      </c>
      <c r="I476" t="s">
        <v>1301</v>
      </c>
      <c r="J476" t="s">
        <v>1288</v>
      </c>
      <c r="K476">
        <v>-2.08</v>
      </c>
      <c r="L476">
        <v>7.11</v>
      </c>
      <c r="M476">
        <v>8.8000000000000007</v>
      </c>
      <c r="N476" s="20">
        <v>0.17</v>
      </c>
      <c r="O476">
        <v>32.57</v>
      </c>
      <c r="P476">
        <v>60.31</v>
      </c>
      <c r="Q476">
        <v>22.19</v>
      </c>
      <c r="R476" s="21">
        <v>3256.9282739999999</v>
      </c>
    </row>
    <row r="477" spans="7:18" x14ac:dyDescent="0.15">
      <c r="G477" s="11">
        <v>476</v>
      </c>
      <c r="H477" t="s">
        <v>1558</v>
      </c>
      <c r="I477" t="s">
        <v>1559</v>
      </c>
      <c r="J477" t="s">
        <v>1688</v>
      </c>
      <c r="K477">
        <v>-0.11</v>
      </c>
      <c r="L477">
        <v>4.6900000000000004</v>
      </c>
      <c r="M477">
        <v>8.2899999999999991</v>
      </c>
      <c r="N477" s="20">
        <v>0.11</v>
      </c>
      <c r="O477">
        <v>32.43</v>
      </c>
      <c r="P477">
        <v>55.48</v>
      </c>
      <c r="Q477">
        <v>26.88</v>
      </c>
      <c r="R477" s="21">
        <v>228.4729111</v>
      </c>
    </row>
    <row r="478" spans="7:18" x14ac:dyDescent="0.15">
      <c r="G478" s="11">
        <v>477</v>
      </c>
      <c r="H478" t="s">
        <v>693</v>
      </c>
      <c r="I478" t="s">
        <v>1046</v>
      </c>
      <c r="J478" t="s">
        <v>870</v>
      </c>
      <c r="K478">
        <v>1.42</v>
      </c>
      <c r="L478">
        <v>3.63</v>
      </c>
      <c r="M478">
        <v>9.6</v>
      </c>
      <c r="N478" s="20">
        <v>0.28000000000000003</v>
      </c>
      <c r="O478">
        <v>32.29</v>
      </c>
      <c r="P478">
        <v>68.56</v>
      </c>
      <c r="Q478">
        <v>13.8</v>
      </c>
      <c r="R478" s="21">
        <v>1854.492</v>
      </c>
    </row>
    <row r="479" spans="7:18" x14ac:dyDescent="0.15">
      <c r="G479" s="11">
        <v>478</v>
      </c>
      <c r="H479" t="s">
        <v>503</v>
      </c>
      <c r="I479" t="s">
        <v>909</v>
      </c>
      <c r="J479" t="s">
        <v>870</v>
      </c>
      <c r="K479">
        <v>1.25</v>
      </c>
      <c r="L479">
        <v>2.71</v>
      </c>
      <c r="M479">
        <v>8.44</v>
      </c>
      <c r="N479" s="20">
        <v>0.13</v>
      </c>
      <c r="O479">
        <v>32.15</v>
      </c>
      <c r="P479">
        <v>57.33</v>
      </c>
      <c r="Q479">
        <v>24.75</v>
      </c>
      <c r="R479" s="21">
        <v>233.37569999999999</v>
      </c>
    </row>
    <row r="480" spans="7:18" x14ac:dyDescent="0.15">
      <c r="G480" s="11">
        <v>479</v>
      </c>
      <c r="H480" t="s">
        <v>1608</v>
      </c>
      <c r="I480" t="s">
        <v>1609</v>
      </c>
      <c r="J480" t="s">
        <v>1688</v>
      </c>
      <c r="K480">
        <v>-0.15</v>
      </c>
      <c r="L480">
        <v>8.1199999999999992</v>
      </c>
      <c r="M480">
        <v>6.68</v>
      </c>
      <c r="N480" s="20">
        <v>0</v>
      </c>
      <c r="O480">
        <v>32.01</v>
      </c>
      <c r="P480">
        <v>38.979999999999997</v>
      </c>
      <c r="Q480">
        <v>43.1</v>
      </c>
      <c r="R480" s="21">
        <v>935.58669999999995</v>
      </c>
    </row>
    <row r="481" spans="7:18" x14ac:dyDescent="0.15">
      <c r="G481" s="11">
        <v>480</v>
      </c>
      <c r="H481" t="s">
        <v>680</v>
      </c>
      <c r="I481" t="s">
        <v>1180</v>
      </c>
      <c r="J481" t="s">
        <v>870</v>
      </c>
      <c r="K481">
        <v>1.19</v>
      </c>
      <c r="L481">
        <v>4.5999999999999996</v>
      </c>
      <c r="M481">
        <v>6.12</v>
      </c>
      <c r="N481" s="20">
        <v>0</v>
      </c>
      <c r="O481">
        <v>31.86</v>
      </c>
      <c r="P481">
        <v>34.28</v>
      </c>
      <c r="Q481">
        <v>47.51</v>
      </c>
      <c r="R481" s="21">
        <v>208307.10500000001</v>
      </c>
    </row>
    <row r="482" spans="7:18" x14ac:dyDescent="0.15">
      <c r="G482" s="11">
        <v>481</v>
      </c>
      <c r="H482" t="s">
        <v>608</v>
      </c>
      <c r="I482" t="s">
        <v>1004</v>
      </c>
      <c r="J482" t="s">
        <v>870</v>
      </c>
      <c r="K482">
        <v>2.67</v>
      </c>
      <c r="L482">
        <v>4.4000000000000004</v>
      </c>
      <c r="M482">
        <v>8.4499999999999993</v>
      </c>
      <c r="N482" s="20">
        <v>0.13</v>
      </c>
      <c r="O482">
        <v>31.72</v>
      </c>
      <c r="P482">
        <v>57.61</v>
      </c>
      <c r="Q482">
        <v>24.04</v>
      </c>
      <c r="R482" s="21">
        <v>1755.1030000000001</v>
      </c>
    </row>
    <row r="483" spans="7:18" x14ac:dyDescent="0.15">
      <c r="G483" s="11">
        <v>482</v>
      </c>
      <c r="H483" t="s">
        <v>735</v>
      </c>
      <c r="I483" t="s">
        <v>1035</v>
      </c>
      <c r="J483" t="s">
        <v>870</v>
      </c>
      <c r="K483">
        <v>0.95</v>
      </c>
      <c r="L483">
        <v>3.1</v>
      </c>
      <c r="M483">
        <v>8.2799999999999994</v>
      </c>
      <c r="N483" s="20">
        <v>0.12</v>
      </c>
      <c r="O483">
        <v>31.58</v>
      </c>
      <c r="P483">
        <v>55.33</v>
      </c>
      <c r="Q483">
        <v>26.03</v>
      </c>
      <c r="R483" s="21">
        <v>1098.3632967999999</v>
      </c>
    </row>
    <row r="484" spans="7:18" x14ac:dyDescent="0.15">
      <c r="G484" s="11">
        <v>483</v>
      </c>
      <c r="H484" t="s">
        <v>335</v>
      </c>
      <c r="I484" t="s">
        <v>1146</v>
      </c>
      <c r="J484" t="s">
        <v>870</v>
      </c>
      <c r="K484">
        <v>-0.08</v>
      </c>
      <c r="L484">
        <v>0</v>
      </c>
      <c r="M484">
        <v>0.17</v>
      </c>
      <c r="N484" s="20">
        <v>-0.17</v>
      </c>
      <c r="O484">
        <v>31.44</v>
      </c>
      <c r="P484">
        <v>9.1</v>
      </c>
      <c r="Q484">
        <v>72.12</v>
      </c>
      <c r="R484" s="21">
        <v>29726.5622</v>
      </c>
    </row>
    <row r="485" spans="7:18" x14ac:dyDescent="0.15">
      <c r="G485" s="11">
        <v>484</v>
      </c>
      <c r="H485" t="s">
        <v>1548</v>
      </c>
      <c r="I485" t="s">
        <v>1549</v>
      </c>
      <c r="J485" t="s">
        <v>1688</v>
      </c>
      <c r="K485">
        <v>-0.61</v>
      </c>
      <c r="L485">
        <v>2.16</v>
      </c>
      <c r="M485">
        <v>5.68</v>
      </c>
      <c r="N485" s="20">
        <v>0</v>
      </c>
      <c r="O485">
        <v>31.29</v>
      </c>
      <c r="P485">
        <v>32.15</v>
      </c>
      <c r="Q485">
        <v>48.65</v>
      </c>
      <c r="R485" s="21">
        <v>1183.7005999999999</v>
      </c>
    </row>
    <row r="486" spans="7:18" x14ac:dyDescent="0.15">
      <c r="G486" s="11">
        <v>485</v>
      </c>
      <c r="H486" t="s">
        <v>1387</v>
      </c>
      <c r="I486" t="s">
        <v>1388</v>
      </c>
      <c r="J486" t="s">
        <v>1688</v>
      </c>
      <c r="K486">
        <v>-1.73</v>
      </c>
      <c r="L486">
        <v>0.47</v>
      </c>
      <c r="M486">
        <v>2.68</v>
      </c>
      <c r="N486" s="20">
        <v>-0.11</v>
      </c>
      <c r="O486">
        <v>31.15</v>
      </c>
      <c r="P486">
        <v>18.07</v>
      </c>
      <c r="Q486">
        <v>62.59</v>
      </c>
      <c r="R486" s="21">
        <v>5287.3437090999996</v>
      </c>
    </row>
    <row r="487" spans="7:18" x14ac:dyDescent="0.15">
      <c r="G487" s="11">
        <v>486</v>
      </c>
      <c r="H487" t="s">
        <v>458</v>
      </c>
      <c r="I487" t="s">
        <v>1043</v>
      </c>
      <c r="J487" t="s">
        <v>870</v>
      </c>
      <c r="K487">
        <v>1.59</v>
      </c>
      <c r="L487">
        <v>3.53</v>
      </c>
      <c r="M487">
        <v>6.13</v>
      </c>
      <c r="N487" s="20">
        <v>0</v>
      </c>
      <c r="O487">
        <v>31.01</v>
      </c>
      <c r="P487">
        <v>34.57</v>
      </c>
      <c r="Q487">
        <v>46.09</v>
      </c>
      <c r="R487" s="21">
        <v>2760.4205999999999</v>
      </c>
    </row>
    <row r="488" spans="7:18" x14ac:dyDescent="0.15">
      <c r="G488" s="11">
        <v>487</v>
      </c>
      <c r="H488" t="s">
        <v>476</v>
      </c>
      <c r="I488" t="s">
        <v>937</v>
      </c>
      <c r="J488" t="s">
        <v>870</v>
      </c>
      <c r="K488">
        <v>0.59</v>
      </c>
      <c r="L488">
        <v>2.41</v>
      </c>
      <c r="M488">
        <v>4.99</v>
      </c>
      <c r="N488" s="20">
        <v>0</v>
      </c>
      <c r="O488">
        <v>30.87</v>
      </c>
      <c r="P488">
        <v>28.59</v>
      </c>
      <c r="Q488">
        <v>52.06</v>
      </c>
      <c r="R488" s="21">
        <v>190.17619999999999</v>
      </c>
    </row>
    <row r="489" spans="7:18" x14ac:dyDescent="0.15">
      <c r="G489" s="11">
        <v>488</v>
      </c>
      <c r="H489" t="s">
        <v>295</v>
      </c>
      <c r="I489" t="s">
        <v>865</v>
      </c>
      <c r="J489" t="s">
        <v>833</v>
      </c>
      <c r="K489">
        <v>1.31</v>
      </c>
      <c r="L489">
        <v>5.16</v>
      </c>
      <c r="M489">
        <v>9.94</v>
      </c>
      <c r="N489" s="20">
        <v>0.42</v>
      </c>
      <c r="O489">
        <v>30.73</v>
      </c>
      <c r="P489">
        <v>70.27</v>
      </c>
      <c r="Q489">
        <v>10.38</v>
      </c>
      <c r="R489" s="21">
        <v>1872.4141999999999</v>
      </c>
    </row>
    <row r="490" spans="7:18" x14ac:dyDescent="0.15">
      <c r="G490" s="11">
        <v>489</v>
      </c>
      <c r="H490" t="s">
        <v>1368</v>
      </c>
      <c r="I490" t="s">
        <v>1369</v>
      </c>
      <c r="J490" t="s">
        <v>1688</v>
      </c>
      <c r="K490">
        <v>3.71</v>
      </c>
      <c r="L490">
        <v>7.36</v>
      </c>
      <c r="M490">
        <v>10.85</v>
      </c>
      <c r="N490" s="20">
        <v>1</v>
      </c>
      <c r="O490">
        <v>30.58</v>
      </c>
      <c r="P490">
        <v>74.680000000000007</v>
      </c>
      <c r="Q490">
        <v>5.83</v>
      </c>
      <c r="R490" s="21">
        <v>114.3728</v>
      </c>
    </row>
    <row r="491" spans="7:18" x14ac:dyDescent="0.15">
      <c r="G491" s="11">
        <v>490</v>
      </c>
      <c r="H491" t="s">
        <v>1429</v>
      </c>
      <c r="I491" t="s">
        <v>1430</v>
      </c>
      <c r="J491" t="s">
        <v>1688</v>
      </c>
      <c r="K491">
        <v>-0.75</v>
      </c>
      <c r="L491">
        <v>1.26</v>
      </c>
      <c r="M491">
        <v>3.69</v>
      </c>
      <c r="N491" s="20">
        <v>-0.09</v>
      </c>
      <c r="O491">
        <v>30.44</v>
      </c>
      <c r="P491">
        <v>21.91</v>
      </c>
      <c r="Q491">
        <v>58.46</v>
      </c>
      <c r="R491" s="21">
        <v>3871.5177898000002</v>
      </c>
    </row>
    <row r="492" spans="7:18" x14ac:dyDescent="0.15">
      <c r="G492" s="11">
        <v>491</v>
      </c>
      <c r="H492" t="s">
        <v>563</v>
      </c>
      <c r="I492" t="s">
        <v>982</v>
      </c>
      <c r="J492" t="s">
        <v>870</v>
      </c>
      <c r="K492">
        <v>2.0699999999999998</v>
      </c>
      <c r="L492">
        <v>3.51</v>
      </c>
      <c r="M492">
        <v>5.94</v>
      </c>
      <c r="N492" s="20">
        <v>0</v>
      </c>
      <c r="O492">
        <v>30.3</v>
      </c>
      <c r="P492">
        <v>33.29</v>
      </c>
      <c r="Q492">
        <v>47.08</v>
      </c>
      <c r="R492" s="21">
        <v>1108.5700999999999</v>
      </c>
    </row>
    <row r="493" spans="7:18" x14ac:dyDescent="0.15">
      <c r="G493" s="11">
        <v>492</v>
      </c>
      <c r="H493" t="s">
        <v>1354</v>
      </c>
      <c r="I493" t="s">
        <v>1355</v>
      </c>
      <c r="J493" t="s">
        <v>1688</v>
      </c>
      <c r="K493">
        <v>-1.21</v>
      </c>
      <c r="L493">
        <v>-1.74</v>
      </c>
      <c r="M493">
        <v>1.07</v>
      </c>
      <c r="N493" s="20">
        <v>-0.13</v>
      </c>
      <c r="O493">
        <v>30.16</v>
      </c>
      <c r="P493">
        <v>13.8</v>
      </c>
      <c r="Q493">
        <v>66.290000000000006</v>
      </c>
      <c r="R493" s="21">
        <v>992.89570000000003</v>
      </c>
    </row>
    <row r="494" spans="7:18" x14ac:dyDescent="0.15">
      <c r="G494" s="11">
        <v>493</v>
      </c>
      <c r="H494" t="s">
        <v>504</v>
      </c>
      <c r="I494" t="s">
        <v>896</v>
      </c>
      <c r="J494" t="s">
        <v>870</v>
      </c>
      <c r="K494">
        <v>0</v>
      </c>
      <c r="L494">
        <v>2.0499999999999998</v>
      </c>
      <c r="M494">
        <v>2.88</v>
      </c>
      <c r="N494" s="20">
        <v>-0.1</v>
      </c>
      <c r="O494">
        <v>30.01</v>
      </c>
      <c r="P494">
        <v>19.2</v>
      </c>
      <c r="Q494">
        <v>60.74</v>
      </c>
      <c r="R494" s="21">
        <v>316.8673</v>
      </c>
    </row>
    <row r="495" spans="7:18" x14ac:dyDescent="0.15">
      <c r="G495" s="11">
        <v>494</v>
      </c>
      <c r="H495" t="s">
        <v>1350</v>
      </c>
      <c r="I495" t="s">
        <v>1351</v>
      </c>
      <c r="J495" t="s">
        <v>1688</v>
      </c>
      <c r="K495">
        <v>-0.94</v>
      </c>
      <c r="L495">
        <v>1.25</v>
      </c>
      <c r="M495">
        <v>5.58</v>
      </c>
      <c r="N495" s="20">
        <v>0</v>
      </c>
      <c r="O495">
        <v>29.87</v>
      </c>
      <c r="P495">
        <v>31.58</v>
      </c>
      <c r="Q495">
        <v>48.36</v>
      </c>
      <c r="R495" s="21">
        <v>609.99540000000002</v>
      </c>
    </row>
    <row r="496" spans="7:18" x14ac:dyDescent="0.15">
      <c r="G496" s="11">
        <v>495</v>
      </c>
      <c r="H496" t="s">
        <v>703</v>
      </c>
      <c r="I496" t="s">
        <v>984</v>
      </c>
      <c r="J496" t="s">
        <v>870</v>
      </c>
      <c r="K496">
        <v>0.42</v>
      </c>
      <c r="L496">
        <v>1.43</v>
      </c>
      <c r="M496">
        <v>6.02</v>
      </c>
      <c r="N496" s="20">
        <v>0</v>
      </c>
      <c r="O496">
        <v>29.73</v>
      </c>
      <c r="P496">
        <v>33.57</v>
      </c>
      <c r="Q496">
        <v>46.23</v>
      </c>
      <c r="R496" s="21">
        <v>391.7124</v>
      </c>
    </row>
    <row r="497" spans="7:18" x14ac:dyDescent="0.15">
      <c r="G497" s="11">
        <v>496</v>
      </c>
      <c r="H497" t="s">
        <v>710</v>
      </c>
      <c r="I497" t="s">
        <v>989</v>
      </c>
      <c r="J497" t="s">
        <v>870</v>
      </c>
      <c r="K497">
        <v>-0.52</v>
      </c>
      <c r="L497">
        <v>4.0999999999999996</v>
      </c>
      <c r="M497">
        <v>9.59</v>
      </c>
      <c r="N497" s="20">
        <v>0.4</v>
      </c>
      <c r="O497">
        <v>29.59</v>
      </c>
      <c r="P497">
        <v>68.42</v>
      </c>
      <c r="Q497">
        <v>11.1</v>
      </c>
      <c r="R497" s="21">
        <v>1253.2264</v>
      </c>
    </row>
    <row r="498" spans="7:18" x14ac:dyDescent="0.15">
      <c r="G498" s="11">
        <v>497</v>
      </c>
      <c r="H498" t="s">
        <v>670</v>
      </c>
      <c r="I498" t="s">
        <v>993</v>
      </c>
      <c r="J498" t="s">
        <v>870</v>
      </c>
      <c r="K498">
        <v>0.17</v>
      </c>
      <c r="L498">
        <v>0.67</v>
      </c>
      <c r="M498">
        <v>5.4</v>
      </c>
      <c r="N498" s="20">
        <v>0</v>
      </c>
      <c r="O498">
        <v>29.45</v>
      </c>
      <c r="P498">
        <v>30.87</v>
      </c>
      <c r="Q498">
        <v>48.22</v>
      </c>
      <c r="R498" s="21">
        <v>1181.5110999999999</v>
      </c>
    </row>
    <row r="499" spans="7:18" x14ac:dyDescent="0.15">
      <c r="G499" s="11">
        <v>498</v>
      </c>
      <c r="H499" t="s">
        <v>1490</v>
      </c>
      <c r="I499" t="s">
        <v>1491</v>
      </c>
      <c r="J499" t="s">
        <v>1688</v>
      </c>
      <c r="K499">
        <v>0.21</v>
      </c>
      <c r="L499">
        <v>0.78</v>
      </c>
      <c r="M499">
        <v>5.49</v>
      </c>
      <c r="N499" s="20">
        <v>0</v>
      </c>
      <c r="O499">
        <v>29.3</v>
      </c>
      <c r="P499">
        <v>31.29</v>
      </c>
      <c r="Q499">
        <v>47.65</v>
      </c>
      <c r="R499" s="21">
        <v>127.61111070000001</v>
      </c>
    </row>
    <row r="500" spans="7:18" x14ac:dyDescent="0.15">
      <c r="G500" s="11">
        <v>499</v>
      </c>
      <c r="H500" t="s">
        <v>655</v>
      </c>
      <c r="I500" t="s">
        <v>1141</v>
      </c>
      <c r="J500" t="s">
        <v>870</v>
      </c>
      <c r="K500">
        <v>0.02</v>
      </c>
      <c r="L500">
        <v>3.1</v>
      </c>
      <c r="M500">
        <v>2.77</v>
      </c>
      <c r="N500" s="20">
        <v>-0.1</v>
      </c>
      <c r="O500">
        <v>29.16</v>
      </c>
      <c r="P500">
        <v>18.489999999999998</v>
      </c>
      <c r="Q500">
        <v>60.31</v>
      </c>
      <c r="R500" s="21">
        <v>7769.0174999999999</v>
      </c>
    </row>
    <row r="501" spans="7:18" x14ac:dyDescent="0.15">
      <c r="G501" s="11">
        <v>500</v>
      </c>
      <c r="H501" t="s">
        <v>1393</v>
      </c>
      <c r="I501" t="s">
        <v>1394</v>
      </c>
      <c r="J501" t="s">
        <v>1688</v>
      </c>
      <c r="K501">
        <v>1</v>
      </c>
      <c r="L501">
        <v>0.84</v>
      </c>
      <c r="M501">
        <v>5.85</v>
      </c>
      <c r="N501" s="20">
        <v>0</v>
      </c>
      <c r="O501">
        <v>29.02</v>
      </c>
      <c r="P501">
        <v>32.72</v>
      </c>
      <c r="Q501">
        <v>45.8</v>
      </c>
      <c r="R501" s="21">
        <v>1505.8574566</v>
      </c>
    </row>
    <row r="502" spans="7:18" x14ac:dyDescent="0.15">
      <c r="G502" s="11">
        <v>501</v>
      </c>
      <c r="H502" t="s">
        <v>1507</v>
      </c>
      <c r="I502" t="s">
        <v>1508</v>
      </c>
      <c r="J502" t="s">
        <v>1688</v>
      </c>
      <c r="K502">
        <v>0.2</v>
      </c>
      <c r="L502">
        <v>-0.16</v>
      </c>
      <c r="M502">
        <v>0.67</v>
      </c>
      <c r="N502" s="20">
        <v>-0.13</v>
      </c>
      <c r="O502">
        <v>28.88</v>
      </c>
      <c r="P502">
        <v>11.38</v>
      </c>
      <c r="Q502">
        <v>67.14</v>
      </c>
      <c r="R502" s="21">
        <v>523.94734679999999</v>
      </c>
    </row>
    <row r="503" spans="7:18" x14ac:dyDescent="0.15">
      <c r="G503" s="11">
        <v>502</v>
      </c>
      <c r="H503" t="s">
        <v>690</v>
      </c>
      <c r="I503" t="s">
        <v>261</v>
      </c>
      <c r="J503" t="s">
        <v>870</v>
      </c>
      <c r="K503">
        <v>1.42</v>
      </c>
      <c r="L503">
        <v>5.65</v>
      </c>
      <c r="M503">
        <v>7.52</v>
      </c>
      <c r="N503" s="20">
        <v>0.06</v>
      </c>
      <c r="O503">
        <v>28.73</v>
      </c>
      <c r="P503">
        <v>46.37</v>
      </c>
      <c r="Q503">
        <v>32.15</v>
      </c>
      <c r="R503" s="21">
        <v>3937.3159999999998</v>
      </c>
    </row>
    <row r="504" spans="7:18" x14ac:dyDescent="0.15">
      <c r="G504" s="11">
        <v>503</v>
      </c>
      <c r="H504" t="s">
        <v>1661</v>
      </c>
      <c r="I504" t="s">
        <v>1662</v>
      </c>
      <c r="J504" t="s">
        <v>1688</v>
      </c>
      <c r="K504">
        <v>0</v>
      </c>
      <c r="L504">
        <v>0.48</v>
      </c>
      <c r="M504">
        <v>4.79</v>
      </c>
      <c r="N504" s="20">
        <v>0</v>
      </c>
      <c r="O504">
        <v>28.59</v>
      </c>
      <c r="P504">
        <v>27.17</v>
      </c>
      <c r="Q504">
        <v>51.21</v>
      </c>
      <c r="R504" s="21">
        <v>955.69370000000004</v>
      </c>
    </row>
    <row r="505" spans="7:18" x14ac:dyDescent="0.15">
      <c r="G505" s="11">
        <v>504</v>
      </c>
      <c r="H505" t="s">
        <v>354</v>
      </c>
      <c r="I505" t="s">
        <v>21</v>
      </c>
      <c r="J505" t="s">
        <v>1688</v>
      </c>
      <c r="K505">
        <v>0.18</v>
      </c>
      <c r="L505">
        <v>-0.24</v>
      </c>
      <c r="M505">
        <v>0.57999999999999996</v>
      </c>
      <c r="N505" s="20">
        <v>-0.13</v>
      </c>
      <c r="O505">
        <v>28.45</v>
      </c>
      <c r="P505">
        <v>10.24</v>
      </c>
      <c r="Q505">
        <v>67.569999999999993</v>
      </c>
      <c r="R505" s="21">
        <v>184.9753268</v>
      </c>
    </row>
    <row r="506" spans="7:18" x14ac:dyDescent="0.15">
      <c r="G506" s="11">
        <v>505</v>
      </c>
      <c r="H506" t="s">
        <v>1655</v>
      </c>
      <c r="I506" t="s">
        <v>1656</v>
      </c>
      <c r="J506" t="s">
        <v>1688</v>
      </c>
      <c r="K506">
        <v>0.55000000000000004</v>
      </c>
      <c r="L506">
        <v>4.29</v>
      </c>
      <c r="M506">
        <v>8.82</v>
      </c>
      <c r="N506" s="20">
        <v>0.22</v>
      </c>
      <c r="O506">
        <v>28.31</v>
      </c>
      <c r="P506">
        <v>60.46</v>
      </c>
      <c r="Q506">
        <v>17.07</v>
      </c>
      <c r="R506" s="21">
        <v>22457.635399999999</v>
      </c>
    </row>
    <row r="507" spans="7:18" x14ac:dyDescent="0.15">
      <c r="G507" s="11">
        <v>506</v>
      </c>
      <c r="H507" t="s">
        <v>578</v>
      </c>
      <c r="I507" t="s">
        <v>1138</v>
      </c>
      <c r="J507" t="s">
        <v>870</v>
      </c>
      <c r="K507">
        <v>-1.1599999999999999</v>
      </c>
      <c r="L507">
        <v>0.99</v>
      </c>
      <c r="M507">
        <v>4.38</v>
      </c>
      <c r="N507" s="20">
        <v>0</v>
      </c>
      <c r="O507">
        <v>28.17</v>
      </c>
      <c r="P507">
        <v>25.18</v>
      </c>
      <c r="Q507">
        <v>51.92</v>
      </c>
      <c r="R507" s="21">
        <v>11141.038500000001</v>
      </c>
    </row>
    <row r="508" spans="7:18" x14ac:dyDescent="0.15">
      <c r="G508" s="11">
        <v>507</v>
      </c>
      <c r="H508" t="s">
        <v>661</v>
      </c>
      <c r="I508" t="s">
        <v>1252</v>
      </c>
      <c r="J508" t="s">
        <v>1251</v>
      </c>
      <c r="K508">
        <v>2.88</v>
      </c>
      <c r="L508">
        <v>5.82</v>
      </c>
      <c r="M508">
        <v>10.18</v>
      </c>
      <c r="N508" s="20">
        <v>1.21</v>
      </c>
      <c r="O508">
        <v>28.02</v>
      </c>
      <c r="P508">
        <v>71.98</v>
      </c>
      <c r="Q508">
        <v>4.9800000000000004</v>
      </c>
      <c r="R508" s="21">
        <v>156.857</v>
      </c>
    </row>
    <row r="509" spans="7:18" x14ac:dyDescent="0.15">
      <c r="G509" s="11">
        <v>508</v>
      </c>
      <c r="H509" t="s">
        <v>700</v>
      </c>
      <c r="I509" t="s">
        <v>1181</v>
      </c>
      <c r="J509" t="s">
        <v>870</v>
      </c>
      <c r="K509">
        <v>1.55</v>
      </c>
      <c r="L509">
        <v>4.8499999999999996</v>
      </c>
      <c r="M509">
        <v>7.16</v>
      </c>
      <c r="N509" s="20">
        <v>0.05</v>
      </c>
      <c r="O509">
        <v>27.88</v>
      </c>
      <c r="P509">
        <v>43.53</v>
      </c>
      <c r="Q509">
        <v>32.86</v>
      </c>
      <c r="R509" s="21">
        <v>307056.29029999999</v>
      </c>
    </row>
    <row r="510" spans="7:18" x14ac:dyDescent="0.15">
      <c r="G510" s="11">
        <v>509</v>
      </c>
      <c r="H510" t="s">
        <v>1411</v>
      </c>
      <c r="I510" t="s">
        <v>1412</v>
      </c>
      <c r="J510" t="s">
        <v>1688</v>
      </c>
      <c r="K510">
        <v>1.35</v>
      </c>
      <c r="L510">
        <v>0.77</v>
      </c>
      <c r="M510">
        <v>1.86</v>
      </c>
      <c r="N510" s="20">
        <v>-0.1</v>
      </c>
      <c r="O510">
        <v>27.74</v>
      </c>
      <c r="P510">
        <v>15.65</v>
      </c>
      <c r="Q510">
        <v>59.6</v>
      </c>
      <c r="R510" s="21">
        <v>2602.7752999999998</v>
      </c>
    </row>
    <row r="511" spans="7:18" x14ac:dyDescent="0.15">
      <c r="G511" s="11">
        <v>510</v>
      </c>
      <c r="H511" t="s">
        <v>1606</v>
      </c>
      <c r="I511" t="s">
        <v>1607</v>
      </c>
      <c r="J511" t="s">
        <v>1688</v>
      </c>
      <c r="K511">
        <v>-2.69</v>
      </c>
      <c r="L511">
        <v>-0.43</v>
      </c>
      <c r="M511">
        <v>3.98</v>
      </c>
      <c r="N511" s="20">
        <v>0</v>
      </c>
      <c r="O511">
        <v>27.6</v>
      </c>
      <c r="P511">
        <v>23.76</v>
      </c>
      <c r="Q511">
        <v>51.49</v>
      </c>
      <c r="R511" s="21">
        <v>569.10527949999994</v>
      </c>
    </row>
    <row r="512" spans="7:18" x14ac:dyDescent="0.15">
      <c r="G512" s="11">
        <v>511</v>
      </c>
      <c r="H512" t="s">
        <v>334</v>
      </c>
      <c r="I512" t="s">
        <v>1114</v>
      </c>
      <c r="J512" t="s">
        <v>870</v>
      </c>
      <c r="K512">
        <v>1.28</v>
      </c>
      <c r="L512">
        <v>5.34</v>
      </c>
      <c r="M512">
        <v>8.06</v>
      </c>
      <c r="N512" s="20">
        <v>0.15</v>
      </c>
      <c r="O512">
        <v>27.45</v>
      </c>
      <c r="P512">
        <v>52.2</v>
      </c>
      <c r="Q512">
        <v>22.76</v>
      </c>
      <c r="R512" s="21">
        <v>8347.7911999999997</v>
      </c>
    </row>
    <row r="513" spans="7:18" x14ac:dyDescent="0.15">
      <c r="G513" s="11">
        <v>512</v>
      </c>
      <c r="H513" t="s">
        <v>1358</v>
      </c>
      <c r="I513" t="s">
        <v>1359</v>
      </c>
      <c r="J513" t="s">
        <v>1688</v>
      </c>
      <c r="K513">
        <v>1.35</v>
      </c>
      <c r="L513">
        <v>0.76</v>
      </c>
      <c r="M513">
        <v>1.74</v>
      </c>
      <c r="N513" s="20">
        <v>-0.1</v>
      </c>
      <c r="O513">
        <v>27.31</v>
      </c>
      <c r="P513">
        <v>14.79</v>
      </c>
      <c r="Q513">
        <v>59.89</v>
      </c>
      <c r="R513" s="21">
        <v>98.338534899999999</v>
      </c>
    </row>
    <row r="514" spans="7:18" x14ac:dyDescent="0.15">
      <c r="G514" s="11">
        <v>513</v>
      </c>
      <c r="H514" t="s">
        <v>561</v>
      </c>
      <c r="I514" t="s">
        <v>956</v>
      </c>
      <c r="J514" t="s">
        <v>870</v>
      </c>
      <c r="K514">
        <v>0.95</v>
      </c>
      <c r="L514">
        <v>3.97</v>
      </c>
      <c r="M514">
        <v>7.2</v>
      </c>
      <c r="N514" s="20">
        <v>0.08</v>
      </c>
      <c r="O514">
        <v>27.17</v>
      </c>
      <c r="P514">
        <v>43.95</v>
      </c>
      <c r="Q514">
        <v>30.58</v>
      </c>
      <c r="R514" s="21">
        <v>1266.0754999999999</v>
      </c>
    </row>
    <row r="515" spans="7:18" x14ac:dyDescent="0.15">
      <c r="G515" s="11">
        <v>514</v>
      </c>
      <c r="H515" t="s">
        <v>743</v>
      </c>
      <c r="I515" t="s">
        <v>972</v>
      </c>
      <c r="J515" t="s">
        <v>870</v>
      </c>
      <c r="K515">
        <v>0.88</v>
      </c>
      <c r="L515">
        <v>2.4700000000000002</v>
      </c>
      <c r="M515">
        <v>1.77</v>
      </c>
      <c r="N515" s="20">
        <v>-0.09</v>
      </c>
      <c r="O515">
        <v>27.03</v>
      </c>
      <c r="P515">
        <v>15.22</v>
      </c>
      <c r="Q515">
        <v>59.03</v>
      </c>
      <c r="R515" s="21">
        <v>1384.2112999999999</v>
      </c>
    </row>
    <row r="516" spans="7:18" x14ac:dyDescent="0.15">
      <c r="G516" s="11">
        <v>515</v>
      </c>
      <c r="H516" t="s">
        <v>507</v>
      </c>
      <c r="I516" t="s">
        <v>28</v>
      </c>
      <c r="J516" t="s">
        <v>1213</v>
      </c>
      <c r="K516">
        <v>-2.59</v>
      </c>
      <c r="L516">
        <v>3.33</v>
      </c>
      <c r="M516">
        <v>8.2100000000000009</v>
      </c>
      <c r="N516" s="20">
        <v>0.19</v>
      </c>
      <c r="O516">
        <v>26.88</v>
      </c>
      <c r="P516">
        <v>54.48</v>
      </c>
      <c r="Q516">
        <v>19.489999999999998</v>
      </c>
      <c r="R516" s="21">
        <v>1027.8537321000001</v>
      </c>
    </row>
    <row r="517" spans="7:18" x14ac:dyDescent="0.15">
      <c r="G517" s="11">
        <v>516</v>
      </c>
      <c r="H517" t="s">
        <v>344</v>
      </c>
      <c r="I517" t="s">
        <v>1089</v>
      </c>
      <c r="J517" t="s">
        <v>870</v>
      </c>
      <c r="K517">
        <v>3.24</v>
      </c>
      <c r="L517">
        <v>9.56</v>
      </c>
      <c r="M517">
        <v>7.84</v>
      </c>
      <c r="N517" s="20">
        <v>0.13</v>
      </c>
      <c r="O517">
        <v>26.74</v>
      </c>
      <c r="P517">
        <v>50.21</v>
      </c>
      <c r="Q517">
        <v>23.76</v>
      </c>
      <c r="R517" s="21">
        <v>6331.0511999999999</v>
      </c>
    </row>
    <row r="518" spans="7:18" x14ac:dyDescent="0.15">
      <c r="G518" s="11">
        <v>517</v>
      </c>
      <c r="H518" t="s">
        <v>1337</v>
      </c>
      <c r="I518" t="s">
        <v>1338</v>
      </c>
      <c r="J518" t="s">
        <v>1688</v>
      </c>
      <c r="K518">
        <v>-0.97</v>
      </c>
      <c r="L518">
        <v>0.81</v>
      </c>
      <c r="M518">
        <v>5.0599999999999996</v>
      </c>
      <c r="N518" s="20">
        <v>0</v>
      </c>
      <c r="O518">
        <v>26.6</v>
      </c>
      <c r="P518">
        <v>29.02</v>
      </c>
      <c r="Q518">
        <v>44.95</v>
      </c>
      <c r="R518" s="21">
        <v>2454.0086999999999</v>
      </c>
    </row>
    <row r="519" spans="7:18" x14ac:dyDescent="0.15">
      <c r="G519" s="11">
        <v>518</v>
      </c>
      <c r="H519" t="s">
        <v>745</v>
      </c>
      <c r="I519" t="s">
        <v>914</v>
      </c>
      <c r="J519" t="s">
        <v>870</v>
      </c>
      <c r="K519">
        <v>-0.55000000000000004</v>
      </c>
      <c r="L519">
        <v>3.51</v>
      </c>
      <c r="M519">
        <v>7.81</v>
      </c>
      <c r="N519" s="20">
        <v>0.13</v>
      </c>
      <c r="O519">
        <v>26.46</v>
      </c>
      <c r="P519">
        <v>49.93</v>
      </c>
      <c r="Q519">
        <v>23.9</v>
      </c>
      <c r="R519" s="21">
        <v>9.5518000000000001</v>
      </c>
    </row>
    <row r="520" spans="7:18" x14ac:dyDescent="0.15">
      <c r="G520" s="11">
        <v>519</v>
      </c>
      <c r="H520" t="s">
        <v>442</v>
      </c>
      <c r="I520" t="s">
        <v>1163</v>
      </c>
      <c r="J520" t="s">
        <v>870</v>
      </c>
      <c r="K520">
        <v>-0.31</v>
      </c>
      <c r="L520">
        <v>0.31</v>
      </c>
      <c r="M520">
        <v>4.8899999999999997</v>
      </c>
      <c r="N520" s="20">
        <v>0</v>
      </c>
      <c r="O520">
        <v>26.32</v>
      </c>
      <c r="P520">
        <v>28.17</v>
      </c>
      <c r="Q520">
        <v>45.66</v>
      </c>
      <c r="R520" s="21">
        <v>46239.674899999998</v>
      </c>
    </row>
    <row r="521" spans="7:18" x14ac:dyDescent="0.15">
      <c r="G521" s="11">
        <v>520</v>
      </c>
      <c r="H521" t="s">
        <v>369</v>
      </c>
      <c r="I521" t="s">
        <v>1070</v>
      </c>
      <c r="J521" t="s">
        <v>870</v>
      </c>
      <c r="K521">
        <v>-2.19</v>
      </c>
      <c r="L521">
        <v>-1.71</v>
      </c>
      <c r="M521">
        <v>4.32</v>
      </c>
      <c r="N521" s="20">
        <v>0</v>
      </c>
      <c r="O521">
        <v>26.17</v>
      </c>
      <c r="P521">
        <v>24.75</v>
      </c>
      <c r="Q521">
        <v>48.79</v>
      </c>
      <c r="R521" s="21">
        <v>2477.5614</v>
      </c>
    </row>
    <row r="522" spans="7:18" x14ac:dyDescent="0.15">
      <c r="G522" s="11">
        <v>521</v>
      </c>
      <c r="H522" t="s">
        <v>1437</v>
      </c>
      <c r="I522" t="s">
        <v>1438</v>
      </c>
      <c r="J522" t="s">
        <v>1688</v>
      </c>
      <c r="K522">
        <v>0.28999999999999998</v>
      </c>
      <c r="L522">
        <v>2.04</v>
      </c>
      <c r="M522">
        <v>3.82</v>
      </c>
      <c r="N522" s="20">
        <v>0</v>
      </c>
      <c r="O522">
        <v>26.03</v>
      </c>
      <c r="P522">
        <v>22.76</v>
      </c>
      <c r="Q522">
        <v>50.64</v>
      </c>
      <c r="R522" s="21">
        <v>1400.9512999999999</v>
      </c>
    </row>
    <row r="523" spans="7:18" x14ac:dyDescent="0.15">
      <c r="G523" s="11">
        <v>522</v>
      </c>
      <c r="H523" t="s">
        <v>764</v>
      </c>
      <c r="I523" t="s">
        <v>1197</v>
      </c>
      <c r="J523" t="s">
        <v>1198</v>
      </c>
      <c r="K523">
        <v>-4.82</v>
      </c>
      <c r="L523">
        <v>5.92</v>
      </c>
      <c r="M523">
        <v>10.1</v>
      </c>
      <c r="N523" s="20">
        <v>6.54</v>
      </c>
      <c r="O523">
        <v>25.89</v>
      </c>
      <c r="P523">
        <v>71.69</v>
      </c>
      <c r="Q523">
        <v>1.71</v>
      </c>
      <c r="R523" s="21">
        <v>282922.9191</v>
      </c>
    </row>
    <row r="524" spans="7:18" x14ac:dyDescent="0.15">
      <c r="G524" s="11">
        <v>523</v>
      </c>
      <c r="H524" t="s">
        <v>669</v>
      </c>
      <c r="I524" t="s">
        <v>1205</v>
      </c>
      <c r="J524" t="s">
        <v>1198</v>
      </c>
      <c r="K524">
        <v>-8.34</v>
      </c>
      <c r="L524">
        <v>-9.98</v>
      </c>
      <c r="M524">
        <v>-6.97</v>
      </c>
      <c r="N524" s="20">
        <v>-0.17</v>
      </c>
      <c r="O524">
        <v>25.75</v>
      </c>
      <c r="P524">
        <v>1.71</v>
      </c>
      <c r="Q524">
        <v>71.69</v>
      </c>
      <c r="R524" s="21">
        <v>26235.233899999999</v>
      </c>
    </row>
    <row r="525" spans="7:18" x14ac:dyDescent="0.15">
      <c r="G525" s="11">
        <v>524</v>
      </c>
      <c r="H525" t="s">
        <v>654</v>
      </c>
      <c r="I525" t="s">
        <v>1108</v>
      </c>
      <c r="J525" t="s">
        <v>870</v>
      </c>
      <c r="K525">
        <v>3.03</v>
      </c>
      <c r="L525">
        <v>6.07</v>
      </c>
      <c r="M525">
        <v>8.7899999999999991</v>
      </c>
      <c r="N525" s="20">
        <v>0.3</v>
      </c>
      <c r="O525">
        <v>25.6</v>
      </c>
      <c r="P525">
        <v>60.03</v>
      </c>
      <c r="Q525">
        <v>13.23</v>
      </c>
      <c r="R525" s="21">
        <v>12007.686900000001</v>
      </c>
    </row>
    <row r="526" spans="7:18" x14ac:dyDescent="0.15">
      <c r="G526" s="11">
        <v>525</v>
      </c>
      <c r="H526" t="s">
        <v>298</v>
      </c>
      <c r="I526" t="s">
        <v>813</v>
      </c>
      <c r="J526" t="s">
        <v>870</v>
      </c>
      <c r="K526">
        <v>-6.4</v>
      </c>
      <c r="L526">
        <v>0.55000000000000004</v>
      </c>
      <c r="M526">
        <v>2.85</v>
      </c>
      <c r="N526" s="20">
        <v>-0.06</v>
      </c>
      <c r="O526">
        <v>25.46</v>
      </c>
      <c r="P526">
        <v>18.920000000000002</v>
      </c>
      <c r="Q526">
        <v>54.34</v>
      </c>
      <c r="R526" s="21">
        <v>1856.2136899999998</v>
      </c>
    </row>
    <row r="527" spans="7:18" x14ac:dyDescent="0.15">
      <c r="G527" s="11">
        <v>526</v>
      </c>
      <c r="H527" t="s">
        <v>520</v>
      </c>
      <c r="I527" t="s">
        <v>1074</v>
      </c>
      <c r="J527" t="s">
        <v>870</v>
      </c>
      <c r="K527">
        <v>-1.1100000000000001</v>
      </c>
      <c r="L527">
        <v>0.77</v>
      </c>
      <c r="M527">
        <v>2.08</v>
      </c>
      <c r="N527" s="20">
        <v>-0.08</v>
      </c>
      <c r="O527">
        <v>25.32</v>
      </c>
      <c r="P527">
        <v>15.93</v>
      </c>
      <c r="Q527">
        <v>56.9</v>
      </c>
      <c r="R527" s="21">
        <v>3816.3177000000001</v>
      </c>
    </row>
    <row r="528" spans="7:18" x14ac:dyDescent="0.15">
      <c r="G528" s="11">
        <v>527</v>
      </c>
      <c r="H528" t="s">
        <v>307</v>
      </c>
      <c r="I528" t="s">
        <v>890</v>
      </c>
      <c r="J528" t="s">
        <v>870</v>
      </c>
      <c r="K528">
        <v>5.19</v>
      </c>
      <c r="L528">
        <v>6.96</v>
      </c>
      <c r="M528">
        <v>9.14</v>
      </c>
      <c r="N528" s="20">
        <v>0.63</v>
      </c>
      <c r="O528">
        <v>25.18</v>
      </c>
      <c r="P528">
        <v>65.010000000000005</v>
      </c>
      <c r="Q528">
        <v>7.54</v>
      </c>
      <c r="R528" s="21">
        <v>449.37158830000004</v>
      </c>
    </row>
    <row r="529" spans="7:18" x14ac:dyDescent="0.15">
      <c r="G529" s="11">
        <v>528</v>
      </c>
      <c r="H529" t="s">
        <v>610</v>
      </c>
      <c r="I529" t="s">
        <v>895</v>
      </c>
      <c r="J529" t="s">
        <v>870</v>
      </c>
      <c r="K529">
        <v>0.46</v>
      </c>
      <c r="L529">
        <v>2.98</v>
      </c>
      <c r="M529">
        <v>3.77</v>
      </c>
      <c r="N529" s="20">
        <v>0</v>
      </c>
      <c r="O529">
        <v>25.04</v>
      </c>
      <c r="P529">
        <v>22.33</v>
      </c>
      <c r="Q529">
        <v>49.79</v>
      </c>
      <c r="R529" s="21">
        <v>97.137699999999995</v>
      </c>
    </row>
    <row r="530" spans="7:18" x14ac:dyDescent="0.15">
      <c r="G530" s="11">
        <v>529</v>
      </c>
      <c r="H530" t="s">
        <v>717</v>
      </c>
      <c r="I530" t="s">
        <v>1005</v>
      </c>
      <c r="J530" t="s">
        <v>870</v>
      </c>
      <c r="K530">
        <v>1.72</v>
      </c>
      <c r="L530">
        <v>5.53</v>
      </c>
      <c r="M530">
        <v>8.14</v>
      </c>
      <c r="N530" s="20">
        <v>0.2</v>
      </c>
      <c r="O530">
        <v>24.89</v>
      </c>
      <c r="P530">
        <v>53.63</v>
      </c>
      <c r="Q530">
        <v>18.489999999999998</v>
      </c>
      <c r="R530" s="21">
        <v>4868.5231999999996</v>
      </c>
    </row>
    <row r="531" spans="7:18" x14ac:dyDescent="0.15">
      <c r="G531" s="11">
        <v>530</v>
      </c>
      <c r="H531" t="s">
        <v>481</v>
      </c>
      <c r="I531" t="s">
        <v>1132</v>
      </c>
      <c r="J531" t="s">
        <v>870</v>
      </c>
      <c r="K531">
        <v>-1.08</v>
      </c>
      <c r="L531">
        <v>0.1</v>
      </c>
      <c r="M531">
        <v>3.63</v>
      </c>
      <c r="N531" s="20">
        <v>0</v>
      </c>
      <c r="O531">
        <v>24.75</v>
      </c>
      <c r="P531">
        <v>21.62</v>
      </c>
      <c r="Q531">
        <v>50.5</v>
      </c>
      <c r="R531" s="21">
        <v>10719.09</v>
      </c>
    </row>
    <row r="532" spans="7:18" x14ac:dyDescent="0.15">
      <c r="G532" s="11">
        <v>531</v>
      </c>
      <c r="H532" t="s">
        <v>365</v>
      </c>
      <c r="I532" t="s">
        <v>1269</v>
      </c>
      <c r="J532" t="s">
        <v>1251</v>
      </c>
      <c r="K532">
        <v>3.1</v>
      </c>
      <c r="L532">
        <v>7.34</v>
      </c>
      <c r="M532">
        <v>9.83</v>
      </c>
      <c r="N532" s="20">
        <v>3.21</v>
      </c>
      <c r="O532">
        <v>24.61</v>
      </c>
      <c r="P532">
        <v>69.42</v>
      </c>
      <c r="Q532">
        <v>2.56</v>
      </c>
      <c r="R532" s="21">
        <v>1415.0040346000001</v>
      </c>
    </row>
    <row r="533" spans="7:18" x14ac:dyDescent="0.15">
      <c r="G533" s="11">
        <v>532</v>
      </c>
      <c r="H533" t="s">
        <v>514</v>
      </c>
      <c r="I533" t="s">
        <v>1105</v>
      </c>
      <c r="J533" t="s">
        <v>870</v>
      </c>
      <c r="K533">
        <v>-1.1299999999999999</v>
      </c>
      <c r="L533">
        <v>0.9</v>
      </c>
      <c r="M533">
        <v>2.2000000000000002</v>
      </c>
      <c r="N533" s="20">
        <v>-7.0000000000000007E-2</v>
      </c>
      <c r="O533">
        <v>24.47</v>
      </c>
      <c r="P533">
        <v>16.22</v>
      </c>
      <c r="Q533">
        <v>55.48</v>
      </c>
      <c r="R533" s="21">
        <v>4161.5749999999998</v>
      </c>
    </row>
    <row r="534" spans="7:18" x14ac:dyDescent="0.15">
      <c r="G534" s="11">
        <v>533</v>
      </c>
      <c r="H534" t="s">
        <v>602</v>
      </c>
      <c r="I534" t="s">
        <v>1003</v>
      </c>
      <c r="J534" t="s">
        <v>870</v>
      </c>
      <c r="K534">
        <v>0.01</v>
      </c>
      <c r="L534">
        <v>1.77</v>
      </c>
      <c r="M534">
        <v>7.07</v>
      </c>
      <c r="N534" s="20">
        <v>0.1</v>
      </c>
      <c r="O534">
        <v>24.32</v>
      </c>
      <c r="P534">
        <v>42.96</v>
      </c>
      <c r="Q534">
        <v>28.59</v>
      </c>
      <c r="R534" s="21">
        <v>597.38720000000001</v>
      </c>
    </row>
    <row r="535" spans="7:18" x14ac:dyDescent="0.15">
      <c r="G535" s="11">
        <v>534</v>
      </c>
      <c r="H535" t="s">
        <v>1463</v>
      </c>
      <c r="I535" t="s">
        <v>1464</v>
      </c>
      <c r="J535" t="s">
        <v>1688</v>
      </c>
      <c r="K535">
        <v>2.46</v>
      </c>
      <c r="L535">
        <v>5.0199999999999996</v>
      </c>
      <c r="M535">
        <v>8.33</v>
      </c>
      <c r="N535" s="20">
        <v>0.25</v>
      </c>
      <c r="O535">
        <v>24.18</v>
      </c>
      <c r="P535">
        <v>56.19</v>
      </c>
      <c r="Q535">
        <v>15.36</v>
      </c>
      <c r="R535" s="21">
        <v>766.83276000000001</v>
      </c>
    </row>
    <row r="536" spans="7:18" x14ac:dyDescent="0.15">
      <c r="G536" s="11">
        <v>535</v>
      </c>
      <c r="H536" t="s">
        <v>679</v>
      </c>
      <c r="I536" t="s">
        <v>987</v>
      </c>
      <c r="J536" t="s">
        <v>870</v>
      </c>
      <c r="K536">
        <v>1.69</v>
      </c>
      <c r="L536">
        <v>5.44</v>
      </c>
      <c r="M536">
        <v>8.06</v>
      </c>
      <c r="N536" s="20">
        <v>0.2</v>
      </c>
      <c r="O536">
        <v>24.04</v>
      </c>
      <c r="P536">
        <v>52.35</v>
      </c>
      <c r="Q536">
        <v>18.920000000000002</v>
      </c>
      <c r="R536" s="21">
        <v>1887.9603</v>
      </c>
    </row>
    <row r="537" spans="7:18" x14ac:dyDescent="0.15">
      <c r="G537" s="11">
        <v>536</v>
      </c>
      <c r="H537" t="s">
        <v>730</v>
      </c>
      <c r="I537" t="s">
        <v>936</v>
      </c>
      <c r="J537" t="s">
        <v>870</v>
      </c>
      <c r="K537">
        <v>3.13</v>
      </c>
      <c r="L537">
        <v>2.88</v>
      </c>
      <c r="M537">
        <v>7.75</v>
      </c>
      <c r="N537" s="20">
        <v>0.17</v>
      </c>
      <c r="O537">
        <v>23.9</v>
      </c>
      <c r="P537">
        <v>48.79</v>
      </c>
      <c r="Q537">
        <v>22.48</v>
      </c>
      <c r="R537" s="21">
        <v>411.05</v>
      </c>
    </row>
    <row r="538" spans="7:18" x14ac:dyDescent="0.15">
      <c r="G538" s="11">
        <v>537</v>
      </c>
      <c r="H538" t="s">
        <v>1374</v>
      </c>
      <c r="I538" t="s">
        <v>1375</v>
      </c>
      <c r="J538" t="s">
        <v>1688</v>
      </c>
      <c r="K538">
        <v>0.22</v>
      </c>
      <c r="L538">
        <v>1.98</v>
      </c>
      <c r="M538">
        <v>7.46</v>
      </c>
      <c r="N538" s="20">
        <v>0.12</v>
      </c>
      <c r="O538">
        <v>23.76</v>
      </c>
      <c r="P538">
        <v>45.8</v>
      </c>
      <c r="Q538">
        <v>25.46</v>
      </c>
      <c r="R538" s="21">
        <v>504.48520000000002</v>
      </c>
    </row>
    <row r="539" spans="7:18" x14ac:dyDescent="0.15">
      <c r="G539" s="11">
        <v>538</v>
      </c>
      <c r="H539" t="s">
        <v>531</v>
      </c>
      <c r="I539" t="s">
        <v>874</v>
      </c>
      <c r="J539" t="s">
        <v>870</v>
      </c>
      <c r="K539">
        <v>0.76</v>
      </c>
      <c r="L539">
        <v>1.79</v>
      </c>
      <c r="M539">
        <v>4.5599999999999996</v>
      </c>
      <c r="N539" s="20">
        <v>0</v>
      </c>
      <c r="O539">
        <v>23.61</v>
      </c>
      <c r="P539">
        <v>26.17</v>
      </c>
      <c r="Q539">
        <v>44.67</v>
      </c>
      <c r="R539" s="21">
        <v>68.216399999999993</v>
      </c>
    </row>
    <row r="540" spans="7:18" x14ac:dyDescent="0.15">
      <c r="G540" s="11">
        <v>539</v>
      </c>
      <c r="H540" t="s">
        <v>1389</v>
      </c>
      <c r="I540" t="s">
        <v>1390</v>
      </c>
      <c r="J540" t="s">
        <v>1688</v>
      </c>
      <c r="K540">
        <v>-0.02</v>
      </c>
      <c r="L540">
        <v>0.53</v>
      </c>
      <c r="M540">
        <v>4.7</v>
      </c>
      <c r="N540" s="20">
        <v>0</v>
      </c>
      <c r="O540">
        <v>23.47</v>
      </c>
      <c r="P540">
        <v>26.6</v>
      </c>
      <c r="Q540">
        <v>44.1</v>
      </c>
      <c r="R540" s="21">
        <v>81.747827300000012</v>
      </c>
    </row>
    <row r="541" spans="7:18" x14ac:dyDescent="0.15">
      <c r="G541" s="11">
        <v>540</v>
      </c>
      <c r="H541" t="s">
        <v>381</v>
      </c>
      <c r="I541" t="s">
        <v>1137</v>
      </c>
      <c r="J541" t="s">
        <v>870</v>
      </c>
      <c r="K541">
        <v>-0.08</v>
      </c>
      <c r="L541">
        <v>0</v>
      </c>
      <c r="M541">
        <v>0</v>
      </c>
      <c r="N541" s="20">
        <v>-0.12</v>
      </c>
      <c r="O541">
        <v>23.33</v>
      </c>
      <c r="P541">
        <v>6.69</v>
      </c>
      <c r="Q541">
        <v>63.87</v>
      </c>
      <c r="R541" s="21">
        <v>13233.5944</v>
      </c>
    </row>
    <row r="542" spans="7:18" x14ac:dyDescent="0.15">
      <c r="G542" s="11">
        <v>541</v>
      </c>
      <c r="H542" t="s">
        <v>302</v>
      </c>
      <c r="I542" t="s">
        <v>812</v>
      </c>
      <c r="J542" t="s">
        <v>870</v>
      </c>
      <c r="K542">
        <v>-5.0999999999999996</v>
      </c>
      <c r="L542">
        <v>-4.7300000000000004</v>
      </c>
      <c r="M542">
        <v>-1.76</v>
      </c>
      <c r="N542" s="20">
        <v>-0.13</v>
      </c>
      <c r="O542">
        <v>23.19</v>
      </c>
      <c r="P542">
        <v>4.2699999999999996</v>
      </c>
      <c r="Q542">
        <v>66.150000000000006</v>
      </c>
      <c r="R542" s="21">
        <v>5323.3078399999995</v>
      </c>
    </row>
    <row r="543" spans="7:18" x14ac:dyDescent="0.15">
      <c r="G543" s="11">
        <v>542</v>
      </c>
      <c r="H543" t="s">
        <v>1669</v>
      </c>
      <c r="I543" t="s">
        <v>1670</v>
      </c>
      <c r="J543" t="s">
        <v>1688</v>
      </c>
      <c r="K543">
        <v>-0.62</v>
      </c>
      <c r="L543">
        <v>0.11</v>
      </c>
      <c r="M543">
        <v>4.75</v>
      </c>
      <c r="N543" s="20">
        <v>0</v>
      </c>
      <c r="O543">
        <v>23.04</v>
      </c>
      <c r="P543">
        <v>26.88</v>
      </c>
      <c r="Q543">
        <v>43.53</v>
      </c>
      <c r="R543" s="21">
        <v>1643.0469000000001</v>
      </c>
    </row>
    <row r="544" spans="7:18" x14ac:dyDescent="0.15">
      <c r="G544" s="11">
        <v>543</v>
      </c>
      <c r="H544" t="s">
        <v>632</v>
      </c>
      <c r="I544" t="s">
        <v>911</v>
      </c>
      <c r="J544" t="s">
        <v>870</v>
      </c>
      <c r="K544">
        <v>0.33</v>
      </c>
      <c r="L544">
        <v>0.55000000000000004</v>
      </c>
      <c r="M544">
        <v>3.19</v>
      </c>
      <c r="N544" s="20">
        <v>0</v>
      </c>
      <c r="O544">
        <v>22.9</v>
      </c>
      <c r="P544">
        <v>20.48</v>
      </c>
      <c r="Q544">
        <v>49.64</v>
      </c>
      <c r="R544" s="21">
        <v>372.8272</v>
      </c>
    </row>
    <row r="545" spans="7:18" x14ac:dyDescent="0.15">
      <c r="G545" s="11">
        <v>544</v>
      </c>
      <c r="H545" t="s">
        <v>1612</v>
      </c>
      <c r="I545" t="s">
        <v>1613</v>
      </c>
      <c r="J545" t="s">
        <v>1688</v>
      </c>
      <c r="K545">
        <v>-4.0999999999999996</v>
      </c>
      <c r="L545">
        <v>0.97</v>
      </c>
      <c r="M545">
        <v>6.79</v>
      </c>
      <c r="N545" s="20">
        <v>0.09</v>
      </c>
      <c r="O545">
        <v>22.76</v>
      </c>
      <c r="P545">
        <v>40.11</v>
      </c>
      <c r="Q545">
        <v>29.87</v>
      </c>
      <c r="R545" s="21">
        <v>2713.7872000000002</v>
      </c>
    </row>
    <row r="546" spans="7:18" x14ac:dyDescent="0.15">
      <c r="G546" s="11">
        <v>545</v>
      </c>
      <c r="H546" t="s">
        <v>1366</v>
      </c>
      <c r="I546" t="s">
        <v>1367</v>
      </c>
      <c r="J546" t="s">
        <v>1688</v>
      </c>
      <c r="K546">
        <v>0</v>
      </c>
      <c r="L546">
        <v>0.4</v>
      </c>
      <c r="M546">
        <v>4.47</v>
      </c>
      <c r="N546" s="20">
        <v>0</v>
      </c>
      <c r="O546">
        <v>22.62</v>
      </c>
      <c r="P546">
        <v>25.75</v>
      </c>
      <c r="Q546">
        <v>43.95</v>
      </c>
      <c r="R546" s="21">
        <v>585.66453000000001</v>
      </c>
    </row>
    <row r="547" spans="7:18" x14ac:dyDescent="0.15">
      <c r="G547" s="11">
        <v>546</v>
      </c>
      <c r="H547" t="s">
        <v>631</v>
      </c>
      <c r="I547" t="s">
        <v>1028</v>
      </c>
      <c r="J547" t="s">
        <v>870</v>
      </c>
      <c r="K547">
        <v>0.03</v>
      </c>
      <c r="L547">
        <v>3.17</v>
      </c>
      <c r="M547">
        <v>2.91</v>
      </c>
      <c r="N547" s="20">
        <v>0</v>
      </c>
      <c r="O547">
        <v>22.48</v>
      </c>
      <c r="P547">
        <v>19.350000000000001</v>
      </c>
      <c r="Q547">
        <v>50.07</v>
      </c>
      <c r="R547" s="21">
        <v>2669.8611000000001</v>
      </c>
    </row>
    <row r="548" spans="7:18" x14ac:dyDescent="0.15">
      <c r="G548" s="11">
        <v>547</v>
      </c>
      <c r="H548" t="s">
        <v>741</v>
      </c>
      <c r="I548" t="s">
        <v>1271</v>
      </c>
      <c r="J548" t="s">
        <v>1251</v>
      </c>
      <c r="K548">
        <v>4.2699999999999996</v>
      </c>
      <c r="L548">
        <v>6.93</v>
      </c>
      <c r="M548">
        <v>9.1199999999999992</v>
      </c>
      <c r="N548" s="20">
        <v>1.1499999999999999</v>
      </c>
      <c r="O548">
        <v>22.33</v>
      </c>
      <c r="P548">
        <v>64.3</v>
      </c>
      <c r="Q548">
        <v>5.12</v>
      </c>
      <c r="R548" s="21">
        <v>655.66910539999992</v>
      </c>
    </row>
    <row r="549" spans="7:18" x14ac:dyDescent="0.15">
      <c r="G549" s="11">
        <v>548</v>
      </c>
      <c r="H549" t="s">
        <v>1679</v>
      </c>
      <c r="I549" t="s">
        <v>1680</v>
      </c>
      <c r="J549" t="s">
        <v>1688</v>
      </c>
      <c r="K549">
        <v>4.5599999999999996</v>
      </c>
      <c r="L549">
        <v>4.25</v>
      </c>
      <c r="M549">
        <v>6.74</v>
      </c>
      <c r="N549" s="20">
        <v>0.09</v>
      </c>
      <c r="O549">
        <v>22.19</v>
      </c>
      <c r="P549">
        <v>39.4</v>
      </c>
      <c r="Q549">
        <v>29.73</v>
      </c>
      <c r="R549" s="21">
        <v>2954.5273000000002</v>
      </c>
    </row>
    <row r="550" spans="7:18" x14ac:dyDescent="0.15">
      <c r="G550" s="11">
        <v>549</v>
      </c>
      <c r="H550" t="s">
        <v>1564</v>
      </c>
      <c r="I550" t="s">
        <v>1565</v>
      </c>
      <c r="J550" t="s">
        <v>1688</v>
      </c>
      <c r="K550">
        <v>-2.42</v>
      </c>
      <c r="L550">
        <v>-1.88</v>
      </c>
      <c r="M550">
        <v>4.38</v>
      </c>
      <c r="N550" s="20">
        <v>0</v>
      </c>
      <c r="O550">
        <v>22.05</v>
      </c>
      <c r="P550">
        <v>25.32</v>
      </c>
      <c r="Q550">
        <v>43.81</v>
      </c>
      <c r="R550" s="21">
        <v>271.50970000000001</v>
      </c>
    </row>
    <row r="551" spans="7:18" x14ac:dyDescent="0.15">
      <c r="G551" s="11">
        <v>550</v>
      </c>
      <c r="H551" t="s">
        <v>695</v>
      </c>
      <c r="I551" t="s">
        <v>1117</v>
      </c>
      <c r="J551" t="s">
        <v>870</v>
      </c>
      <c r="K551">
        <v>2.21</v>
      </c>
      <c r="L551">
        <v>5</v>
      </c>
      <c r="M551">
        <v>6.27</v>
      </c>
      <c r="N551" s="20">
        <v>0.05</v>
      </c>
      <c r="O551">
        <v>21.91</v>
      </c>
      <c r="P551">
        <v>35.99</v>
      </c>
      <c r="Q551">
        <v>32.72</v>
      </c>
      <c r="R551" s="21">
        <v>8967.5395900000003</v>
      </c>
    </row>
    <row r="552" spans="7:18" x14ac:dyDescent="0.15">
      <c r="G552" s="11">
        <v>551</v>
      </c>
      <c r="H552" t="s">
        <v>686</v>
      </c>
      <c r="I552" t="s">
        <v>1119</v>
      </c>
      <c r="J552" t="s">
        <v>870</v>
      </c>
      <c r="K552">
        <v>-3.71</v>
      </c>
      <c r="L552">
        <v>-4.53</v>
      </c>
      <c r="M552">
        <v>-3.12</v>
      </c>
      <c r="N552" s="20">
        <v>-0.12</v>
      </c>
      <c r="O552">
        <v>21.76</v>
      </c>
      <c r="P552">
        <v>3.84</v>
      </c>
      <c r="Q552">
        <v>64.44</v>
      </c>
      <c r="R552" s="21">
        <v>1377.8853999999999</v>
      </c>
    </row>
    <row r="553" spans="7:18" x14ac:dyDescent="0.15">
      <c r="G553" s="11">
        <v>552</v>
      </c>
      <c r="H553" t="s">
        <v>1683</v>
      </c>
      <c r="I553" t="s">
        <v>1684</v>
      </c>
      <c r="J553" t="s">
        <v>1688</v>
      </c>
      <c r="K553">
        <v>-1.6</v>
      </c>
      <c r="L553">
        <v>0.41</v>
      </c>
      <c r="M553">
        <v>2.5</v>
      </c>
      <c r="N553" s="20">
        <v>0</v>
      </c>
      <c r="O553">
        <v>21.62</v>
      </c>
      <c r="P553">
        <v>17.21</v>
      </c>
      <c r="Q553">
        <v>50.78</v>
      </c>
      <c r="R553" s="21">
        <v>3031.0027</v>
      </c>
    </row>
    <row r="554" spans="7:18" x14ac:dyDescent="0.15">
      <c r="G554" s="11">
        <v>553</v>
      </c>
      <c r="H554" t="s">
        <v>737</v>
      </c>
      <c r="I554" t="s">
        <v>1104</v>
      </c>
      <c r="J554" t="s">
        <v>870</v>
      </c>
      <c r="K554">
        <v>1.29</v>
      </c>
      <c r="L554">
        <v>3.62</v>
      </c>
      <c r="M554">
        <v>7.04</v>
      </c>
      <c r="N554" s="20">
        <v>0.12</v>
      </c>
      <c r="O554">
        <v>21.48</v>
      </c>
      <c r="P554">
        <v>42.82</v>
      </c>
      <c r="Q554">
        <v>25.04</v>
      </c>
      <c r="R554" s="21">
        <v>5017.2227358</v>
      </c>
    </row>
    <row r="555" spans="7:18" x14ac:dyDescent="0.15">
      <c r="G555" s="11">
        <v>554</v>
      </c>
      <c r="H555" t="s">
        <v>1317</v>
      </c>
      <c r="I555" t="s">
        <v>1318</v>
      </c>
      <c r="J555" t="s">
        <v>870</v>
      </c>
      <c r="K555">
        <v>0.97</v>
      </c>
      <c r="L555">
        <v>2.78</v>
      </c>
      <c r="M555">
        <v>2.23</v>
      </c>
      <c r="N555" s="20">
        <v>0</v>
      </c>
      <c r="O555">
        <v>21.34</v>
      </c>
      <c r="P555">
        <v>16.5</v>
      </c>
      <c r="Q555">
        <v>51.35</v>
      </c>
      <c r="R555" s="21">
        <v>103.2526</v>
      </c>
    </row>
    <row r="556" spans="7:18" x14ac:dyDescent="0.15">
      <c r="G556" s="11">
        <v>555</v>
      </c>
      <c r="H556" t="s">
        <v>1552</v>
      </c>
      <c r="I556" t="s">
        <v>1553</v>
      </c>
      <c r="J556" t="s">
        <v>1688</v>
      </c>
      <c r="K556">
        <v>0.49</v>
      </c>
      <c r="L556">
        <v>0.92</v>
      </c>
      <c r="M556">
        <v>2.68</v>
      </c>
      <c r="N556" s="20">
        <v>0</v>
      </c>
      <c r="O556">
        <v>21.19</v>
      </c>
      <c r="P556">
        <v>17.78</v>
      </c>
      <c r="Q556">
        <v>49.22</v>
      </c>
      <c r="R556" s="21">
        <v>3580.1203177000002</v>
      </c>
    </row>
    <row r="557" spans="7:18" x14ac:dyDescent="0.15">
      <c r="G557" s="11">
        <v>556</v>
      </c>
      <c r="H557" t="s">
        <v>410</v>
      </c>
      <c r="I557" t="s">
        <v>1182</v>
      </c>
      <c r="J557" t="s">
        <v>1182</v>
      </c>
      <c r="K557">
        <v>0.21</v>
      </c>
      <c r="L557">
        <v>-0.06</v>
      </c>
      <c r="M557">
        <v>0.77</v>
      </c>
      <c r="N557" s="20">
        <v>-0.05</v>
      </c>
      <c r="O557">
        <v>21.05</v>
      </c>
      <c r="P557">
        <v>13.09</v>
      </c>
      <c r="Q557">
        <v>53.91</v>
      </c>
      <c r="R557" s="21">
        <v>24236.078846500001</v>
      </c>
    </row>
    <row r="558" spans="7:18" x14ac:dyDescent="0.15">
      <c r="G558" s="11">
        <v>557</v>
      </c>
      <c r="H558" t="s">
        <v>1616</v>
      </c>
      <c r="I558" t="s">
        <v>1617</v>
      </c>
      <c r="J558" t="s">
        <v>1688</v>
      </c>
      <c r="K558">
        <v>-2.83</v>
      </c>
      <c r="L558">
        <v>5.71</v>
      </c>
      <c r="M558">
        <v>7.83</v>
      </c>
      <c r="N558" s="20">
        <v>0.23</v>
      </c>
      <c r="O558">
        <v>20.91</v>
      </c>
      <c r="P558">
        <v>50.07</v>
      </c>
      <c r="Q558">
        <v>16.79</v>
      </c>
      <c r="R558" s="21">
        <v>2546.5709999999999</v>
      </c>
    </row>
    <row r="559" spans="7:18" x14ac:dyDescent="0.15">
      <c r="G559" s="11">
        <v>558</v>
      </c>
      <c r="H559" t="s">
        <v>575</v>
      </c>
      <c r="I559" t="s">
        <v>1313</v>
      </c>
      <c r="J559" t="s">
        <v>1288</v>
      </c>
      <c r="K559">
        <v>-2.0299999999999998</v>
      </c>
      <c r="L559">
        <v>6.9</v>
      </c>
      <c r="M559">
        <v>8.7899999999999991</v>
      </c>
      <c r="N559" s="20">
        <v>0.76</v>
      </c>
      <c r="O559">
        <v>20.77</v>
      </c>
      <c r="P559">
        <v>60.17</v>
      </c>
      <c r="Q559">
        <v>6.69</v>
      </c>
      <c r="R559" s="21">
        <v>129683.3064</v>
      </c>
    </row>
    <row r="560" spans="7:18" x14ac:dyDescent="0.15">
      <c r="G560" s="11">
        <v>559</v>
      </c>
      <c r="H560" t="s">
        <v>530</v>
      </c>
      <c r="I560" t="s">
        <v>1149</v>
      </c>
      <c r="J560" t="s">
        <v>870</v>
      </c>
      <c r="K560">
        <v>0.37</v>
      </c>
      <c r="L560">
        <v>0.89</v>
      </c>
      <c r="M560">
        <v>2.56</v>
      </c>
      <c r="N560" s="20">
        <v>0</v>
      </c>
      <c r="O560">
        <v>20.63</v>
      </c>
      <c r="P560">
        <v>17.5</v>
      </c>
      <c r="Q560">
        <v>49.08</v>
      </c>
      <c r="R560" s="21">
        <v>12722.111999999999</v>
      </c>
    </row>
    <row r="561" spans="7:18" x14ac:dyDescent="0.15">
      <c r="G561" s="11">
        <v>560</v>
      </c>
      <c r="H561" t="s">
        <v>405</v>
      </c>
      <c r="I561" t="s">
        <v>1183</v>
      </c>
      <c r="J561" t="s">
        <v>1182</v>
      </c>
      <c r="K561">
        <v>0.21</v>
      </c>
      <c r="L561">
        <v>-0.06</v>
      </c>
      <c r="M561">
        <v>0.77</v>
      </c>
      <c r="N561" s="20">
        <v>-0.03</v>
      </c>
      <c r="O561">
        <v>20.48</v>
      </c>
      <c r="P561">
        <v>12.94</v>
      </c>
      <c r="Q561">
        <v>53.49</v>
      </c>
      <c r="R561" s="21">
        <v>26275.759050000001</v>
      </c>
    </row>
    <row r="562" spans="7:18" x14ac:dyDescent="0.15">
      <c r="G562" s="11">
        <v>561</v>
      </c>
      <c r="H562" t="s">
        <v>656</v>
      </c>
      <c r="I562" t="s">
        <v>1255</v>
      </c>
      <c r="J562" t="s">
        <v>1251</v>
      </c>
      <c r="K562">
        <v>1.23</v>
      </c>
      <c r="L562">
        <v>3.93</v>
      </c>
      <c r="M562">
        <v>8.1</v>
      </c>
      <c r="N562" s="20">
        <v>0.3</v>
      </c>
      <c r="O562">
        <v>20.34</v>
      </c>
      <c r="P562">
        <v>52.92</v>
      </c>
      <c r="Q562">
        <v>12.94</v>
      </c>
      <c r="R562" s="21">
        <v>120.07208519999999</v>
      </c>
    </row>
    <row r="563" spans="7:18" x14ac:dyDescent="0.15">
      <c r="G563" s="11">
        <v>562</v>
      </c>
      <c r="H563" t="s">
        <v>464</v>
      </c>
      <c r="I563" t="s">
        <v>908</v>
      </c>
      <c r="J563" t="s">
        <v>870</v>
      </c>
      <c r="K563">
        <v>2.73</v>
      </c>
      <c r="L563">
        <v>8</v>
      </c>
      <c r="M563">
        <v>7.36</v>
      </c>
      <c r="N563" s="20">
        <v>0.18</v>
      </c>
      <c r="O563">
        <v>20.2</v>
      </c>
      <c r="P563">
        <v>45.09</v>
      </c>
      <c r="Q563">
        <v>20.63</v>
      </c>
      <c r="R563" s="21">
        <v>383.1986</v>
      </c>
    </row>
    <row r="564" spans="7:18" x14ac:dyDescent="0.15">
      <c r="G564" s="11">
        <v>563</v>
      </c>
      <c r="H564" t="s">
        <v>386</v>
      </c>
      <c r="I564" t="s">
        <v>1182</v>
      </c>
      <c r="J564" t="s">
        <v>1182</v>
      </c>
      <c r="K564">
        <v>0.22</v>
      </c>
      <c r="L564">
        <v>-0.05</v>
      </c>
      <c r="M564">
        <v>0.78</v>
      </c>
      <c r="N564" s="20">
        <v>0</v>
      </c>
      <c r="O564">
        <v>20.059999999999999</v>
      </c>
      <c r="P564">
        <v>13.23</v>
      </c>
      <c r="Q564">
        <v>52.49</v>
      </c>
      <c r="R564" s="21">
        <v>73375.130799999999</v>
      </c>
    </row>
    <row r="565" spans="7:18" x14ac:dyDescent="0.15">
      <c r="G565" s="11">
        <v>564</v>
      </c>
      <c r="H565" t="s">
        <v>638</v>
      </c>
      <c r="I565" t="s">
        <v>1036</v>
      </c>
      <c r="J565" t="s">
        <v>870</v>
      </c>
      <c r="K565">
        <v>1.26</v>
      </c>
      <c r="L565">
        <v>3.7</v>
      </c>
      <c r="M565">
        <v>6.77</v>
      </c>
      <c r="N565" s="20">
        <v>0.12</v>
      </c>
      <c r="O565">
        <v>19.91</v>
      </c>
      <c r="P565">
        <v>39.83</v>
      </c>
      <c r="Q565">
        <v>25.75</v>
      </c>
      <c r="R565" s="21">
        <v>2480.6792999999998</v>
      </c>
    </row>
    <row r="566" spans="7:18" x14ac:dyDescent="0.15">
      <c r="G566" s="11">
        <v>565</v>
      </c>
      <c r="H566" t="s">
        <v>422</v>
      </c>
      <c r="I566" t="s">
        <v>1019</v>
      </c>
      <c r="J566" t="s">
        <v>870</v>
      </c>
      <c r="K566">
        <v>-0.09</v>
      </c>
      <c r="L566">
        <v>0.67</v>
      </c>
      <c r="M566">
        <v>0.43</v>
      </c>
      <c r="N566" s="20">
        <v>-7.0000000000000007E-2</v>
      </c>
      <c r="O566">
        <v>19.77</v>
      </c>
      <c r="P566">
        <v>9.67</v>
      </c>
      <c r="Q566">
        <v>54.91</v>
      </c>
      <c r="R566" s="21">
        <v>1510.7526</v>
      </c>
    </row>
    <row r="567" spans="7:18" x14ac:dyDescent="0.15">
      <c r="G567" s="11">
        <v>566</v>
      </c>
      <c r="H567" t="s">
        <v>417</v>
      </c>
      <c r="I567" t="s">
        <v>985</v>
      </c>
      <c r="J567" t="s">
        <v>870</v>
      </c>
      <c r="K567">
        <v>-1.59</v>
      </c>
      <c r="L567">
        <v>0.66</v>
      </c>
      <c r="M567">
        <v>1.75</v>
      </c>
      <c r="N567" s="20">
        <v>0</v>
      </c>
      <c r="O567">
        <v>19.63</v>
      </c>
      <c r="P567">
        <v>15.08</v>
      </c>
      <c r="Q567">
        <v>49.5</v>
      </c>
      <c r="R567" s="21">
        <v>31139.323100000001</v>
      </c>
    </row>
    <row r="568" spans="7:18" x14ac:dyDescent="0.15">
      <c r="G568" s="11">
        <v>567</v>
      </c>
      <c r="H568" t="s">
        <v>1339</v>
      </c>
      <c r="I568" t="s">
        <v>1340</v>
      </c>
      <c r="J568" t="s">
        <v>1688</v>
      </c>
      <c r="K568">
        <v>-1.18</v>
      </c>
      <c r="L568">
        <v>-1.61</v>
      </c>
      <c r="M568">
        <v>1.25</v>
      </c>
      <c r="N568" s="20">
        <v>0</v>
      </c>
      <c r="O568">
        <v>19.489999999999998</v>
      </c>
      <c r="P568">
        <v>14.51</v>
      </c>
      <c r="Q568">
        <v>49.93</v>
      </c>
      <c r="R568" s="21">
        <v>4565.0559999999996</v>
      </c>
    </row>
    <row r="569" spans="7:18" x14ac:dyDescent="0.15">
      <c r="G569" s="11">
        <v>568</v>
      </c>
      <c r="H569" t="s">
        <v>1460</v>
      </c>
      <c r="I569" t="s">
        <v>1461</v>
      </c>
      <c r="J569" t="s">
        <v>1688</v>
      </c>
      <c r="K569">
        <v>0.36</v>
      </c>
      <c r="L569">
        <v>1.26</v>
      </c>
      <c r="M569">
        <v>1.08</v>
      </c>
      <c r="N569" s="20">
        <v>0</v>
      </c>
      <c r="O569">
        <v>19.350000000000001</v>
      </c>
      <c r="P569">
        <v>13.94</v>
      </c>
      <c r="Q569">
        <v>50.21</v>
      </c>
      <c r="R569" s="21">
        <v>3824.8463999999999</v>
      </c>
    </row>
    <row r="570" spans="7:18" x14ac:dyDescent="0.15">
      <c r="G570" s="11">
        <v>569</v>
      </c>
      <c r="H570" t="s">
        <v>400</v>
      </c>
      <c r="I570" t="s">
        <v>1511</v>
      </c>
      <c r="J570" t="s">
        <v>1688</v>
      </c>
      <c r="K570">
        <v>0.21</v>
      </c>
      <c r="L570">
        <v>-7.0000000000000007E-2</v>
      </c>
      <c r="M570">
        <v>0.74</v>
      </c>
      <c r="N570" s="20">
        <v>0</v>
      </c>
      <c r="O570">
        <v>19.2</v>
      </c>
      <c r="P570">
        <v>12.23</v>
      </c>
      <c r="Q570">
        <v>51.64</v>
      </c>
      <c r="R570" s="21">
        <v>542.42280000000005</v>
      </c>
    </row>
    <row r="571" spans="7:18" x14ac:dyDescent="0.15">
      <c r="G571" s="11">
        <v>570</v>
      </c>
      <c r="H571" t="s">
        <v>462</v>
      </c>
      <c r="I571" t="s">
        <v>926</v>
      </c>
      <c r="J571" t="s">
        <v>870</v>
      </c>
      <c r="K571">
        <v>1.76</v>
      </c>
      <c r="L571">
        <v>2.65</v>
      </c>
      <c r="M571">
        <v>7.6</v>
      </c>
      <c r="N571" s="20">
        <v>0.23</v>
      </c>
      <c r="O571">
        <v>19.059999999999999</v>
      </c>
      <c r="P571">
        <v>47.51</v>
      </c>
      <c r="Q571">
        <v>16.36</v>
      </c>
      <c r="R571" s="21">
        <v>624.38919999999996</v>
      </c>
    </row>
    <row r="572" spans="7:18" x14ac:dyDescent="0.15">
      <c r="G572" s="11">
        <v>571</v>
      </c>
      <c r="H572" t="s">
        <v>806</v>
      </c>
      <c r="I572" t="s">
        <v>805</v>
      </c>
      <c r="J572" t="s">
        <v>1688</v>
      </c>
      <c r="K572">
        <v>0.2</v>
      </c>
      <c r="L572">
        <v>-0.18</v>
      </c>
      <c r="M572">
        <v>0.69</v>
      </c>
      <c r="N572" s="20">
        <v>0</v>
      </c>
      <c r="O572">
        <v>18.920000000000002</v>
      </c>
      <c r="P572">
        <v>11.66</v>
      </c>
      <c r="Q572">
        <v>52.2</v>
      </c>
      <c r="R572" s="21">
        <v>580.4564537</v>
      </c>
    </row>
    <row r="573" spans="7:18" x14ac:dyDescent="0.15">
      <c r="G573" s="11">
        <v>572</v>
      </c>
      <c r="H573" t="s">
        <v>512</v>
      </c>
      <c r="I573" t="s">
        <v>1250</v>
      </c>
      <c r="J573" t="s">
        <v>1242</v>
      </c>
      <c r="K573">
        <v>0.79</v>
      </c>
      <c r="L573">
        <v>3.18</v>
      </c>
      <c r="M573">
        <v>7.71</v>
      </c>
      <c r="N573" s="20">
        <v>0.25</v>
      </c>
      <c r="O573">
        <v>18.78</v>
      </c>
      <c r="P573">
        <v>48.22</v>
      </c>
      <c r="Q573">
        <v>15.5</v>
      </c>
      <c r="R573" s="21">
        <v>4184.7766262999994</v>
      </c>
    </row>
    <row r="574" spans="7:18" x14ac:dyDescent="0.15">
      <c r="G574" s="11">
        <v>573</v>
      </c>
      <c r="H574" t="s">
        <v>1329</v>
      </c>
      <c r="I574" t="s">
        <v>1330</v>
      </c>
      <c r="J574" t="s">
        <v>1688</v>
      </c>
      <c r="K574">
        <v>0.1</v>
      </c>
      <c r="L574">
        <v>-0.11</v>
      </c>
      <c r="M574">
        <v>-7.82</v>
      </c>
      <c r="N574" s="20">
        <v>-0.11</v>
      </c>
      <c r="O574">
        <v>18.63</v>
      </c>
      <c r="P574">
        <v>0.85</v>
      </c>
      <c r="Q574">
        <v>62.73</v>
      </c>
      <c r="R574" s="21">
        <v>3717.0505499999999</v>
      </c>
    </row>
    <row r="575" spans="7:18" x14ac:dyDescent="0.15">
      <c r="G575" s="11">
        <v>574</v>
      </c>
      <c r="H575" t="s">
        <v>1289</v>
      </c>
      <c r="I575" t="s">
        <v>1290</v>
      </c>
      <c r="J575" t="s">
        <v>1288</v>
      </c>
      <c r="K575">
        <v>-4.45</v>
      </c>
      <c r="L575">
        <v>2.4500000000000002</v>
      </c>
      <c r="M575">
        <v>8.65</v>
      </c>
      <c r="N575" s="20">
        <v>1.48</v>
      </c>
      <c r="O575">
        <v>18.489999999999998</v>
      </c>
      <c r="P575">
        <v>58.75</v>
      </c>
      <c r="Q575">
        <v>4.55</v>
      </c>
      <c r="R575" s="21">
        <v>42.592700000000001</v>
      </c>
    </row>
    <row r="576" spans="7:18" x14ac:dyDescent="0.15">
      <c r="G576" s="11">
        <v>575</v>
      </c>
      <c r="H576" t="s">
        <v>382</v>
      </c>
      <c r="I576" t="s">
        <v>873</v>
      </c>
      <c r="J576" t="s">
        <v>870</v>
      </c>
      <c r="K576">
        <v>1.65</v>
      </c>
      <c r="L576">
        <v>5.16</v>
      </c>
      <c r="M576">
        <v>8.1300000000000008</v>
      </c>
      <c r="N576" s="20">
        <v>0.43</v>
      </c>
      <c r="O576">
        <v>18.350000000000001</v>
      </c>
      <c r="P576">
        <v>53.34</v>
      </c>
      <c r="Q576">
        <v>9.82</v>
      </c>
      <c r="R576" s="21">
        <v>32.408900000000003</v>
      </c>
    </row>
    <row r="577" spans="7:18" x14ac:dyDescent="0.15">
      <c r="G577" s="11">
        <v>576</v>
      </c>
      <c r="H577" t="s">
        <v>519</v>
      </c>
      <c r="I577" t="s">
        <v>980</v>
      </c>
      <c r="J577" t="s">
        <v>870</v>
      </c>
      <c r="K577">
        <v>-0.65</v>
      </c>
      <c r="L577">
        <v>-0.62</v>
      </c>
      <c r="M577">
        <v>3.19</v>
      </c>
      <c r="N577" s="20">
        <v>0</v>
      </c>
      <c r="O577">
        <v>18.21</v>
      </c>
      <c r="P577">
        <v>20.2</v>
      </c>
      <c r="Q577">
        <v>42.96</v>
      </c>
      <c r="R577" s="21">
        <v>941.05809999999997</v>
      </c>
    </row>
    <row r="578" spans="7:18" x14ac:dyDescent="0.15">
      <c r="G578" s="11">
        <v>577</v>
      </c>
      <c r="H578" t="s">
        <v>1360</v>
      </c>
      <c r="I578" t="s">
        <v>1361</v>
      </c>
      <c r="J578" t="s">
        <v>1688</v>
      </c>
      <c r="K578">
        <v>0.31</v>
      </c>
      <c r="L578">
        <v>3.22</v>
      </c>
      <c r="M578">
        <v>6.59</v>
      </c>
      <c r="N578" s="20">
        <v>0.13</v>
      </c>
      <c r="O578">
        <v>18.07</v>
      </c>
      <c r="P578">
        <v>38.119999999999997</v>
      </c>
      <c r="Q578">
        <v>24.47</v>
      </c>
      <c r="R578" s="21">
        <v>116.13210260000001</v>
      </c>
    </row>
    <row r="579" spans="7:18" x14ac:dyDescent="0.15">
      <c r="G579" s="11">
        <v>578</v>
      </c>
      <c r="H579" t="s">
        <v>499</v>
      </c>
      <c r="I579" t="s">
        <v>1450</v>
      </c>
      <c r="J579" t="s">
        <v>1688</v>
      </c>
      <c r="K579">
        <v>0.08</v>
      </c>
      <c r="L579">
        <v>7.0000000000000007E-2</v>
      </c>
      <c r="M579">
        <v>0.16</v>
      </c>
      <c r="N579" s="20">
        <v>-0.01</v>
      </c>
      <c r="O579">
        <v>17.920000000000002</v>
      </c>
      <c r="P579">
        <v>8.68</v>
      </c>
      <c r="Q579">
        <v>53.06</v>
      </c>
      <c r="R579" s="21">
        <v>20202.761399999999</v>
      </c>
    </row>
    <row r="580" spans="7:18" x14ac:dyDescent="0.15">
      <c r="G580" s="11">
        <v>579</v>
      </c>
      <c r="H580" t="s">
        <v>437</v>
      </c>
      <c r="I580" t="s">
        <v>1192</v>
      </c>
      <c r="J580" t="s">
        <v>1319</v>
      </c>
      <c r="K580">
        <v>3.25</v>
      </c>
      <c r="L580">
        <v>-4.8099999999999996</v>
      </c>
      <c r="M580">
        <v>1.81</v>
      </c>
      <c r="N580" s="20">
        <v>0</v>
      </c>
      <c r="O580">
        <v>17.78</v>
      </c>
      <c r="P580">
        <v>15.5</v>
      </c>
      <c r="Q580">
        <v>45.09</v>
      </c>
      <c r="R580" s="21">
        <v>28994.6623468</v>
      </c>
    </row>
    <row r="581" spans="7:18" x14ac:dyDescent="0.15">
      <c r="G581" s="11">
        <v>580</v>
      </c>
      <c r="H581" t="s">
        <v>612</v>
      </c>
      <c r="I581" t="s">
        <v>1107</v>
      </c>
      <c r="J581" t="s">
        <v>870</v>
      </c>
      <c r="K581">
        <v>0.65</v>
      </c>
      <c r="L581">
        <v>1.92</v>
      </c>
      <c r="M581">
        <v>5.08</v>
      </c>
      <c r="N581" s="20">
        <v>0.08</v>
      </c>
      <c r="O581">
        <v>17.64</v>
      </c>
      <c r="P581">
        <v>29.16</v>
      </c>
      <c r="Q581">
        <v>30.16</v>
      </c>
      <c r="R581" s="21">
        <v>9159.2232999999997</v>
      </c>
    </row>
    <row r="582" spans="7:18" x14ac:dyDescent="0.15">
      <c r="G582" s="11">
        <v>581</v>
      </c>
      <c r="H582" t="s">
        <v>310</v>
      </c>
      <c r="I582" t="s">
        <v>1266</v>
      </c>
      <c r="J582" t="s">
        <v>1251</v>
      </c>
      <c r="K582">
        <v>3.62</v>
      </c>
      <c r="L582">
        <v>7.57</v>
      </c>
      <c r="M582">
        <v>6.62</v>
      </c>
      <c r="N582" s="20">
        <v>0.18</v>
      </c>
      <c r="O582">
        <v>17.5</v>
      </c>
      <c r="P582">
        <v>38.409999999999997</v>
      </c>
      <c r="Q582">
        <v>20.77</v>
      </c>
      <c r="R582" s="21">
        <v>258.02760000000001</v>
      </c>
    </row>
    <row r="583" spans="7:18" x14ac:dyDescent="0.15">
      <c r="G583" s="11">
        <v>582</v>
      </c>
      <c r="H583" t="s">
        <v>414</v>
      </c>
      <c r="I583" t="s">
        <v>22</v>
      </c>
      <c r="J583" t="s">
        <v>1688</v>
      </c>
      <c r="K583">
        <v>0.2</v>
      </c>
      <c r="L583">
        <v>-0.2</v>
      </c>
      <c r="M583">
        <v>0.65</v>
      </c>
      <c r="N583" s="20">
        <v>0</v>
      </c>
      <c r="O583">
        <v>17.350000000000001</v>
      </c>
      <c r="P583">
        <v>10.81</v>
      </c>
      <c r="Q583">
        <v>48.08</v>
      </c>
      <c r="R583" s="21">
        <v>432.11989999999997</v>
      </c>
    </row>
    <row r="584" spans="7:18" x14ac:dyDescent="0.15">
      <c r="G584" s="11">
        <v>583</v>
      </c>
      <c r="H584" t="s">
        <v>582</v>
      </c>
      <c r="I584" t="s">
        <v>876</v>
      </c>
      <c r="J584" t="s">
        <v>870</v>
      </c>
      <c r="K584">
        <v>1.24</v>
      </c>
      <c r="L584">
        <v>4.4000000000000004</v>
      </c>
      <c r="M584">
        <v>5.16</v>
      </c>
      <c r="N584" s="20">
        <v>0.1</v>
      </c>
      <c r="O584">
        <v>17.21</v>
      </c>
      <c r="P584">
        <v>29.73</v>
      </c>
      <c r="Q584">
        <v>28.73</v>
      </c>
      <c r="R584" s="21">
        <v>6094.1255000000001</v>
      </c>
    </row>
    <row r="585" spans="7:18" x14ac:dyDescent="0.15">
      <c r="G585" s="11">
        <v>584</v>
      </c>
      <c r="H585" t="s">
        <v>492</v>
      </c>
      <c r="I585" t="s">
        <v>1158</v>
      </c>
      <c r="J585" t="s">
        <v>870</v>
      </c>
      <c r="K585">
        <v>-1.1599999999999999</v>
      </c>
      <c r="L585">
        <v>-2.42</v>
      </c>
      <c r="M585">
        <v>0.6</v>
      </c>
      <c r="N585" s="20">
        <v>0</v>
      </c>
      <c r="O585">
        <v>17.07</v>
      </c>
      <c r="P585">
        <v>10.38</v>
      </c>
      <c r="Q585">
        <v>46.8</v>
      </c>
      <c r="R585" s="21">
        <v>35214.6754</v>
      </c>
    </row>
    <row r="586" spans="7:18" x14ac:dyDescent="0.15">
      <c r="G586" s="11">
        <v>585</v>
      </c>
      <c r="H586" t="s">
        <v>433</v>
      </c>
      <c r="I586" t="s">
        <v>1194</v>
      </c>
      <c r="J586" t="s">
        <v>1319</v>
      </c>
      <c r="K586">
        <v>4.26</v>
      </c>
      <c r="L586">
        <v>-7.0000000000000007E-2</v>
      </c>
      <c r="M586">
        <v>-3.48</v>
      </c>
      <c r="N586" s="20">
        <v>-0.01</v>
      </c>
      <c r="O586">
        <v>16.93</v>
      </c>
      <c r="P586">
        <v>3.7</v>
      </c>
      <c r="Q586">
        <v>52.92</v>
      </c>
      <c r="R586" s="21">
        <v>225660.26759999999</v>
      </c>
    </row>
    <row r="587" spans="7:18" x14ac:dyDescent="0.15">
      <c r="G587" s="11">
        <v>586</v>
      </c>
      <c r="H587" t="s">
        <v>534</v>
      </c>
      <c r="I587" t="s">
        <v>1093</v>
      </c>
      <c r="J587" t="s">
        <v>870</v>
      </c>
      <c r="K587">
        <v>0.04</v>
      </c>
      <c r="L587">
        <v>1.75</v>
      </c>
      <c r="M587">
        <v>7.01</v>
      </c>
      <c r="N587" s="20">
        <v>0.27</v>
      </c>
      <c r="O587">
        <v>16.79</v>
      </c>
      <c r="P587">
        <v>42.25</v>
      </c>
      <c r="Q587">
        <v>14.37</v>
      </c>
      <c r="R587" s="21">
        <v>5564.6558898000003</v>
      </c>
    </row>
    <row r="588" spans="7:18" x14ac:dyDescent="0.15">
      <c r="G588" s="11">
        <v>587</v>
      </c>
      <c r="H588" t="s">
        <v>362</v>
      </c>
      <c r="I588" t="s">
        <v>1184</v>
      </c>
      <c r="J588" t="s">
        <v>1182</v>
      </c>
      <c r="K588">
        <v>0.2</v>
      </c>
      <c r="L588">
        <v>-0.21</v>
      </c>
      <c r="M588">
        <v>0.65</v>
      </c>
      <c r="N588" s="20">
        <v>0</v>
      </c>
      <c r="O588">
        <v>16.64</v>
      </c>
      <c r="P588">
        <v>11.1</v>
      </c>
      <c r="Q588">
        <v>45.23</v>
      </c>
      <c r="R588" s="21">
        <v>3179.7105999999999</v>
      </c>
    </row>
    <row r="589" spans="7:18" x14ac:dyDescent="0.15">
      <c r="G589" s="11">
        <v>588</v>
      </c>
      <c r="H589" t="s">
        <v>597</v>
      </c>
      <c r="I589" t="s">
        <v>1261</v>
      </c>
      <c r="J589" t="s">
        <v>1251</v>
      </c>
      <c r="K589">
        <v>0.93</v>
      </c>
      <c r="L589">
        <v>3.85</v>
      </c>
      <c r="M589">
        <v>6.94</v>
      </c>
      <c r="N589" s="20">
        <v>0.26</v>
      </c>
      <c r="O589">
        <v>16.5</v>
      </c>
      <c r="P589">
        <v>41.25</v>
      </c>
      <c r="Q589">
        <v>14.94</v>
      </c>
      <c r="R589" s="21">
        <v>131.98642479999998</v>
      </c>
    </row>
    <row r="590" spans="7:18" x14ac:dyDescent="0.15">
      <c r="G590" s="11">
        <v>589</v>
      </c>
      <c r="H590" t="s">
        <v>496</v>
      </c>
      <c r="I590" t="s">
        <v>897</v>
      </c>
      <c r="J590" t="s">
        <v>870</v>
      </c>
      <c r="K590">
        <v>1.45</v>
      </c>
      <c r="L590">
        <v>4.5199999999999996</v>
      </c>
      <c r="M590">
        <v>7.64</v>
      </c>
      <c r="N590" s="20">
        <v>0.66</v>
      </c>
      <c r="O590">
        <v>16.36</v>
      </c>
      <c r="P590">
        <v>47.8</v>
      </c>
      <c r="Q590">
        <v>7.11</v>
      </c>
      <c r="R590" s="21">
        <v>434.31020000000001</v>
      </c>
    </row>
    <row r="591" spans="7:18" x14ac:dyDescent="0.15">
      <c r="G591" s="11">
        <v>590</v>
      </c>
      <c r="H591" t="s">
        <v>621</v>
      </c>
      <c r="I591" t="s">
        <v>907</v>
      </c>
      <c r="J591" t="s">
        <v>870</v>
      </c>
      <c r="K591">
        <v>2.21</v>
      </c>
      <c r="L591">
        <v>3.44</v>
      </c>
      <c r="M591">
        <v>5.84</v>
      </c>
      <c r="N591" s="20">
        <v>0.17</v>
      </c>
      <c r="O591">
        <v>16.22</v>
      </c>
      <c r="P591">
        <v>32.57</v>
      </c>
      <c r="Q591">
        <v>22.05</v>
      </c>
      <c r="R591" s="21">
        <v>336.87180000000001</v>
      </c>
    </row>
    <row r="592" spans="7:18" x14ac:dyDescent="0.15">
      <c r="G592" s="11">
        <v>591</v>
      </c>
      <c r="H592" t="s">
        <v>1323</v>
      </c>
      <c r="I592" t="s">
        <v>1324</v>
      </c>
      <c r="J592" t="s">
        <v>1688</v>
      </c>
      <c r="K592">
        <v>0</v>
      </c>
      <c r="L592">
        <v>0</v>
      </c>
      <c r="M592">
        <v>0</v>
      </c>
      <c r="N592" s="20">
        <v>0</v>
      </c>
      <c r="O592">
        <v>16.07</v>
      </c>
      <c r="P592">
        <v>6.83</v>
      </c>
      <c r="Q592">
        <v>46.66</v>
      </c>
      <c r="R592" s="21">
        <v>7992.0736999999999</v>
      </c>
    </row>
    <row r="593" spans="7:18" x14ac:dyDescent="0.15">
      <c r="G593" s="11">
        <v>592</v>
      </c>
      <c r="H593" t="s">
        <v>474</v>
      </c>
      <c r="I593" t="s">
        <v>904</v>
      </c>
      <c r="J593" t="s">
        <v>870</v>
      </c>
      <c r="K593">
        <v>3.26</v>
      </c>
      <c r="L593">
        <v>8.4700000000000006</v>
      </c>
      <c r="M593">
        <v>6.45</v>
      </c>
      <c r="N593" s="20">
        <v>0.24</v>
      </c>
      <c r="O593">
        <v>15.93</v>
      </c>
      <c r="P593">
        <v>36.979999999999997</v>
      </c>
      <c r="Q593">
        <v>15.93</v>
      </c>
      <c r="R593" s="21">
        <v>484.28710000000001</v>
      </c>
    </row>
    <row r="594" spans="7:18" x14ac:dyDescent="0.15">
      <c r="G594" s="11">
        <v>593</v>
      </c>
      <c r="H594" t="s">
        <v>394</v>
      </c>
      <c r="I594" t="s">
        <v>932</v>
      </c>
      <c r="J594" t="s">
        <v>870</v>
      </c>
      <c r="K594">
        <v>1.62</v>
      </c>
      <c r="L594">
        <v>5.05</v>
      </c>
      <c r="M594">
        <v>6.96</v>
      </c>
      <c r="N594" s="20">
        <v>0.41</v>
      </c>
      <c r="O594">
        <v>15.79</v>
      </c>
      <c r="P594">
        <v>41.82</v>
      </c>
      <c r="Q594">
        <v>10.81</v>
      </c>
      <c r="R594" s="21">
        <v>662.30060000000003</v>
      </c>
    </row>
    <row r="595" spans="7:18" x14ac:dyDescent="0.15">
      <c r="G595" s="11">
        <v>594</v>
      </c>
      <c r="H595" t="s">
        <v>726</v>
      </c>
      <c r="I595" t="s">
        <v>1306</v>
      </c>
      <c r="J595" t="s">
        <v>1288</v>
      </c>
      <c r="K595">
        <v>-3.2</v>
      </c>
      <c r="L595">
        <v>-1.01</v>
      </c>
      <c r="M595">
        <v>3.12</v>
      </c>
      <c r="N595" s="20">
        <v>0.05</v>
      </c>
      <c r="O595">
        <v>15.65</v>
      </c>
      <c r="P595">
        <v>20.059999999999999</v>
      </c>
      <c r="Q595">
        <v>32.43</v>
      </c>
      <c r="R595" s="21">
        <v>4537.5012999999999</v>
      </c>
    </row>
    <row r="596" spans="7:18" x14ac:dyDescent="0.15">
      <c r="G596" s="11">
        <v>595</v>
      </c>
      <c r="H596" t="s">
        <v>1442</v>
      </c>
      <c r="I596" t="s">
        <v>1443</v>
      </c>
      <c r="J596" t="s">
        <v>1688</v>
      </c>
      <c r="K596">
        <v>3.37</v>
      </c>
      <c r="L596">
        <v>2.56</v>
      </c>
      <c r="M596">
        <v>4.53</v>
      </c>
      <c r="N596" s="20">
        <v>0.11</v>
      </c>
      <c r="O596">
        <v>15.5</v>
      </c>
      <c r="P596">
        <v>25.89</v>
      </c>
      <c r="Q596">
        <v>26.32</v>
      </c>
      <c r="R596" s="21">
        <v>2290.120762</v>
      </c>
    </row>
    <row r="597" spans="7:18" x14ac:dyDescent="0.15">
      <c r="G597" s="11">
        <v>596</v>
      </c>
      <c r="H597" t="s">
        <v>725</v>
      </c>
      <c r="I597" t="s">
        <v>1104</v>
      </c>
      <c r="J597" t="s">
        <v>870</v>
      </c>
      <c r="K597">
        <v>1.36</v>
      </c>
      <c r="L597">
        <v>3.96</v>
      </c>
      <c r="M597">
        <v>7.16</v>
      </c>
      <c r="N597" s="20">
        <v>0.49</v>
      </c>
      <c r="O597">
        <v>15.36</v>
      </c>
      <c r="P597">
        <v>43.39</v>
      </c>
      <c r="Q597">
        <v>8.82</v>
      </c>
      <c r="R597" s="21">
        <v>4376.2210999999998</v>
      </c>
    </row>
    <row r="598" spans="7:18" x14ac:dyDescent="0.15">
      <c r="G598" s="11">
        <v>597</v>
      </c>
      <c r="H598" t="s">
        <v>426</v>
      </c>
      <c r="I598" t="s">
        <v>1190</v>
      </c>
      <c r="J598" t="s">
        <v>1319</v>
      </c>
      <c r="K598">
        <v>0.61</v>
      </c>
      <c r="L598">
        <v>-1.36</v>
      </c>
      <c r="M598">
        <v>-7.75</v>
      </c>
      <c r="N598" s="20">
        <v>0</v>
      </c>
      <c r="O598">
        <v>15.22</v>
      </c>
      <c r="P598">
        <v>1</v>
      </c>
      <c r="Q598">
        <v>51.07</v>
      </c>
      <c r="R598" s="21">
        <v>1041.8647312999999</v>
      </c>
    </row>
    <row r="599" spans="7:18" x14ac:dyDescent="0.15">
      <c r="G599" s="11">
        <v>598</v>
      </c>
      <c r="H599" t="s">
        <v>556</v>
      </c>
      <c r="I599" t="s">
        <v>1175</v>
      </c>
      <c r="J599" t="s">
        <v>870</v>
      </c>
      <c r="K599">
        <v>-0.86</v>
      </c>
      <c r="L599">
        <v>1.37</v>
      </c>
      <c r="M599">
        <v>5.63</v>
      </c>
      <c r="N599" s="20">
        <v>0.18</v>
      </c>
      <c r="O599">
        <v>15.08</v>
      </c>
      <c r="P599">
        <v>31.86</v>
      </c>
      <c r="Q599">
        <v>20.2</v>
      </c>
      <c r="R599" s="21">
        <v>151430.26259999999</v>
      </c>
    </row>
    <row r="600" spans="7:18" x14ac:dyDescent="0.15">
      <c r="G600" s="11">
        <v>599</v>
      </c>
      <c r="H600" t="s">
        <v>438</v>
      </c>
      <c r="I600" t="s">
        <v>1193</v>
      </c>
      <c r="J600" t="s">
        <v>1319</v>
      </c>
      <c r="K600">
        <v>0.06</v>
      </c>
      <c r="L600">
        <v>0.35</v>
      </c>
      <c r="M600">
        <v>-1.5</v>
      </c>
      <c r="N600" s="20">
        <v>0</v>
      </c>
      <c r="O600">
        <v>14.94</v>
      </c>
      <c r="P600">
        <v>4.6900000000000004</v>
      </c>
      <c r="Q600">
        <v>47.37</v>
      </c>
      <c r="R600" s="21">
        <v>108163.3486</v>
      </c>
    </row>
    <row r="601" spans="7:18" x14ac:dyDescent="0.15">
      <c r="G601" s="11">
        <v>600</v>
      </c>
      <c r="H601" t="s">
        <v>1671</v>
      </c>
      <c r="I601" t="s">
        <v>1672</v>
      </c>
      <c r="J601" t="s">
        <v>1688</v>
      </c>
      <c r="K601">
        <v>-0.05</v>
      </c>
      <c r="L601">
        <v>0.5</v>
      </c>
      <c r="M601">
        <v>4.8600000000000003</v>
      </c>
      <c r="N601" s="20">
        <v>0.13</v>
      </c>
      <c r="O601">
        <v>14.79</v>
      </c>
      <c r="P601">
        <v>27.74</v>
      </c>
      <c r="Q601">
        <v>24.18</v>
      </c>
      <c r="R601" s="21">
        <v>1221.6696999999999</v>
      </c>
    </row>
    <row r="602" spans="7:18" x14ac:dyDescent="0.15">
      <c r="G602" s="11">
        <v>601</v>
      </c>
      <c r="H602" t="s">
        <v>423</v>
      </c>
      <c r="I602" t="s">
        <v>1195</v>
      </c>
      <c r="J602" t="s">
        <v>1319</v>
      </c>
      <c r="K602">
        <v>0.03</v>
      </c>
      <c r="L602">
        <v>0.05</v>
      </c>
      <c r="M602">
        <v>0.11</v>
      </c>
      <c r="N602" s="20">
        <v>0</v>
      </c>
      <c r="O602">
        <v>14.65</v>
      </c>
      <c r="P602">
        <v>8.25</v>
      </c>
      <c r="Q602">
        <v>43.67</v>
      </c>
      <c r="R602" s="21">
        <v>1740261.8947000001</v>
      </c>
    </row>
    <row r="603" spans="7:18" x14ac:dyDescent="0.15">
      <c r="G603" s="11">
        <v>602</v>
      </c>
      <c r="H603" t="s">
        <v>1321</v>
      </c>
      <c r="I603" t="s">
        <v>1322</v>
      </c>
      <c r="J603" t="s">
        <v>1688</v>
      </c>
      <c r="K603">
        <v>0</v>
      </c>
      <c r="L603">
        <v>0</v>
      </c>
      <c r="M603">
        <v>0</v>
      </c>
      <c r="N603" s="20">
        <v>0</v>
      </c>
      <c r="O603">
        <v>14.51</v>
      </c>
      <c r="P603">
        <v>6.97</v>
      </c>
      <c r="Q603">
        <v>44.81</v>
      </c>
      <c r="R603" s="21">
        <v>5829.5245999999997</v>
      </c>
    </row>
    <row r="604" spans="7:18" x14ac:dyDescent="0.15">
      <c r="G604" s="11">
        <v>603</v>
      </c>
      <c r="H604" t="s">
        <v>510</v>
      </c>
      <c r="I604" t="s">
        <v>1124</v>
      </c>
      <c r="J604" t="s">
        <v>870</v>
      </c>
      <c r="K604">
        <v>-0.18</v>
      </c>
      <c r="L604">
        <v>0.56000000000000005</v>
      </c>
      <c r="M604">
        <v>5</v>
      </c>
      <c r="N604" s="20">
        <v>0.15</v>
      </c>
      <c r="O604">
        <v>14.37</v>
      </c>
      <c r="P604">
        <v>28.73</v>
      </c>
      <c r="Q604">
        <v>22.9</v>
      </c>
      <c r="R604" s="21">
        <v>6274.6365999999998</v>
      </c>
    </row>
    <row r="605" spans="7:18" x14ac:dyDescent="0.15">
      <c r="G605" s="11">
        <v>604</v>
      </c>
      <c r="H605" t="s">
        <v>285</v>
      </c>
      <c r="I605" t="s">
        <v>26</v>
      </c>
      <c r="J605" t="s">
        <v>1213</v>
      </c>
      <c r="K605">
        <v>-2.52</v>
      </c>
      <c r="L605">
        <v>2.34</v>
      </c>
      <c r="M605">
        <v>7.18</v>
      </c>
      <c r="N605" s="20">
        <v>0.61</v>
      </c>
      <c r="O605">
        <v>14.22</v>
      </c>
      <c r="P605">
        <v>43.81</v>
      </c>
      <c r="Q605">
        <v>7.68</v>
      </c>
      <c r="R605" s="21">
        <v>41.133224599999998</v>
      </c>
    </row>
    <row r="606" spans="7:18" x14ac:dyDescent="0.15">
      <c r="G606" s="11">
        <v>605</v>
      </c>
      <c r="H606" t="s">
        <v>574</v>
      </c>
      <c r="I606" t="s">
        <v>1150</v>
      </c>
      <c r="J606" t="s">
        <v>870</v>
      </c>
      <c r="K606">
        <v>-1.01</v>
      </c>
      <c r="L606">
        <v>1.2</v>
      </c>
      <c r="M606">
        <v>5.46</v>
      </c>
      <c r="N606" s="20">
        <v>0.18</v>
      </c>
      <c r="O606">
        <v>14.08</v>
      </c>
      <c r="P606">
        <v>31.01</v>
      </c>
      <c r="Q606">
        <v>20.34</v>
      </c>
      <c r="R606" s="21">
        <v>23731.388999999999</v>
      </c>
    </row>
    <row r="607" spans="7:18" x14ac:dyDescent="0.15">
      <c r="G607" s="11">
        <v>606</v>
      </c>
      <c r="H607" t="s">
        <v>754</v>
      </c>
      <c r="I607" t="s">
        <v>1296</v>
      </c>
      <c r="J607" t="s">
        <v>1288</v>
      </c>
      <c r="K607">
        <v>-3.39</v>
      </c>
      <c r="L607">
        <v>2.02</v>
      </c>
      <c r="M607">
        <v>7.46</v>
      </c>
      <c r="N607" s="20">
        <v>1.1200000000000001</v>
      </c>
      <c r="O607">
        <v>13.94</v>
      </c>
      <c r="P607">
        <v>45.95</v>
      </c>
      <c r="Q607">
        <v>5.26</v>
      </c>
      <c r="R607" s="21">
        <v>16.032728899999999</v>
      </c>
    </row>
    <row r="608" spans="7:18" x14ac:dyDescent="0.15">
      <c r="G608" s="11">
        <v>607</v>
      </c>
      <c r="H608" t="s">
        <v>681</v>
      </c>
      <c r="I608" t="s">
        <v>1084</v>
      </c>
      <c r="J608" t="s">
        <v>870</v>
      </c>
      <c r="K608">
        <v>0.13</v>
      </c>
      <c r="L608">
        <v>-0.05</v>
      </c>
      <c r="M608">
        <v>4.5999999999999996</v>
      </c>
      <c r="N608" s="20">
        <v>0.13</v>
      </c>
      <c r="O608">
        <v>13.8</v>
      </c>
      <c r="P608">
        <v>26.32</v>
      </c>
      <c r="Q608">
        <v>24.89</v>
      </c>
      <c r="R608" s="21">
        <v>3539.6755943000003</v>
      </c>
    </row>
    <row r="609" spans="7:18" x14ac:dyDescent="0.15">
      <c r="G609" s="11">
        <v>608</v>
      </c>
      <c r="H609" t="s">
        <v>1653</v>
      </c>
      <c r="I609" t="s">
        <v>1654</v>
      </c>
      <c r="J609" t="s">
        <v>1688</v>
      </c>
      <c r="K609">
        <v>4.55</v>
      </c>
      <c r="L609">
        <v>4.28</v>
      </c>
      <c r="M609">
        <v>6.86</v>
      </c>
      <c r="N609" s="20">
        <v>0.43</v>
      </c>
      <c r="O609">
        <v>13.66</v>
      </c>
      <c r="P609">
        <v>40.68</v>
      </c>
      <c r="Q609">
        <v>10.1</v>
      </c>
      <c r="R609" s="21">
        <v>5264.3031000000001</v>
      </c>
    </row>
    <row r="610" spans="7:18" x14ac:dyDescent="0.15">
      <c r="G610" s="11">
        <v>609</v>
      </c>
      <c r="H610" t="s">
        <v>429</v>
      </c>
      <c r="I610" t="s">
        <v>1187</v>
      </c>
      <c r="J610" t="s">
        <v>1319</v>
      </c>
      <c r="K610">
        <v>-2.57</v>
      </c>
      <c r="L610">
        <v>-1.46</v>
      </c>
      <c r="M610">
        <v>-7.7</v>
      </c>
      <c r="N610" s="20">
        <v>0</v>
      </c>
      <c r="O610">
        <v>13.51</v>
      </c>
      <c r="P610">
        <v>1.1399999999999999</v>
      </c>
      <c r="Q610">
        <v>48.93</v>
      </c>
      <c r="R610" s="21">
        <v>403.95933409999998</v>
      </c>
    </row>
    <row r="611" spans="7:18" x14ac:dyDescent="0.15">
      <c r="G611" s="11">
        <v>610</v>
      </c>
      <c r="H611" t="s">
        <v>562</v>
      </c>
      <c r="I611" t="s">
        <v>1168</v>
      </c>
      <c r="J611" t="s">
        <v>870</v>
      </c>
      <c r="K611">
        <v>-1.0900000000000001</v>
      </c>
      <c r="L611">
        <v>-0.15</v>
      </c>
      <c r="M611">
        <v>-1.41</v>
      </c>
      <c r="N611" s="20">
        <v>0</v>
      </c>
      <c r="O611">
        <v>13.37</v>
      </c>
      <c r="P611">
        <v>4.84</v>
      </c>
      <c r="Q611">
        <v>44.38</v>
      </c>
      <c r="R611" s="21">
        <v>22124.9823</v>
      </c>
    </row>
    <row r="612" spans="7:18" x14ac:dyDescent="0.15">
      <c r="G612" s="11">
        <v>611</v>
      </c>
      <c r="H612" t="s">
        <v>546</v>
      </c>
      <c r="I612" t="s">
        <v>943</v>
      </c>
      <c r="J612" t="s">
        <v>870</v>
      </c>
      <c r="K612">
        <v>0.03</v>
      </c>
      <c r="L612">
        <v>3.03</v>
      </c>
      <c r="M612">
        <v>3</v>
      </c>
      <c r="N612" s="20">
        <v>0.09</v>
      </c>
      <c r="O612">
        <v>13.23</v>
      </c>
      <c r="P612">
        <v>19.489999999999998</v>
      </c>
      <c r="Q612">
        <v>29.45</v>
      </c>
      <c r="R612" s="21">
        <v>358.5172</v>
      </c>
    </row>
    <row r="613" spans="7:18" x14ac:dyDescent="0.15">
      <c r="G613" s="11">
        <v>612</v>
      </c>
      <c r="H613" t="s">
        <v>443</v>
      </c>
      <c r="I613" t="s">
        <v>1196</v>
      </c>
      <c r="J613" t="s">
        <v>1319</v>
      </c>
      <c r="K613">
        <v>-2.75</v>
      </c>
      <c r="L613">
        <v>-1.99</v>
      </c>
      <c r="M613">
        <v>-1.57</v>
      </c>
      <c r="N613" s="20">
        <v>0</v>
      </c>
      <c r="O613">
        <v>13.09</v>
      </c>
      <c r="P613">
        <v>4.55</v>
      </c>
      <c r="Q613">
        <v>44.24</v>
      </c>
      <c r="R613" s="21">
        <v>1501803.9955</v>
      </c>
    </row>
    <row r="614" spans="7:18" x14ac:dyDescent="0.15">
      <c r="G614" s="11">
        <v>613</v>
      </c>
      <c r="H614" t="s">
        <v>304</v>
      </c>
      <c r="I614" t="s">
        <v>1273</v>
      </c>
      <c r="J614" t="s">
        <v>1251</v>
      </c>
      <c r="K614">
        <v>3.63</v>
      </c>
      <c r="L614">
        <v>7.58</v>
      </c>
      <c r="M614">
        <v>6.65</v>
      </c>
      <c r="N614" s="20">
        <v>0.43</v>
      </c>
      <c r="O614">
        <v>12.94</v>
      </c>
      <c r="P614">
        <v>38.69</v>
      </c>
      <c r="Q614">
        <v>9.9600000000000009</v>
      </c>
      <c r="R614" s="21">
        <v>1347.5220999999999</v>
      </c>
    </row>
    <row r="615" spans="7:18" x14ac:dyDescent="0.15">
      <c r="G615" s="11">
        <v>614</v>
      </c>
      <c r="H615" t="s">
        <v>393</v>
      </c>
      <c r="I615" t="s">
        <v>271</v>
      </c>
      <c r="J615" t="s">
        <v>1242</v>
      </c>
      <c r="K615">
        <v>1.93</v>
      </c>
      <c r="L615">
        <v>3.34</v>
      </c>
      <c r="M615">
        <v>6.2</v>
      </c>
      <c r="N615" s="20">
        <v>0.3</v>
      </c>
      <c r="O615">
        <v>12.8</v>
      </c>
      <c r="P615">
        <v>35.28</v>
      </c>
      <c r="Q615">
        <v>13.09</v>
      </c>
      <c r="R615" s="21">
        <v>1232.6903353</v>
      </c>
    </row>
    <row r="616" spans="7:18" x14ac:dyDescent="0.15">
      <c r="G616" s="11">
        <v>615</v>
      </c>
      <c r="H616" t="s">
        <v>501</v>
      </c>
      <c r="I616" t="s">
        <v>1044</v>
      </c>
      <c r="J616" t="s">
        <v>870</v>
      </c>
      <c r="K616">
        <v>-1.1399999999999999</v>
      </c>
      <c r="L616">
        <v>1.03</v>
      </c>
      <c r="M616">
        <v>2.48</v>
      </c>
      <c r="N616" s="20">
        <v>7.0000000000000007E-2</v>
      </c>
      <c r="O616">
        <v>12.66</v>
      </c>
      <c r="P616">
        <v>16.93</v>
      </c>
      <c r="Q616">
        <v>31.44</v>
      </c>
      <c r="R616" s="21">
        <v>1811.3237999999999</v>
      </c>
    </row>
    <row r="617" spans="7:18" x14ac:dyDescent="0.15">
      <c r="G617" s="11">
        <v>616</v>
      </c>
      <c r="H617" t="s">
        <v>453</v>
      </c>
      <c r="I617" t="s">
        <v>1191</v>
      </c>
      <c r="J617" t="s">
        <v>1319</v>
      </c>
      <c r="K617">
        <v>-0.88</v>
      </c>
      <c r="L617">
        <v>-4.38</v>
      </c>
      <c r="M617">
        <v>-6.44</v>
      </c>
      <c r="N617" s="20">
        <v>0</v>
      </c>
      <c r="O617">
        <v>12.52</v>
      </c>
      <c r="P617">
        <v>2.42</v>
      </c>
      <c r="Q617">
        <v>45.95</v>
      </c>
      <c r="R617" s="21">
        <v>10941.3133</v>
      </c>
    </row>
    <row r="618" spans="7:18" x14ac:dyDescent="0.15">
      <c r="G618" s="11">
        <v>617</v>
      </c>
      <c r="H618" t="s">
        <v>627</v>
      </c>
      <c r="I618" t="s">
        <v>1026</v>
      </c>
      <c r="J618" t="s">
        <v>870</v>
      </c>
      <c r="K618">
        <v>0.04</v>
      </c>
      <c r="L618">
        <v>3.11</v>
      </c>
      <c r="M618">
        <v>2.87</v>
      </c>
      <c r="N618" s="20">
        <v>0.09</v>
      </c>
      <c r="O618">
        <v>12.38</v>
      </c>
      <c r="P618">
        <v>19.059999999999999</v>
      </c>
      <c r="Q618">
        <v>29.16</v>
      </c>
      <c r="R618" s="21">
        <v>973.30139999999994</v>
      </c>
    </row>
    <row r="619" spans="7:18" x14ac:dyDescent="0.15">
      <c r="G619" s="11">
        <v>618</v>
      </c>
      <c r="H619" t="s">
        <v>692</v>
      </c>
      <c r="I619" t="s">
        <v>1103</v>
      </c>
      <c r="J619" t="s">
        <v>870</v>
      </c>
      <c r="K619">
        <v>0.02</v>
      </c>
      <c r="L619">
        <v>3</v>
      </c>
      <c r="M619">
        <v>2.68</v>
      </c>
      <c r="N619" s="20">
        <v>0.09</v>
      </c>
      <c r="O619">
        <v>12.23</v>
      </c>
      <c r="P619">
        <v>17.920000000000002</v>
      </c>
      <c r="Q619">
        <v>29.3</v>
      </c>
      <c r="R619" s="21">
        <v>34308.477599999998</v>
      </c>
    </row>
    <row r="620" spans="7:18" x14ac:dyDescent="0.15">
      <c r="G620" s="11">
        <v>619</v>
      </c>
      <c r="H620" t="s">
        <v>712</v>
      </c>
      <c r="I620" t="s">
        <v>995</v>
      </c>
      <c r="J620" t="s">
        <v>870</v>
      </c>
      <c r="K620">
        <v>1.26</v>
      </c>
      <c r="L620">
        <v>4.46</v>
      </c>
      <c r="M620">
        <v>5.33</v>
      </c>
      <c r="N620" s="20">
        <v>0.25</v>
      </c>
      <c r="O620">
        <v>12.09</v>
      </c>
      <c r="P620">
        <v>30.3</v>
      </c>
      <c r="Q620">
        <v>15.79</v>
      </c>
      <c r="R620" s="21">
        <v>1094.6155000000001</v>
      </c>
    </row>
    <row r="621" spans="7:18" x14ac:dyDescent="0.15">
      <c r="G621" s="11">
        <v>620</v>
      </c>
      <c r="H621" t="s">
        <v>651</v>
      </c>
      <c r="I621" t="s">
        <v>1103</v>
      </c>
      <c r="J621" t="s">
        <v>870</v>
      </c>
      <c r="K621">
        <v>0.02</v>
      </c>
      <c r="L621">
        <v>3.07</v>
      </c>
      <c r="M621">
        <v>2.8</v>
      </c>
      <c r="N621" s="20">
        <v>0.11</v>
      </c>
      <c r="O621">
        <v>11.95</v>
      </c>
      <c r="P621">
        <v>18.63</v>
      </c>
      <c r="Q621">
        <v>27.31</v>
      </c>
      <c r="R621" s="21">
        <v>6150.1982415000002</v>
      </c>
    </row>
    <row r="622" spans="7:18" x14ac:dyDescent="0.15">
      <c r="G622" s="11">
        <v>621</v>
      </c>
      <c r="H622" t="s">
        <v>329</v>
      </c>
      <c r="I622" t="s">
        <v>1504</v>
      </c>
      <c r="J622" t="s">
        <v>1688</v>
      </c>
      <c r="K622">
        <v>0.21</v>
      </c>
      <c r="L622">
        <v>-0.06</v>
      </c>
      <c r="M622">
        <v>0.74</v>
      </c>
      <c r="N622" s="20">
        <v>0.03</v>
      </c>
      <c r="O622">
        <v>11.81</v>
      </c>
      <c r="P622">
        <v>12.52</v>
      </c>
      <c r="Q622">
        <v>33.14</v>
      </c>
      <c r="R622" s="21">
        <v>64.31026</v>
      </c>
    </row>
    <row r="623" spans="7:18" x14ac:dyDescent="0.15">
      <c r="G623" s="11">
        <v>622</v>
      </c>
      <c r="H623" t="s">
        <v>650</v>
      </c>
      <c r="I623" t="s">
        <v>910</v>
      </c>
      <c r="J623" t="s">
        <v>870</v>
      </c>
      <c r="K623">
        <v>1.28</v>
      </c>
      <c r="L623">
        <v>4.9000000000000004</v>
      </c>
      <c r="M623">
        <v>4.84</v>
      </c>
      <c r="N623" s="20">
        <v>0.21</v>
      </c>
      <c r="O623">
        <v>11.66</v>
      </c>
      <c r="P623">
        <v>27.45</v>
      </c>
      <c r="Q623">
        <v>18.21</v>
      </c>
      <c r="R623" s="21">
        <v>206.77886000000001</v>
      </c>
    </row>
    <row r="624" spans="7:18" x14ac:dyDescent="0.15">
      <c r="G624" s="11">
        <v>623</v>
      </c>
      <c r="H624" t="s">
        <v>447</v>
      </c>
      <c r="I624" t="s">
        <v>1188</v>
      </c>
      <c r="J624" t="s">
        <v>1319</v>
      </c>
      <c r="K624">
        <v>4.24</v>
      </c>
      <c r="L624">
        <v>3.64</v>
      </c>
      <c r="M624">
        <v>0.71</v>
      </c>
      <c r="N624" s="20">
        <v>0.01</v>
      </c>
      <c r="O624">
        <v>11.52</v>
      </c>
      <c r="P624">
        <v>11.95</v>
      </c>
      <c r="Q624">
        <v>33.43</v>
      </c>
      <c r="R624" s="21">
        <v>1749.0074</v>
      </c>
    </row>
    <row r="625" spans="7:18" x14ac:dyDescent="0.15">
      <c r="G625" s="11">
        <v>624</v>
      </c>
      <c r="H625" t="s">
        <v>412</v>
      </c>
      <c r="I625" t="s">
        <v>1186</v>
      </c>
      <c r="J625" t="s">
        <v>1182</v>
      </c>
      <c r="K625">
        <v>0.21</v>
      </c>
      <c r="L625">
        <v>-0.06</v>
      </c>
      <c r="M625">
        <v>0.75</v>
      </c>
      <c r="N625" s="20">
        <v>0.05</v>
      </c>
      <c r="O625">
        <v>11.38</v>
      </c>
      <c r="P625">
        <v>12.66</v>
      </c>
      <c r="Q625">
        <v>32.57</v>
      </c>
      <c r="R625" s="21">
        <v>360.18270000000001</v>
      </c>
    </row>
    <row r="626" spans="7:18" x14ac:dyDescent="0.15">
      <c r="G626" s="11">
        <v>625</v>
      </c>
      <c r="H626" t="s">
        <v>543</v>
      </c>
      <c r="I626" t="s">
        <v>1160</v>
      </c>
      <c r="J626" t="s">
        <v>870</v>
      </c>
      <c r="K626">
        <v>-0.94</v>
      </c>
      <c r="L626">
        <v>1.1499999999999999</v>
      </c>
      <c r="M626">
        <v>5.47</v>
      </c>
      <c r="N626" s="20">
        <v>0.27</v>
      </c>
      <c r="O626">
        <v>11.24</v>
      </c>
      <c r="P626">
        <v>31.15</v>
      </c>
      <c r="Q626">
        <v>14.08</v>
      </c>
      <c r="R626" s="21">
        <v>42320.170700000002</v>
      </c>
    </row>
    <row r="627" spans="7:18" x14ac:dyDescent="0.15">
      <c r="G627" s="11">
        <v>626</v>
      </c>
      <c r="H627" t="s">
        <v>596</v>
      </c>
      <c r="I627" t="s">
        <v>264</v>
      </c>
      <c r="J627" t="s">
        <v>1242</v>
      </c>
      <c r="K627">
        <v>-0.05</v>
      </c>
      <c r="L627">
        <v>1.48</v>
      </c>
      <c r="M627">
        <v>3.37</v>
      </c>
      <c r="N627" s="20">
        <v>0.15</v>
      </c>
      <c r="O627">
        <v>11.1</v>
      </c>
      <c r="P627">
        <v>21.19</v>
      </c>
      <c r="Q627">
        <v>23.19</v>
      </c>
      <c r="R627" s="21">
        <v>194.25782409999999</v>
      </c>
    </row>
    <row r="628" spans="7:18" x14ac:dyDescent="0.15">
      <c r="G628" s="11">
        <v>627</v>
      </c>
      <c r="H628" t="s">
        <v>479</v>
      </c>
      <c r="I628" t="s">
        <v>1109</v>
      </c>
      <c r="J628" t="s">
        <v>870</v>
      </c>
      <c r="K628">
        <v>3.09</v>
      </c>
      <c r="L628">
        <v>7.93</v>
      </c>
      <c r="M628">
        <v>5.51</v>
      </c>
      <c r="N628" s="20">
        <v>0.31</v>
      </c>
      <c r="O628">
        <v>10.95</v>
      </c>
      <c r="P628">
        <v>31.44</v>
      </c>
      <c r="Q628">
        <v>12.66</v>
      </c>
      <c r="R628" s="21">
        <v>17929.021000000001</v>
      </c>
    </row>
    <row r="629" spans="7:18" x14ac:dyDescent="0.15">
      <c r="G629" s="11">
        <v>628</v>
      </c>
      <c r="H629" t="s">
        <v>527</v>
      </c>
      <c r="I629" t="s">
        <v>1058</v>
      </c>
      <c r="J629" t="s">
        <v>870</v>
      </c>
      <c r="K629">
        <v>-1.04</v>
      </c>
      <c r="L629">
        <v>1.0900000000000001</v>
      </c>
      <c r="M629">
        <v>5.31</v>
      </c>
      <c r="N629" s="20">
        <v>0.28000000000000003</v>
      </c>
      <c r="O629">
        <v>10.81</v>
      </c>
      <c r="P629">
        <v>30.16</v>
      </c>
      <c r="Q629">
        <v>13.51</v>
      </c>
      <c r="R629" s="21">
        <v>5154.7916999999998</v>
      </c>
    </row>
    <row r="630" spans="7:18" x14ac:dyDescent="0.15">
      <c r="G630" s="11">
        <v>629</v>
      </c>
      <c r="H630" t="s">
        <v>374</v>
      </c>
      <c r="I630" t="s">
        <v>1185</v>
      </c>
      <c r="J630" t="s">
        <v>1182</v>
      </c>
      <c r="K630">
        <v>0.21</v>
      </c>
      <c r="L630">
        <v>-0.06</v>
      </c>
      <c r="M630">
        <v>0.76</v>
      </c>
      <c r="N630" s="20">
        <v>0.08</v>
      </c>
      <c r="O630">
        <v>10.67</v>
      </c>
      <c r="P630">
        <v>12.8</v>
      </c>
      <c r="Q630">
        <v>30.73</v>
      </c>
      <c r="R630" s="21">
        <v>22754.811699999998</v>
      </c>
    </row>
    <row r="631" spans="7:18" x14ac:dyDescent="0.15">
      <c r="G631" s="11">
        <v>630</v>
      </c>
      <c r="H631" t="s">
        <v>674</v>
      </c>
      <c r="I631" t="s">
        <v>1084</v>
      </c>
      <c r="J631" t="s">
        <v>870</v>
      </c>
      <c r="K631">
        <v>0.1</v>
      </c>
      <c r="L631">
        <v>-0.04</v>
      </c>
      <c r="M631">
        <v>4.68</v>
      </c>
      <c r="N631" s="20">
        <v>0.22</v>
      </c>
      <c r="O631">
        <v>10.53</v>
      </c>
      <c r="P631">
        <v>26.46</v>
      </c>
      <c r="Q631">
        <v>16.93</v>
      </c>
      <c r="R631" s="21">
        <v>10512.6196</v>
      </c>
    </row>
    <row r="632" spans="7:18" x14ac:dyDescent="0.15">
      <c r="G632" s="11">
        <v>631</v>
      </c>
      <c r="H632" t="s">
        <v>590</v>
      </c>
      <c r="I632" t="s">
        <v>1123</v>
      </c>
      <c r="J632" t="s">
        <v>870</v>
      </c>
      <c r="K632">
        <v>-0.93</v>
      </c>
      <c r="L632">
        <v>1.1000000000000001</v>
      </c>
      <c r="M632">
        <v>5.35</v>
      </c>
      <c r="N632" s="20">
        <v>0.35</v>
      </c>
      <c r="O632">
        <v>10.38</v>
      </c>
      <c r="P632">
        <v>30.58</v>
      </c>
      <c r="Q632">
        <v>12.52</v>
      </c>
      <c r="R632" s="21">
        <v>13596.311900000001</v>
      </c>
    </row>
    <row r="633" spans="7:18" x14ac:dyDescent="0.15">
      <c r="G633" s="11">
        <v>632</v>
      </c>
      <c r="H633" t="s">
        <v>757</v>
      </c>
      <c r="I633" t="s">
        <v>1320</v>
      </c>
      <c r="J633" t="s">
        <v>1288</v>
      </c>
      <c r="K633">
        <v>-3.06</v>
      </c>
      <c r="L633">
        <v>1.4</v>
      </c>
      <c r="M633">
        <v>6.36</v>
      </c>
      <c r="N633" s="20">
        <v>0.88</v>
      </c>
      <c r="O633">
        <v>10.24</v>
      </c>
      <c r="P633">
        <v>36.56</v>
      </c>
      <c r="Q633">
        <v>6.26</v>
      </c>
      <c r="R633" s="21">
        <v>10.255478200000001</v>
      </c>
    </row>
    <row r="634" spans="7:18" x14ac:dyDescent="0.15">
      <c r="G634" s="11">
        <v>633</v>
      </c>
      <c r="H634" t="s">
        <v>1325</v>
      </c>
      <c r="I634" t="s">
        <v>1326</v>
      </c>
      <c r="J634" t="s">
        <v>1688</v>
      </c>
      <c r="K634">
        <v>-1.04</v>
      </c>
      <c r="L634">
        <v>0.79</v>
      </c>
      <c r="M634">
        <v>5.09</v>
      </c>
      <c r="N634" s="20">
        <v>0.28000000000000003</v>
      </c>
      <c r="O634">
        <v>10.1</v>
      </c>
      <c r="P634">
        <v>29.45</v>
      </c>
      <c r="Q634">
        <v>13.37</v>
      </c>
      <c r="R634" s="21">
        <v>826.90189999999996</v>
      </c>
    </row>
    <row r="635" spans="7:18" x14ac:dyDescent="0.15">
      <c r="G635" s="11">
        <v>634</v>
      </c>
      <c r="H635" t="s">
        <v>604</v>
      </c>
      <c r="I635" t="s">
        <v>1113</v>
      </c>
      <c r="J635" t="s">
        <v>870</v>
      </c>
      <c r="K635">
        <v>1.53</v>
      </c>
      <c r="L635">
        <v>1.1499999999999999</v>
      </c>
      <c r="M635">
        <v>2.21</v>
      </c>
      <c r="N635" s="20">
        <v>0.11</v>
      </c>
      <c r="O635">
        <v>9.9600000000000009</v>
      </c>
      <c r="P635">
        <v>16.36</v>
      </c>
      <c r="Q635">
        <v>26.46</v>
      </c>
      <c r="R635" s="21">
        <v>4591.2876100000003</v>
      </c>
    </row>
    <row r="636" spans="7:18" x14ac:dyDescent="0.15">
      <c r="G636" s="11">
        <v>635</v>
      </c>
      <c r="H636" t="s">
        <v>619</v>
      </c>
      <c r="I636" t="s">
        <v>876</v>
      </c>
      <c r="J636" t="s">
        <v>870</v>
      </c>
      <c r="K636">
        <v>1.33</v>
      </c>
      <c r="L636">
        <v>5.04</v>
      </c>
      <c r="M636">
        <v>4.8899999999999997</v>
      </c>
      <c r="N636" s="20">
        <v>0.27</v>
      </c>
      <c r="O636">
        <v>9.82</v>
      </c>
      <c r="P636">
        <v>28.02</v>
      </c>
      <c r="Q636">
        <v>14.22</v>
      </c>
      <c r="R636" s="21">
        <v>145.9284103</v>
      </c>
    </row>
    <row r="637" spans="7:18" x14ac:dyDescent="0.15">
      <c r="G637" s="11">
        <v>636</v>
      </c>
      <c r="H637" t="s">
        <v>684</v>
      </c>
      <c r="I637" t="s">
        <v>1254</v>
      </c>
      <c r="J637" t="s">
        <v>1251</v>
      </c>
      <c r="K637">
        <v>0.64</v>
      </c>
      <c r="L637">
        <v>4.05</v>
      </c>
      <c r="M637">
        <v>6.33</v>
      </c>
      <c r="N637" s="20">
        <v>1.01</v>
      </c>
      <c r="O637">
        <v>9.67</v>
      </c>
      <c r="P637">
        <v>36.42</v>
      </c>
      <c r="Q637">
        <v>5.69</v>
      </c>
      <c r="R637" s="21">
        <v>143.78829999999999</v>
      </c>
    </row>
    <row r="638" spans="7:18" x14ac:dyDescent="0.15">
      <c r="G638" s="11">
        <v>637</v>
      </c>
      <c r="H638" t="s">
        <v>427</v>
      </c>
      <c r="I638" t="s">
        <v>1462</v>
      </c>
      <c r="J638" t="s">
        <v>1688</v>
      </c>
      <c r="K638">
        <v>0.06</v>
      </c>
      <c r="L638">
        <v>7.0000000000000007E-2</v>
      </c>
      <c r="M638">
        <v>0.13</v>
      </c>
      <c r="N638" s="20">
        <v>0.01</v>
      </c>
      <c r="O638">
        <v>9.5299999999999994</v>
      </c>
      <c r="P638">
        <v>8.5299999999999994</v>
      </c>
      <c r="Q638">
        <v>33.29</v>
      </c>
      <c r="R638" s="21">
        <v>408939.54889999999</v>
      </c>
    </row>
    <row r="639" spans="7:18" x14ac:dyDescent="0.15">
      <c r="G639" s="11">
        <v>638</v>
      </c>
      <c r="H639" t="s">
        <v>1562</v>
      </c>
      <c r="I639" t="s">
        <v>1563</v>
      </c>
      <c r="J639" t="s">
        <v>1688</v>
      </c>
      <c r="K639">
        <v>-1.64</v>
      </c>
      <c r="L639">
        <v>-1</v>
      </c>
      <c r="M639">
        <v>-0.66</v>
      </c>
      <c r="N639" s="20">
        <v>0</v>
      </c>
      <c r="O639">
        <v>9.39</v>
      </c>
      <c r="P639">
        <v>5.69</v>
      </c>
      <c r="Q639">
        <v>35.85</v>
      </c>
      <c r="R639" s="21">
        <v>559.20190000000002</v>
      </c>
    </row>
    <row r="640" spans="7:18" x14ac:dyDescent="0.15">
      <c r="G640" s="11">
        <v>639</v>
      </c>
      <c r="H640" t="s">
        <v>769</v>
      </c>
      <c r="I640" t="s">
        <v>1202</v>
      </c>
      <c r="J640" t="s">
        <v>1198</v>
      </c>
      <c r="K640">
        <v>-3.41</v>
      </c>
      <c r="L640">
        <v>3.23</v>
      </c>
      <c r="M640">
        <v>5.87</v>
      </c>
      <c r="N640" s="20">
        <v>0.6</v>
      </c>
      <c r="O640">
        <v>9.25</v>
      </c>
      <c r="P640">
        <v>33</v>
      </c>
      <c r="Q640">
        <v>7.97</v>
      </c>
      <c r="R640" s="21">
        <v>1128.46118</v>
      </c>
    </row>
    <row r="641" spans="7:18" x14ac:dyDescent="0.15">
      <c r="G641" s="11">
        <v>640</v>
      </c>
      <c r="H641" t="s">
        <v>312</v>
      </c>
      <c r="I641" t="s">
        <v>841</v>
      </c>
      <c r="J641" t="s">
        <v>833</v>
      </c>
      <c r="K641">
        <v>0.51</v>
      </c>
      <c r="L641">
        <v>1.49</v>
      </c>
      <c r="M641">
        <v>3.31</v>
      </c>
      <c r="N641" s="20">
        <v>0.19</v>
      </c>
      <c r="O641">
        <v>9.1</v>
      </c>
      <c r="P641">
        <v>20.91</v>
      </c>
      <c r="Q641">
        <v>19.91</v>
      </c>
      <c r="R641" s="21">
        <v>76.866100000000003</v>
      </c>
    </row>
    <row r="642" spans="7:18" x14ac:dyDescent="0.15">
      <c r="G642" s="11">
        <v>641</v>
      </c>
      <c r="H642" t="s">
        <v>557</v>
      </c>
      <c r="I642" t="s">
        <v>1027</v>
      </c>
      <c r="J642" t="s">
        <v>870</v>
      </c>
      <c r="K642">
        <v>0.03</v>
      </c>
      <c r="L642">
        <v>3.06</v>
      </c>
      <c r="M642">
        <v>2.81</v>
      </c>
      <c r="N642" s="20">
        <v>0.17</v>
      </c>
      <c r="O642">
        <v>8.9600000000000009</v>
      </c>
      <c r="P642">
        <v>18.78</v>
      </c>
      <c r="Q642">
        <v>21.62</v>
      </c>
      <c r="R642" s="21">
        <v>2056.0145000000002</v>
      </c>
    </row>
    <row r="643" spans="7:18" x14ac:dyDescent="0.15">
      <c r="G643" s="11">
        <v>642</v>
      </c>
      <c r="H643" t="s">
        <v>439</v>
      </c>
      <c r="I643" t="s">
        <v>268</v>
      </c>
      <c r="J643" t="s">
        <v>1242</v>
      </c>
      <c r="K643">
        <v>2.2799999999999998</v>
      </c>
      <c r="L643">
        <v>3.11</v>
      </c>
      <c r="M643">
        <v>5.92</v>
      </c>
      <c r="N643" s="20">
        <v>0.63</v>
      </c>
      <c r="O643">
        <v>8.82</v>
      </c>
      <c r="P643">
        <v>33.14</v>
      </c>
      <c r="Q643">
        <v>7.25</v>
      </c>
      <c r="R643" s="21">
        <v>596.6040309</v>
      </c>
    </row>
    <row r="644" spans="7:18" x14ac:dyDescent="0.15">
      <c r="G644" s="11">
        <v>643</v>
      </c>
      <c r="H644" t="s">
        <v>321</v>
      </c>
      <c r="I644" t="s">
        <v>1439</v>
      </c>
      <c r="J644" t="s">
        <v>1688</v>
      </c>
      <c r="K644">
        <v>-0.04</v>
      </c>
      <c r="L644">
        <v>0.04</v>
      </c>
      <c r="M644">
        <v>0.12</v>
      </c>
      <c r="N644" s="20">
        <v>0.08</v>
      </c>
      <c r="O644">
        <v>8.68</v>
      </c>
      <c r="P644">
        <v>8.39</v>
      </c>
      <c r="Q644">
        <v>31.01</v>
      </c>
      <c r="R644" s="21">
        <v>7.4118000000000004</v>
      </c>
    </row>
    <row r="645" spans="7:18" x14ac:dyDescent="0.15">
      <c r="G645" s="11">
        <v>644</v>
      </c>
      <c r="H645" t="s">
        <v>731</v>
      </c>
      <c r="I645" t="s">
        <v>1032</v>
      </c>
      <c r="J645" t="s">
        <v>870</v>
      </c>
      <c r="K645">
        <v>0.02</v>
      </c>
      <c r="L645">
        <v>3.04</v>
      </c>
      <c r="M645">
        <v>2.7</v>
      </c>
      <c r="N645" s="20">
        <v>0.18</v>
      </c>
      <c r="O645">
        <v>8.5299999999999994</v>
      </c>
      <c r="P645">
        <v>18.21</v>
      </c>
      <c r="Q645">
        <v>20.48</v>
      </c>
      <c r="R645" s="21">
        <v>1643.6713999999999</v>
      </c>
    </row>
    <row r="646" spans="7:18" x14ac:dyDescent="0.15">
      <c r="G646" s="11">
        <v>645</v>
      </c>
      <c r="H646" t="s">
        <v>490</v>
      </c>
      <c r="I646" t="s">
        <v>1158</v>
      </c>
      <c r="J646" t="s">
        <v>870</v>
      </c>
      <c r="K646">
        <v>-1.26</v>
      </c>
      <c r="L646">
        <v>-2.0299999999999998</v>
      </c>
      <c r="M646">
        <v>-0.52</v>
      </c>
      <c r="N646" s="20">
        <v>0.08</v>
      </c>
      <c r="O646">
        <v>8.39</v>
      </c>
      <c r="P646">
        <v>5.83</v>
      </c>
      <c r="Q646">
        <v>30.44</v>
      </c>
      <c r="R646" s="21">
        <v>67616.432884900001</v>
      </c>
    </row>
    <row r="647" spans="7:18" x14ac:dyDescent="0.15">
      <c r="G647" s="11">
        <v>646</v>
      </c>
      <c r="H647" t="s">
        <v>614</v>
      </c>
      <c r="I647" t="s">
        <v>1009</v>
      </c>
      <c r="J647" t="s">
        <v>870</v>
      </c>
      <c r="K647">
        <v>0.65</v>
      </c>
      <c r="L647">
        <v>2.0099999999999998</v>
      </c>
      <c r="M647">
        <v>5.14</v>
      </c>
      <c r="N647" s="20">
        <v>0.76</v>
      </c>
      <c r="O647">
        <v>8.25</v>
      </c>
      <c r="P647">
        <v>29.59</v>
      </c>
      <c r="Q647">
        <v>6.54</v>
      </c>
      <c r="R647" s="21">
        <v>3495.9218999999998</v>
      </c>
    </row>
    <row r="648" spans="7:18" x14ac:dyDescent="0.15">
      <c r="G648" s="11">
        <v>647</v>
      </c>
      <c r="H648" t="s">
        <v>318</v>
      </c>
      <c r="I648" t="s">
        <v>1099</v>
      </c>
      <c r="J648" t="s">
        <v>1251</v>
      </c>
      <c r="K648">
        <v>3.04</v>
      </c>
      <c r="L648">
        <v>8.1</v>
      </c>
      <c r="M648">
        <v>5.73</v>
      </c>
      <c r="N648" s="20">
        <v>2.2799999999999998</v>
      </c>
      <c r="O648">
        <v>8.11</v>
      </c>
      <c r="P648">
        <v>32.29</v>
      </c>
      <c r="Q648">
        <v>3.41</v>
      </c>
      <c r="R648" s="21">
        <v>119.86579999999999</v>
      </c>
    </row>
    <row r="649" spans="7:18" x14ac:dyDescent="0.15">
      <c r="G649" s="11">
        <v>648</v>
      </c>
      <c r="H649" t="s">
        <v>336</v>
      </c>
      <c r="I649" t="s">
        <v>1258</v>
      </c>
      <c r="J649" t="s">
        <v>1251</v>
      </c>
      <c r="K649">
        <v>-0.31</v>
      </c>
      <c r="L649">
        <v>0.08</v>
      </c>
      <c r="M649">
        <v>1.1000000000000001</v>
      </c>
      <c r="N649" s="20">
        <v>0.17</v>
      </c>
      <c r="O649">
        <v>7.97</v>
      </c>
      <c r="P649">
        <v>14.08</v>
      </c>
      <c r="Q649">
        <v>21.48</v>
      </c>
      <c r="R649" s="21">
        <v>53.824354799999995</v>
      </c>
    </row>
    <row r="650" spans="7:18" x14ac:dyDescent="0.15">
      <c r="G650" s="11">
        <v>649</v>
      </c>
      <c r="H650" t="s">
        <v>1520</v>
      </c>
      <c r="I650" t="s">
        <v>1521</v>
      </c>
      <c r="J650" t="s">
        <v>1688</v>
      </c>
      <c r="K650">
        <v>0.01</v>
      </c>
      <c r="L650">
        <v>2.9</v>
      </c>
      <c r="M650">
        <v>2.5</v>
      </c>
      <c r="N650" s="20">
        <v>0.21</v>
      </c>
      <c r="O650">
        <v>7.82</v>
      </c>
      <c r="P650">
        <v>17.07</v>
      </c>
      <c r="Q650">
        <v>18.350000000000001</v>
      </c>
      <c r="R650" s="21">
        <v>1062.8046999999999</v>
      </c>
    </row>
    <row r="651" spans="7:18" x14ac:dyDescent="0.15">
      <c r="G651" s="11">
        <v>650</v>
      </c>
      <c r="H651" t="s">
        <v>644</v>
      </c>
      <c r="I651" t="s">
        <v>1310</v>
      </c>
      <c r="J651" t="s">
        <v>1288</v>
      </c>
      <c r="K651">
        <v>-2.78</v>
      </c>
      <c r="L651">
        <v>-0.52</v>
      </c>
      <c r="M651">
        <v>3.83</v>
      </c>
      <c r="N651" s="20">
        <v>0.37</v>
      </c>
      <c r="O651">
        <v>7.68</v>
      </c>
      <c r="P651">
        <v>23.04</v>
      </c>
      <c r="Q651">
        <v>11.81</v>
      </c>
      <c r="R651" s="21">
        <v>16551.340199999999</v>
      </c>
    </row>
    <row r="652" spans="7:18" x14ac:dyDescent="0.15">
      <c r="G652" s="11">
        <v>651</v>
      </c>
      <c r="H652" t="s">
        <v>592</v>
      </c>
      <c r="I652" t="s">
        <v>1034</v>
      </c>
      <c r="J652" t="s">
        <v>870</v>
      </c>
      <c r="K652">
        <v>-0.66</v>
      </c>
      <c r="L652">
        <v>-0.73</v>
      </c>
      <c r="M652">
        <v>3.03</v>
      </c>
      <c r="N652" s="20">
        <v>0.26</v>
      </c>
      <c r="O652">
        <v>7.54</v>
      </c>
      <c r="P652">
        <v>19.63</v>
      </c>
      <c r="Q652">
        <v>15.22</v>
      </c>
      <c r="R652" s="21">
        <v>2295.2970999999998</v>
      </c>
    </row>
    <row r="653" spans="7:18" x14ac:dyDescent="0.15">
      <c r="G653" s="11">
        <v>652</v>
      </c>
      <c r="H653" t="s">
        <v>644</v>
      </c>
      <c r="I653" t="s">
        <v>1143</v>
      </c>
      <c r="J653" t="s">
        <v>870</v>
      </c>
      <c r="K653">
        <v>-2.78</v>
      </c>
      <c r="L653">
        <v>-0.52</v>
      </c>
      <c r="M653">
        <v>3.83</v>
      </c>
      <c r="N653" s="20">
        <v>0.37</v>
      </c>
      <c r="O653">
        <v>7.4</v>
      </c>
      <c r="P653">
        <v>23.19</v>
      </c>
      <c r="Q653">
        <v>11.52</v>
      </c>
      <c r="R653" s="21">
        <v>16551.340199999999</v>
      </c>
    </row>
    <row r="654" spans="7:18" x14ac:dyDescent="0.15">
      <c r="G654" s="11">
        <v>653</v>
      </c>
      <c r="H654" t="s">
        <v>1649</v>
      </c>
      <c r="I654" t="s">
        <v>1650</v>
      </c>
      <c r="J654" t="s">
        <v>1688</v>
      </c>
      <c r="K654">
        <v>-0.04</v>
      </c>
      <c r="L654">
        <v>0.44</v>
      </c>
      <c r="M654">
        <v>4.55</v>
      </c>
      <c r="N654" s="20">
        <v>0.5</v>
      </c>
      <c r="O654">
        <v>7.25</v>
      </c>
      <c r="P654">
        <v>26.03</v>
      </c>
      <c r="Q654">
        <v>8.68</v>
      </c>
      <c r="R654" s="21">
        <v>86.966899999999995</v>
      </c>
    </row>
    <row r="655" spans="7:18" x14ac:dyDescent="0.15">
      <c r="G655" s="11">
        <v>654</v>
      </c>
      <c r="H655" t="s">
        <v>432</v>
      </c>
      <c r="I655" t="s">
        <v>1189</v>
      </c>
      <c r="J655" t="s">
        <v>1319</v>
      </c>
      <c r="K655">
        <v>19.559999999999999</v>
      </c>
      <c r="L655">
        <v>13.05</v>
      </c>
      <c r="M655">
        <v>-43.18</v>
      </c>
      <c r="N655" s="20">
        <v>0</v>
      </c>
      <c r="O655">
        <v>7.11</v>
      </c>
      <c r="P655">
        <v>0.14000000000000001</v>
      </c>
      <c r="Q655">
        <v>34.28</v>
      </c>
      <c r="R655" s="21">
        <v>4602.5646999999999</v>
      </c>
    </row>
    <row r="656" spans="7:18" x14ac:dyDescent="0.15">
      <c r="G656" s="11">
        <v>655</v>
      </c>
      <c r="H656" t="s">
        <v>487</v>
      </c>
      <c r="I656" t="s">
        <v>1246</v>
      </c>
      <c r="J656" t="s">
        <v>1242</v>
      </c>
      <c r="K656">
        <v>0.49</v>
      </c>
      <c r="L656">
        <v>2.12</v>
      </c>
      <c r="M656">
        <v>4.4400000000000004</v>
      </c>
      <c r="N656" s="20">
        <v>0.56999999999999995</v>
      </c>
      <c r="O656">
        <v>6.97</v>
      </c>
      <c r="P656">
        <v>25.6</v>
      </c>
      <c r="Q656">
        <v>8.25</v>
      </c>
      <c r="R656" s="21">
        <v>24.314789999999999</v>
      </c>
    </row>
    <row r="657" spans="7:18" x14ac:dyDescent="0.15">
      <c r="G657" s="11">
        <v>656</v>
      </c>
      <c r="H657" t="s">
        <v>1530</v>
      </c>
      <c r="I657" t="s">
        <v>1531</v>
      </c>
      <c r="J657" t="s">
        <v>1688</v>
      </c>
      <c r="K657">
        <v>-1.07</v>
      </c>
      <c r="L657">
        <v>0.56000000000000005</v>
      </c>
      <c r="M657">
        <v>0.81</v>
      </c>
      <c r="N657" s="20">
        <v>0.19</v>
      </c>
      <c r="O657">
        <v>6.83</v>
      </c>
      <c r="P657">
        <v>13.37</v>
      </c>
      <c r="Q657">
        <v>20.059999999999999</v>
      </c>
      <c r="R657" s="21">
        <v>214.52269999999999</v>
      </c>
    </row>
    <row r="658" spans="7:18" x14ac:dyDescent="0.15">
      <c r="G658" s="11">
        <v>657</v>
      </c>
      <c r="H658" t="s">
        <v>750</v>
      </c>
      <c r="I658" t="s">
        <v>1307</v>
      </c>
      <c r="J658" t="s">
        <v>1288</v>
      </c>
      <c r="K658">
        <v>-3.22</v>
      </c>
      <c r="L658">
        <v>-0.64</v>
      </c>
      <c r="M658">
        <v>3.62</v>
      </c>
      <c r="N658" s="20">
        <v>0.38</v>
      </c>
      <c r="O658">
        <v>6.69</v>
      </c>
      <c r="P658">
        <v>21.48</v>
      </c>
      <c r="Q658">
        <v>11.38</v>
      </c>
      <c r="R658" s="21">
        <v>6666.7816999999995</v>
      </c>
    </row>
    <row r="659" spans="7:18" x14ac:dyDescent="0.15">
      <c r="G659" s="11">
        <v>658</v>
      </c>
      <c r="H659" t="s">
        <v>1474</v>
      </c>
      <c r="I659" t="s">
        <v>1475</v>
      </c>
      <c r="J659" t="s">
        <v>1688</v>
      </c>
      <c r="K659">
        <v>0.18</v>
      </c>
      <c r="L659">
        <v>-0.98</v>
      </c>
      <c r="M659">
        <v>4.1100000000000003</v>
      </c>
      <c r="N659" s="20">
        <v>0.54</v>
      </c>
      <c r="O659">
        <v>6.54</v>
      </c>
      <c r="P659">
        <v>24.18</v>
      </c>
      <c r="Q659">
        <v>8.5299999999999994</v>
      </c>
      <c r="R659" s="21">
        <v>628.68099000000007</v>
      </c>
    </row>
    <row r="660" spans="7:18" x14ac:dyDescent="0.15">
      <c r="G660" s="11">
        <v>659</v>
      </c>
      <c r="H660" t="s">
        <v>415</v>
      </c>
      <c r="I660" t="s">
        <v>1274</v>
      </c>
      <c r="J660" t="s">
        <v>1251</v>
      </c>
      <c r="K660">
        <v>0.76</v>
      </c>
      <c r="L660">
        <v>2.6</v>
      </c>
      <c r="M660">
        <v>4.87</v>
      </c>
      <c r="N660" s="20">
        <v>1.38</v>
      </c>
      <c r="O660">
        <v>6.4</v>
      </c>
      <c r="P660">
        <v>27.88</v>
      </c>
      <c r="Q660">
        <v>4.6900000000000004</v>
      </c>
      <c r="R660" s="21">
        <v>5957.1395564000004</v>
      </c>
    </row>
    <row r="661" spans="7:18" x14ac:dyDescent="0.15">
      <c r="G661" s="11">
        <v>660</v>
      </c>
      <c r="H661" t="s">
        <v>477</v>
      </c>
      <c r="I661" t="s">
        <v>1025</v>
      </c>
      <c r="J661" t="s">
        <v>870</v>
      </c>
      <c r="K661">
        <v>-1.81</v>
      </c>
      <c r="L661">
        <v>-0.35</v>
      </c>
      <c r="M661">
        <v>-0.26</v>
      </c>
      <c r="N661" s="20">
        <v>0.12</v>
      </c>
      <c r="O661">
        <v>6.26</v>
      </c>
      <c r="P661">
        <v>5.97</v>
      </c>
      <c r="Q661">
        <v>25.32</v>
      </c>
      <c r="R661" s="21">
        <v>2283.4265999999998</v>
      </c>
    </row>
    <row r="662" spans="7:18" x14ac:dyDescent="0.15">
      <c r="G662" s="11">
        <v>661</v>
      </c>
      <c r="H662" t="s">
        <v>729</v>
      </c>
      <c r="I662" t="s">
        <v>1249</v>
      </c>
      <c r="J662" t="s">
        <v>1242</v>
      </c>
      <c r="K662">
        <v>0.48</v>
      </c>
      <c r="L662">
        <v>2.1</v>
      </c>
      <c r="M662">
        <v>4.1399999999999997</v>
      </c>
      <c r="N662" s="20">
        <v>0.72</v>
      </c>
      <c r="O662">
        <v>6.12</v>
      </c>
      <c r="P662">
        <v>24.32</v>
      </c>
      <c r="Q662">
        <v>6.83</v>
      </c>
      <c r="R662" s="21">
        <v>2153.2379839</v>
      </c>
    </row>
    <row r="663" spans="7:18" x14ac:dyDescent="0.15">
      <c r="G663" s="11">
        <v>662</v>
      </c>
      <c r="H663" t="s">
        <v>622</v>
      </c>
      <c r="I663" t="s">
        <v>1298</v>
      </c>
      <c r="J663" t="s">
        <v>1288</v>
      </c>
      <c r="K663">
        <v>-5.51</v>
      </c>
      <c r="L663">
        <v>-7.17</v>
      </c>
      <c r="M663">
        <v>-5.61</v>
      </c>
      <c r="N663" s="20">
        <v>0.1</v>
      </c>
      <c r="O663">
        <v>5.97</v>
      </c>
      <c r="P663">
        <v>3.13</v>
      </c>
      <c r="Q663">
        <v>27.88</v>
      </c>
      <c r="R663" s="21">
        <v>489.4778</v>
      </c>
    </row>
    <row r="664" spans="7:18" x14ac:dyDescent="0.15">
      <c r="G664" s="11">
        <v>663</v>
      </c>
      <c r="H664" t="s">
        <v>736</v>
      </c>
      <c r="I664" t="s">
        <v>1300</v>
      </c>
      <c r="J664" t="s">
        <v>1288</v>
      </c>
      <c r="K664">
        <v>-5.25</v>
      </c>
      <c r="L664">
        <v>-7.02</v>
      </c>
      <c r="M664">
        <v>-5.58</v>
      </c>
      <c r="N664" s="20">
        <v>0.11</v>
      </c>
      <c r="O664">
        <v>5.83</v>
      </c>
      <c r="P664">
        <v>3.27</v>
      </c>
      <c r="Q664">
        <v>27.03</v>
      </c>
      <c r="R664" s="21">
        <v>778.72900000000004</v>
      </c>
    </row>
    <row r="665" spans="7:18" x14ac:dyDescent="0.15">
      <c r="G665" s="11">
        <v>664</v>
      </c>
      <c r="H665" t="s">
        <v>554</v>
      </c>
      <c r="I665" t="s">
        <v>1248</v>
      </c>
      <c r="J665" t="s">
        <v>1242</v>
      </c>
      <c r="K665">
        <v>0.23</v>
      </c>
      <c r="L665">
        <v>1.9</v>
      </c>
      <c r="M665">
        <v>4.08</v>
      </c>
      <c r="N665" s="20">
        <v>1.59</v>
      </c>
      <c r="O665">
        <v>5.69</v>
      </c>
      <c r="P665">
        <v>23.9</v>
      </c>
      <c r="Q665">
        <v>4.41</v>
      </c>
      <c r="R665" s="21">
        <v>1555.2201752999999</v>
      </c>
    </row>
    <row r="666" spans="7:18" x14ac:dyDescent="0.15">
      <c r="G666" s="11">
        <v>665</v>
      </c>
      <c r="H666" t="s">
        <v>454</v>
      </c>
      <c r="I666" t="s">
        <v>1164</v>
      </c>
      <c r="J666" t="s">
        <v>870</v>
      </c>
      <c r="K666">
        <v>-1.53</v>
      </c>
      <c r="L666">
        <v>-2.9</v>
      </c>
      <c r="M666">
        <v>0.61</v>
      </c>
      <c r="N666" s="20">
        <v>0.21</v>
      </c>
      <c r="O666">
        <v>5.55</v>
      </c>
      <c r="P666">
        <v>10.53</v>
      </c>
      <c r="Q666">
        <v>17.64</v>
      </c>
      <c r="R666" s="21">
        <v>53585.453500000003</v>
      </c>
    </row>
    <row r="667" spans="7:18" x14ac:dyDescent="0.15">
      <c r="G667" s="11">
        <v>666</v>
      </c>
      <c r="H667" t="s">
        <v>459</v>
      </c>
      <c r="I667" t="s">
        <v>262</v>
      </c>
      <c r="J667" t="s">
        <v>1242</v>
      </c>
      <c r="K667">
        <v>0.6</v>
      </c>
      <c r="L667">
        <v>2.46</v>
      </c>
      <c r="M667">
        <v>3.72</v>
      </c>
      <c r="N667" s="20">
        <v>1.04</v>
      </c>
      <c r="O667">
        <v>5.41</v>
      </c>
      <c r="P667">
        <v>22.19</v>
      </c>
      <c r="Q667">
        <v>5.55</v>
      </c>
      <c r="R667" s="21">
        <v>1296.6527280999999</v>
      </c>
    </row>
    <row r="668" spans="7:18" x14ac:dyDescent="0.15">
      <c r="G668" s="11">
        <v>667</v>
      </c>
      <c r="H668" t="s">
        <v>466</v>
      </c>
      <c r="I668" t="s">
        <v>1075</v>
      </c>
      <c r="J668" t="s">
        <v>870</v>
      </c>
      <c r="K668">
        <v>-1.27</v>
      </c>
      <c r="L668">
        <v>-2.2400000000000002</v>
      </c>
      <c r="M668">
        <v>-0.82</v>
      </c>
      <c r="N668" s="20">
        <v>0.17</v>
      </c>
      <c r="O668">
        <v>5.26</v>
      </c>
      <c r="P668">
        <v>5.41</v>
      </c>
      <c r="Q668">
        <v>21.76</v>
      </c>
      <c r="R668" s="21">
        <v>3624.9029299999997</v>
      </c>
    </row>
    <row r="669" spans="7:18" x14ac:dyDescent="0.15">
      <c r="G669" s="11">
        <v>668</v>
      </c>
      <c r="H669" t="s">
        <v>1568</v>
      </c>
      <c r="I669" t="s">
        <v>1569</v>
      </c>
      <c r="J669" t="s">
        <v>1688</v>
      </c>
      <c r="K669">
        <v>-5.26</v>
      </c>
      <c r="L669">
        <v>-5.3</v>
      </c>
      <c r="M669">
        <v>-1.29</v>
      </c>
      <c r="N669" s="20">
        <v>0.2</v>
      </c>
      <c r="O669">
        <v>5.12</v>
      </c>
      <c r="P669">
        <v>5.26</v>
      </c>
      <c r="Q669">
        <v>19.059999999999999</v>
      </c>
      <c r="R669" s="21">
        <v>1459.9945</v>
      </c>
    </row>
    <row r="670" spans="7:18" x14ac:dyDescent="0.15">
      <c r="G670" s="11">
        <v>669</v>
      </c>
      <c r="H670" t="s">
        <v>588</v>
      </c>
      <c r="I670" t="s">
        <v>1264</v>
      </c>
      <c r="J670" t="s">
        <v>1251</v>
      </c>
      <c r="K670">
        <v>0.55000000000000004</v>
      </c>
      <c r="L670">
        <v>1.68</v>
      </c>
      <c r="M670">
        <v>2.4500000000000002</v>
      </c>
      <c r="N670" s="20">
        <v>0.86</v>
      </c>
      <c r="O670">
        <v>4.9800000000000004</v>
      </c>
      <c r="P670">
        <v>16.79</v>
      </c>
      <c r="Q670">
        <v>6.4</v>
      </c>
      <c r="R670" s="21">
        <v>181.3831955</v>
      </c>
    </row>
    <row r="671" spans="7:18" x14ac:dyDescent="0.15">
      <c r="G671" s="11">
        <v>670</v>
      </c>
      <c r="H671" t="s">
        <v>306</v>
      </c>
      <c r="I671" t="s">
        <v>1262</v>
      </c>
      <c r="J671" t="s">
        <v>1251</v>
      </c>
      <c r="K671">
        <v>1.45</v>
      </c>
      <c r="L671">
        <v>3.08</v>
      </c>
      <c r="M671">
        <v>3.19</v>
      </c>
      <c r="N671" s="20">
        <v>2.84</v>
      </c>
      <c r="O671">
        <v>4.84</v>
      </c>
      <c r="P671">
        <v>20.34</v>
      </c>
      <c r="Q671">
        <v>2.84</v>
      </c>
      <c r="R671" s="21">
        <v>818.47736509999993</v>
      </c>
    </row>
    <row r="672" spans="7:18" x14ac:dyDescent="0.15">
      <c r="G672" s="11">
        <v>671</v>
      </c>
      <c r="H672" t="s">
        <v>340</v>
      </c>
      <c r="I672" t="s">
        <v>263</v>
      </c>
      <c r="J672" t="s">
        <v>1242</v>
      </c>
      <c r="K672">
        <v>-0.46</v>
      </c>
      <c r="L672">
        <v>-0.89</v>
      </c>
      <c r="M672">
        <v>2.17</v>
      </c>
      <c r="N672" s="20">
        <v>0.71</v>
      </c>
      <c r="O672">
        <v>4.6900000000000004</v>
      </c>
      <c r="P672">
        <v>16.07</v>
      </c>
      <c r="Q672">
        <v>6.97</v>
      </c>
      <c r="R672" s="21">
        <v>970.74072809999996</v>
      </c>
    </row>
    <row r="673" spans="7:18" x14ac:dyDescent="0.15">
      <c r="G673" s="11">
        <v>672</v>
      </c>
      <c r="H673" t="s">
        <v>408</v>
      </c>
      <c r="I673" t="s">
        <v>270</v>
      </c>
      <c r="J673" t="s">
        <v>1242</v>
      </c>
      <c r="K673">
        <v>0.02</v>
      </c>
      <c r="L673">
        <v>0.64</v>
      </c>
      <c r="M673">
        <v>1.2</v>
      </c>
      <c r="N673" s="20">
        <v>0.56000000000000005</v>
      </c>
      <c r="O673">
        <v>4.55</v>
      </c>
      <c r="P673">
        <v>14.37</v>
      </c>
      <c r="Q673">
        <v>8.39</v>
      </c>
      <c r="R673" s="21">
        <v>86.638069999999999</v>
      </c>
    </row>
    <row r="674" spans="7:18" x14ac:dyDescent="0.15">
      <c r="G674" s="11">
        <v>673</v>
      </c>
      <c r="H674" t="s">
        <v>1556</v>
      </c>
      <c r="I674" t="s">
        <v>1557</v>
      </c>
      <c r="J674" t="s">
        <v>1688</v>
      </c>
      <c r="K674">
        <v>-2.9</v>
      </c>
      <c r="L674">
        <v>-3.63</v>
      </c>
      <c r="M674">
        <v>-2.2599999999999998</v>
      </c>
      <c r="N674" s="20">
        <v>0.2</v>
      </c>
      <c r="O674">
        <v>4.41</v>
      </c>
      <c r="P674">
        <v>3.98</v>
      </c>
      <c r="Q674">
        <v>18.63</v>
      </c>
      <c r="R674" s="21">
        <v>439.54110999999995</v>
      </c>
    </row>
    <row r="675" spans="7:18" x14ac:dyDescent="0.15">
      <c r="G675" s="11">
        <v>674</v>
      </c>
      <c r="H675" t="s">
        <v>1395</v>
      </c>
      <c r="I675" t="s">
        <v>1396</v>
      </c>
      <c r="J675" t="s">
        <v>1688</v>
      </c>
      <c r="K675">
        <v>-1.24</v>
      </c>
      <c r="L675">
        <v>-1.85</v>
      </c>
      <c r="M675">
        <v>0.93</v>
      </c>
      <c r="N675" s="20">
        <v>0.57999999999999996</v>
      </c>
      <c r="O675">
        <v>4.2699999999999996</v>
      </c>
      <c r="P675">
        <v>13.51</v>
      </c>
      <c r="Q675">
        <v>8.11</v>
      </c>
      <c r="R675" s="21">
        <v>551.25919999999996</v>
      </c>
    </row>
    <row r="676" spans="7:18" x14ac:dyDescent="0.15">
      <c r="G676" s="11">
        <v>675</v>
      </c>
      <c r="H676" t="s">
        <v>724</v>
      </c>
      <c r="I676" t="s">
        <v>1293</v>
      </c>
      <c r="J676" t="s">
        <v>1288</v>
      </c>
      <c r="K676">
        <v>-3.69</v>
      </c>
      <c r="L676">
        <v>-1.74</v>
      </c>
      <c r="M676">
        <v>1.07</v>
      </c>
      <c r="N676" s="20">
        <v>0.61</v>
      </c>
      <c r="O676">
        <v>4.13</v>
      </c>
      <c r="P676">
        <v>13.66</v>
      </c>
      <c r="Q676">
        <v>7.82</v>
      </c>
      <c r="R676" s="21">
        <v>38.017000000000003</v>
      </c>
    </row>
    <row r="677" spans="7:18" x14ac:dyDescent="0.15">
      <c r="G677" s="11">
        <v>676</v>
      </c>
      <c r="H677" t="s">
        <v>550</v>
      </c>
      <c r="I677" t="s">
        <v>1060</v>
      </c>
      <c r="J677" t="s">
        <v>870</v>
      </c>
      <c r="K677">
        <v>-0.16</v>
      </c>
      <c r="L677">
        <v>-0.1</v>
      </c>
      <c r="M677">
        <v>-6.21</v>
      </c>
      <c r="N677" s="20">
        <v>0.21</v>
      </c>
      <c r="O677">
        <v>3.98</v>
      </c>
      <c r="P677">
        <v>2.56</v>
      </c>
      <c r="Q677">
        <v>18.07</v>
      </c>
      <c r="R677" s="21">
        <v>2070.5587999999998</v>
      </c>
    </row>
    <row r="678" spans="7:18" x14ac:dyDescent="0.15">
      <c r="G678" s="11">
        <v>677</v>
      </c>
      <c r="H678" t="s">
        <v>379</v>
      </c>
      <c r="I678" t="s">
        <v>1270</v>
      </c>
      <c r="J678" t="s">
        <v>1251</v>
      </c>
      <c r="K678">
        <v>0.84</v>
      </c>
      <c r="L678">
        <v>1.65</v>
      </c>
      <c r="M678">
        <v>2.34</v>
      </c>
      <c r="N678" s="20">
        <v>2.21</v>
      </c>
      <c r="O678">
        <v>3.84</v>
      </c>
      <c r="P678">
        <v>16.64</v>
      </c>
      <c r="Q678">
        <v>3.56</v>
      </c>
      <c r="R678" s="21">
        <v>415.381574</v>
      </c>
    </row>
    <row r="679" spans="7:18" x14ac:dyDescent="0.15">
      <c r="G679" s="11">
        <v>678</v>
      </c>
      <c r="H679" t="s">
        <v>1681</v>
      </c>
      <c r="I679" t="s">
        <v>1682</v>
      </c>
      <c r="J679" t="s">
        <v>1688</v>
      </c>
      <c r="K679">
        <v>-7.87</v>
      </c>
      <c r="L679">
        <v>-9.2100000000000009</v>
      </c>
      <c r="M679">
        <v>-6.07</v>
      </c>
      <c r="N679" s="20">
        <v>0.22</v>
      </c>
      <c r="O679">
        <v>3.7</v>
      </c>
      <c r="P679">
        <v>2.7</v>
      </c>
      <c r="Q679">
        <v>17.350000000000001</v>
      </c>
      <c r="R679" s="21">
        <v>1963.1911</v>
      </c>
    </row>
    <row r="680" spans="7:18" x14ac:dyDescent="0.15">
      <c r="G680" s="11">
        <v>679</v>
      </c>
      <c r="H680" t="s">
        <v>376</v>
      </c>
      <c r="I680" t="s">
        <v>1263</v>
      </c>
      <c r="J680" t="s">
        <v>1251</v>
      </c>
      <c r="K680">
        <v>0.35</v>
      </c>
      <c r="L680">
        <v>0.96</v>
      </c>
      <c r="M680">
        <v>1.8</v>
      </c>
      <c r="N680" s="20">
        <v>1.74</v>
      </c>
      <c r="O680">
        <v>3.56</v>
      </c>
      <c r="P680">
        <v>15.36</v>
      </c>
      <c r="Q680">
        <v>4.13</v>
      </c>
      <c r="R680" s="21">
        <v>275.84611669999998</v>
      </c>
    </row>
    <row r="681" spans="7:18" x14ac:dyDescent="0.15">
      <c r="G681" s="11">
        <v>680</v>
      </c>
      <c r="H681" t="s">
        <v>721</v>
      </c>
      <c r="I681" t="s">
        <v>1094</v>
      </c>
      <c r="J681" t="s">
        <v>870</v>
      </c>
      <c r="K681">
        <v>7.0000000000000007E-2</v>
      </c>
      <c r="L681">
        <v>-0.16</v>
      </c>
      <c r="M681">
        <v>-8.1199999999999992</v>
      </c>
      <c r="N681" s="20">
        <v>0.21</v>
      </c>
      <c r="O681">
        <v>3.41</v>
      </c>
      <c r="P681">
        <v>0.56999999999999995</v>
      </c>
      <c r="Q681">
        <v>17.920000000000002</v>
      </c>
      <c r="R681" s="21">
        <v>3470.9068499999998</v>
      </c>
    </row>
    <row r="682" spans="7:18" x14ac:dyDescent="0.15">
      <c r="G682" s="11">
        <v>681</v>
      </c>
      <c r="H682" t="s">
        <v>1227</v>
      </c>
      <c r="I682" t="s">
        <v>1228</v>
      </c>
      <c r="J682" t="s">
        <v>1220</v>
      </c>
      <c r="K682">
        <v>1.95</v>
      </c>
      <c r="L682">
        <v>1.95</v>
      </c>
      <c r="M682">
        <v>1.95</v>
      </c>
      <c r="N682" s="20">
        <v>38.68</v>
      </c>
      <c r="O682">
        <v>3.27</v>
      </c>
      <c r="P682">
        <v>15.79</v>
      </c>
      <c r="Q682">
        <v>1.42</v>
      </c>
      <c r="R682" s="21">
        <v>1217.4357</v>
      </c>
    </row>
    <row r="683" spans="7:18" x14ac:dyDescent="0.15">
      <c r="G683" s="11">
        <v>682</v>
      </c>
      <c r="H683" t="s">
        <v>455</v>
      </c>
      <c r="I683" t="s">
        <v>1110</v>
      </c>
      <c r="J683" t="s">
        <v>870</v>
      </c>
      <c r="K683">
        <v>-1.23</v>
      </c>
      <c r="L683">
        <v>-2.23</v>
      </c>
      <c r="M683">
        <v>-0.81</v>
      </c>
      <c r="N683" s="20">
        <v>0.4</v>
      </c>
      <c r="O683">
        <v>3.13</v>
      </c>
      <c r="P683">
        <v>5.55</v>
      </c>
      <c r="Q683">
        <v>10.95</v>
      </c>
      <c r="R683" s="21">
        <v>7271.9411746999995</v>
      </c>
    </row>
    <row r="684" spans="7:18" x14ac:dyDescent="0.15">
      <c r="G684" s="11">
        <v>683</v>
      </c>
      <c r="H684" t="s">
        <v>1225</v>
      </c>
      <c r="I684" t="s">
        <v>1226</v>
      </c>
      <c r="J684" t="s">
        <v>1220</v>
      </c>
      <c r="K684">
        <v>0</v>
      </c>
      <c r="L684">
        <v>0</v>
      </c>
      <c r="M684">
        <v>0</v>
      </c>
      <c r="N684" s="20">
        <v>0.89</v>
      </c>
      <c r="O684">
        <v>2.99</v>
      </c>
      <c r="P684">
        <v>7.68</v>
      </c>
      <c r="Q684">
        <v>6.12</v>
      </c>
      <c r="R684" s="21">
        <v>2793.4830999999999</v>
      </c>
    </row>
    <row r="685" spans="7:18" x14ac:dyDescent="0.15">
      <c r="G685" s="11">
        <v>684</v>
      </c>
      <c r="H685" t="s">
        <v>720</v>
      </c>
      <c r="I685" t="s">
        <v>1162</v>
      </c>
      <c r="J685" t="s">
        <v>870</v>
      </c>
      <c r="K685">
        <v>-0.15</v>
      </c>
      <c r="L685">
        <v>-0.12</v>
      </c>
      <c r="M685">
        <v>-6.49</v>
      </c>
      <c r="N685" s="20">
        <v>0.41</v>
      </c>
      <c r="O685">
        <v>2.84</v>
      </c>
      <c r="P685">
        <v>2.2799999999999998</v>
      </c>
      <c r="Q685">
        <v>10.67</v>
      </c>
      <c r="R685" s="21">
        <v>25963.227200000001</v>
      </c>
    </row>
    <row r="686" spans="7:18" x14ac:dyDescent="0.15">
      <c r="G686" s="11">
        <v>685</v>
      </c>
      <c r="H686" t="s">
        <v>1234</v>
      </c>
      <c r="I686" t="s">
        <v>1235</v>
      </c>
      <c r="J686" t="s">
        <v>1220</v>
      </c>
      <c r="K686">
        <v>0</v>
      </c>
      <c r="L686">
        <v>0</v>
      </c>
      <c r="M686">
        <v>0</v>
      </c>
      <c r="N686" s="20">
        <v>35.979999999999997</v>
      </c>
      <c r="O686">
        <v>2.7</v>
      </c>
      <c r="P686">
        <v>7.54</v>
      </c>
      <c r="Q686">
        <v>1.56</v>
      </c>
      <c r="R686" s="21">
        <v>1099.0037218</v>
      </c>
    </row>
    <row r="687" spans="7:18" x14ac:dyDescent="0.15">
      <c r="G687" s="11">
        <v>686</v>
      </c>
      <c r="H687" t="s">
        <v>1236</v>
      </c>
      <c r="I687" t="s">
        <v>1237</v>
      </c>
      <c r="J687" t="s">
        <v>1220</v>
      </c>
      <c r="K687">
        <v>0</v>
      </c>
      <c r="L687">
        <v>0</v>
      </c>
      <c r="M687">
        <v>0</v>
      </c>
      <c r="N687" s="20">
        <v>758</v>
      </c>
      <c r="O687">
        <v>2.56</v>
      </c>
      <c r="P687">
        <v>7.82</v>
      </c>
      <c r="Q687">
        <v>1.1399999999999999</v>
      </c>
      <c r="R687" s="21">
        <v>1383.7658549</v>
      </c>
    </row>
    <row r="688" spans="7:18" x14ac:dyDescent="0.15">
      <c r="G688" s="11">
        <v>687</v>
      </c>
      <c r="H688" t="s">
        <v>1221</v>
      </c>
      <c r="I688" t="s">
        <v>1222</v>
      </c>
      <c r="J688" t="s">
        <v>1220</v>
      </c>
      <c r="K688">
        <v>0</v>
      </c>
      <c r="L688">
        <v>0</v>
      </c>
      <c r="M688">
        <v>0</v>
      </c>
      <c r="O688">
        <v>2.42</v>
      </c>
      <c r="P688">
        <v>7.25</v>
      </c>
      <c r="Q688">
        <v>1</v>
      </c>
      <c r="R688" s="21">
        <v>1481.3715999999999</v>
      </c>
    </row>
    <row r="689" spans="7:18" x14ac:dyDescent="0.15">
      <c r="G689" s="11">
        <v>688</v>
      </c>
      <c r="H689" t="s">
        <v>1218</v>
      </c>
      <c r="I689" t="s">
        <v>1219</v>
      </c>
      <c r="J689" t="s">
        <v>1220</v>
      </c>
      <c r="K689">
        <v>0</v>
      </c>
      <c r="L689">
        <v>0</v>
      </c>
      <c r="M689">
        <v>0</v>
      </c>
      <c r="O689">
        <v>2.2799999999999998</v>
      </c>
      <c r="P689">
        <v>7.11</v>
      </c>
      <c r="Q689">
        <v>0.56999999999999995</v>
      </c>
      <c r="R689" s="21">
        <v>1489.3755000000001</v>
      </c>
    </row>
    <row r="690" spans="7:18" x14ac:dyDescent="0.15">
      <c r="G690" s="11">
        <v>689</v>
      </c>
      <c r="H690" t="s">
        <v>1240</v>
      </c>
      <c r="I690" t="s">
        <v>1241</v>
      </c>
      <c r="J690" t="s">
        <v>1220</v>
      </c>
      <c r="K690">
        <v>0</v>
      </c>
      <c r="L690">
        <v>0</v>
      </c>
      <c r="M690">
        <v>0</v>
      </c>
      <c r="O690">
        <v>2.13</v>
      </c>
      <c r="P690">
        <v>7.4</v>
      </c>
      <c r="Q690">
        <v>0.14000000000000001</v>
      </c>
      <c r="R690" s="21">
        <v>1732.6782897000001</v>
      </c>
    </row>
    <row r="691" spans="7:18" x14ac:dyDescent="0.15">
      <c r="G691" s="11">
        <v>690</v>
      </c>
      <c r="H691" t="s">
        <v>1229</v>
      </c>
      <c r="I691" t="s">
        <v>1230</v>
      </c>
      <c r="J691" t="s">
        <v>1220</v>
      </c>
      <c r="K691">
        <v>0</v>
      </c>
      <c r="L691">
        <v>0</v>
      </c>
      <c r="M691">
        <v>0</v>
      </c>
      <c r="O691">
        <v>1.99</v>
      </c>
      <c r="P691">
        <v>6.54</v>
      </c>
      <c r="Q691">
        <v>0.85</v>
      </c>
      <c r="R691" s="21">
        <v>720.88109999999995</v>
      </c>
    </row>
    <row r="692" spans="7:18" x14ac:dyDescent="0.15">
      <c r="G692" s="11">
        <v>691</v>
      </c>
      <c r="H692" t="s">
        <v>630</v>
      </c>
      <c r="I692" t="s">
        <v>1208</v>
      </c>
      <c r="J692" t="s">
        <v>1198</v>
      </c>
      <c r="K692">
        <v>-8.91</v>
      </c>
      <c r="L692">
        <v>-10.74</v>
      </c>
      <c r="M692">
        <v>-7.4</v>
      </c>
      <c r="N692" s="20">
        <v>0.95</v>
      </c>
      <c r="O692">
        <v>1.85</v>
      </c>
      <c r="P692">
        <v>1.28</v>
      </c>
      <c r="Q692">
        <v>5.97</v>
      </c>
      <c r="R692" s="21">
        <v>77945.848859999998</v>
      </c>
    </row>
    <row r="693" spans="7:18" x14ac:dyDescent="0.15">
      <c r="G693" s="11">
        <v>692</v>
      </c>
      <c r="H693" t="s">
        <v>1238</v>
      </c>
      <c r="I693" t="s">
        <v>1239</v>
      </c>
      <c r="J693" t="s">
        <v>1220</v>
      </c>
      <c r="K693">
        <v>0</v>
      </c>
      <c r="L693">
        <v>0</v>
      </c>
      <c r="M693">
        <v>0</v>
      </c>
      <c r="O693">
        <v>1.71</v>
      </c>
      <c r="P693">
        <v>6.26</v>
      </c>
      <c r="Q693">
        <v>0.71</v>
      </c>
      <c r="R693" s="21">
        <v>1386.2212101</v>
      </c>
    </row>
    <row r="694" spans="7:18" x14ac:dyDescent="0.15">
      <c r="G694" s="11">
        <v>693</v>
      </c>
      <c r="H694" t="s">
        <v>1231</v>
      </c>
      <c r="I694" t="s">
        <v>1232</v>
      </c>
      <c r="J694" t="s">
        <v>1220</v>
      </c>
      <c r="K694">
        <v>0</v>
      </c>
      <c r="L694">
        <v>0</v>
      </c>
      <c r="M694">
        <v>0</v>
      </c>
      <c r="O694">
        <v>1.56</v>
      </c>
      <c r="P694">
        <v>6.4</v>
      </c>
      <c r="Q694">
        <v>0.28000000000000003</v>
      </c>
      <c r="R694" s="21">
        <v>281.83010000000002</v>
      </c>
    </row>
    <row r="695" spans="7:18" x14ac:dyDescent="0.15">
      <c r="G695" s="11">
        <v>694</v>
      </c>
      <c r="H695" t="s">
        <v>1223</v>
      </c>
      <c r="I695" t="s">
        <v>1224</v>
      </c>
      <c r="J695" t="s">
        <v>1220</v>
      </c>
      <c r="K695">
        <v>0</v>
      </c>
      <c r="L695">
        <v>0</v>
      </c>
      <c r="M695">
        <v>0</v>
      </c>
      <c r="O695">
        <v>1.42</v>
      </c>
      <c r="P695">
        <v>6.12</v>
      </c>
      <c r="Q695">
        <v>0.43</v>
      </c>
      <c r="R695" s="21">
        <v>801.18700000000001</v>
      </c>
    </row>
    <row r="696" spans="7:18" x14ac:dyDescent="0.15">
      <c r="G696" s="11">
        <v>695</v>
      </c>
      <c r="H696" t="s">
        <v>502</v>
      </c>
      <c r="I696" t="s">
        <v>1206</v>
      </c>
      <c r="J696" t="s">
        <v>1198</v>
      </c>
      <c r="K696">
        <v>-9.64</v>
      </c>
      <c r="L696">
        <v>-10.87</v>
      </c>
      <c r="M696">
        <v>-5.91</v>
      </c>
      <c r="N696" s="20">
        <v>2.17</v>
      </c>
      <c r="O696">
        <v>1.28</v>
      </c>
      <c r="P696">
        <v>2.84</v>
      </c>
      <c r="Q696">
        <v>3.7</v>
      </c>
      <c r="R696" s="21">
        <v>186.9494866</v>
      </c>
    </row>
    <row r="697" spans="7:18" x14ac:dyDescent="0.15">
      <c r="G697" s="11">
        <v>696</v>
      </c>
      <c r="H697" t="s">
        <v>772</v>
      </c>
      <c r="I697" t="s">
        <v>1209</v>
      </c>
      <c r="J697" t="s">
        <v>1198</v>
      </c>
      <c r="K697">
        <v>-8.3000000000000007</v>
      </c>
      <c r="L697">
        <v>-10</v>
      </c>
      <c r="M697">
        <v>-6.7</v>
      </c>
      <c r="N697" s="20">
        <v>2.06</v>
      </c>
      <c r="O697">
        <v>1.1399999999999999</v>
      </c>
      <c r="P697">
        <v>1.99</v>
      </c>
      <c r="Q697">
        <v>3.84</v>
      </c>
      <c r="R697" s="21">
        <v>376.63694750000002</v>
      </c>
    </row>
    <row r="698" spans="7:18" x14ac:dyDescent="0.15">
      <c r="G698" s="11">
        <v>697</v>
      </c>
      <c r="H698" t="s">
        <v>777</v>
      </c>
      <c r="I698" t="s">
        <v>1201</v>
      </c>
      <c r="J698" t="s">
        <v>1198</v>
      </c>
      <c r="K698">
        <v>-7.86</v>
      </c>
      <c r="L698">
        <v>-4.26</v>
      </c>
      <c r="M698">
        <v>-5.85</v>
      </c>
      <c r="N698" s="20">
        <v>3.17</v>
      </c>
      <c r="O698">
        <v>1</v>
      </c>
      <c r="P698">
        <v>2.99</v>
      </c>
      <c r="Q698">
        <v>2.7</v>
      </c>
      <c r="R698" s="21">
        <v>1377.1618028999999</v>
      </c>
    </row>
    <row r="699" spans="7:18" x14ac:dyDescent="0.15">
      <c r="G699" s="11">
        <v>698</v>
      </c>
      <c r="H699" t="s">
        <v>759</v>
      </c>
      <c r="I699" t="s">
        <v>1285</v>
      </c>
      <c r="J699" t="s">
        <v>1198</v>
      </c>
      <c r="K699">
        <v>-10.02</v>
      </c>
      <c r="L699">
        <v>-10.8</v>
      </c>
      <c r="M699">
        <v>-8.33</v>
      </c>
      <c r="N699" s="20">
        <v>1.3</v>
      </c>
      <c r="O699">
        <v>0.85</v>
      </c>
      <c r="P699">
        <v>0.43</v>
      </c>
      <c r="Q699">
        <v>4.84</v>
      </c>
      <c r="R699" s="21">
        <v>3010.7123999999999</v>
      </c>
    </row>
    <row r="700" spans="7:18" x14ac:dyDescent="0.15">
      <c r="G700" s="11">
        <v>699</v>
      </c>
      <c r="H700" t="s">
        <v>751</v>
      </c>
      <c r="I700" t="s">
        <v>811</v>
      </c>
      <c r="J700" t="s">
        <v>1288</v>
      </c>
      <c r="K700">
        <v>-6.77</v>
      </c>
      <c r="L700">
        <v>-8.0500000000000007</v>
      </c>
      <c r="M700">
        <v>-6.55</v>
      </c>
      <c r="N700" s="20">
        <v>2.48</v>
      </c>
      <c r="O700">
        <v>0.71</v>
      </c>
      <c r="P700">
        <v>2.13</v>
      </c>
      <c r="Q700">
        <v>3.13</v>
      </c>
      <c r="R700" s="21">
        <v>1208.1939</v>
      </c>
    </row>
    <row r="701" spans="7:18" x14ac:dyDescent="0.15">
      <c r="G701" s="11">
        <v>700</v>
      </c>
      <c r="H701" t="s">
        <v>770</v>
      </c>
      <c r="I701" t="s">
        <v>1204</v>
      </c>
      <c r="J701" t="s">
        <v>1198</v>
      </c>
      <c r="K701">
        <v>-9.17</v>
      </c>
      <c r="L701">
        <v>-9.86</v>
      </c>
      <c r="M701">
        <v>-7.95</v>
      </c>
      <c r="N701" s="20">
        <v>1.59</v>
      </c>
      <c r="O701">
        <v>0.56999999999999995</v>
      </c>
      <c r="P701">
        <v>0.71</v>
      </c>
      <c r="Q701">
        <v>4.2699999999999996</v>
      </c>
      <c r="R701" s="21">
        <v>241.75139999999999</v>
      </c>
    </row>
    <row r="702" spans="7:18" x14ac:dyDescent="0.15">
      <c r="G702" s="11">
        <v>701</v>
      </c>
      <c r="H702" t="s">
        <v>715</v>
      </c>
      <c r="I702" t="s">
        <v>1208</v>
      </c>
      <c r="J702" t="s">
        <v>1198</v>
      </c>
      <c r="K702">
        <v>-8.85</v>
      </c>
      <c r="L702">
        <v>-10.67</v>
      </c>
      <c r="M702">
        <v>-7.07</v>
      </c>
      <c r="N702" s="20">
        <v>3.94</v>
      </c>
      <c r="O702">
        <v>0.43</v>
      </c>
      <c r="P702">
        <v>1.56</v>
      </c>
      <c r="Q702">
        <v>1.99</v>
      </c>
      <c r="R702" s="21">
        <v>46792.403100000003</v>
      </c>
    </row>
    <row r="703" spans="7:18" x14ac:dyDescent="0.15">
      <c r="G703" s="11">
        <v>702</v>
      </c>
      <c r="H703" t="s">
        <v>768</v>
      </c>
      <c r="I703" t="s">
        <v>1207</v>
      </c>
      <c r="J703" t="s">
        <v>1198</v>
      </c>
      <c r="K703">
        <v>-8.98</v>
      </c>
      <c r="L703">
        <v>-11.04</v>
      </c>
      <c r="M703">
        <v>-7.27</v>
      </c>
      <c r="N703" s="20">
        <v>4.25</v>
      </c>
      <c r="O703">
        <v>0.28000000000000003</v>
      </c>
      <c r="P703">
        <v>1.42</v>
      </c>
      <c r="Q703">
        <v>1.85</v>
      </c>
      <c r="R703" s="21">
        <v>15267.0371</v>
      </c>
    </row>
    <row r="704" spans="7:18" x14ac:dyDescent="0.15">
      <c r="G704" s="11">
        <v>703</v>
      </c>
      <c r="H704" t="s">
        <v>1995</v>
      </c>
      <c r="I704" t="s">
        <v>1233</v>
      </c>
      <c r="J704" t="s">
        <v>1220</v>
      </c>
      <c r="K704">
        <v>-10.76</v>
      </c>
      <c r="L704">
        <v>-10.76</v>
      </c>
      <c r="M704">
        <v>-10.76</v>
      </c>
      <c r="N704" s="20">
        <v>43.07</v>
      </c>
      <c r="O704">
        <v>0.14000000000000001</v>
      </c>
      <c r="P704">
        <v>0.28000000000000003</v>
      </c>
      <c r="Q704">
        <v>1.28</v>
      </c>
      <c r="R704" s="21">
        <v>672.76167269999996</v>
      </c>
    </row>
  </sheetData>
  <autoFilter ref="A1:R704"/>
  <phoneticPr fontId="2" type="noConversion"/>
  <hyperlinks>
    <hyperlink ref="T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模块1.rotate_LOF_ETF">
                <anchor moveWithCells="1" sizeWithCells="1">
                  <from>
                    <xdr:col>19</xdr:col>
                    <xdr:colOff>123825</xdr:colOff>
                    <xdr:row>1</xdr:row>
                    <xdr:rowOff>123825</xdr:rowOff>
                  </from>
                  <to>
                    <xdr:col>20</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15"/>
  <sheetViews>
    <sheetView workbookViewId="0">
      <pane ySplit="1" topLeftCell="A2" activePane="bottomLeft" state="frozen"/>
      <selection pane="bottomLeft" activeCell="H3" sqref="H3:M3"/>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3" width="10.375" customWidth="1"/>
    <col min="14" max="14" width="8" style="20" customWidth="1"/>
    <col min="15" max="15" width="8.625" customWidth="1"/>
    <col min="16" max="16" width="9" customWidth="1"/>
    <col min="17" max="17" width="7.25" customWidth="1"/>
    <col min="18" max="18" width="12.375" style="21" customWidth="1"/>
  </cols>
  <sheetData>
    <row r="1" spans="1:21" s="22" customFormat="1" ht="50.25" customHeight="1" x14ac:dyDescent="0.15">
      <c r="A1" s="28" t="s">
        <v>283</v>
      </c>
      <c r="B1" s="23" t="s">
        <v>39</v>
      </c>
      <c r="C1" s="23" t="s">
        <v>38</v>
      </c>
      <c r="D1" s="23" t="s">
        <v>1690</v>
      </c>
      <c r="E1" s="27"/>
      <c r="F1" s="28" t="s">
        <v>1689</v>
      </c>
      <c r="G1" s="24"/>
      <c r="H1" s="23" t="s">
        <v>39</v>
      </c>
      <c r="I1" s="23" t="s">
        <v>38</v>
      </c>
      <c r="J1" s="23" t="s">
        <v>37</v>
      </c>
      <c r="K1" s="23" t="s">
        <v>2033</v>
      </c>
      <c r="L1" s="23" t="s">
        <v>2034</v>
      </c>
      <c r="M1" s="23" t="s">
        <v>36</v>
      </c>
      <c r="N1" s="25" t="s">
        <v>35</v>
      </c>
      <c r="O1" s="23" t="s">
        <v>34</v>
      </c>
      <c r="P1" s="23" t="s">
        <v>1685</v>
      </c>
      <c r="Q1" s="23" t="s">
        <v>1686</v>
      </c>
      <c r="R1" s="26" t="s">
        <v>1687</v>
      </c>
      <c r="T1" s="56" t="s">
        <v>2010</v>
      </c>
    </row>
    <row r="2" spans="1:21" x14ac:dyDescent="0.15">
      <c r="A2">
        <v>1</v>
      </c>
      <c r="B2">
        <v>159980</v>
      </c>
      <c r="C2" t="s">
        <v>812</v>
      </c>
      <c r="D2">
        <f>MATCH(IF(B2&lt;499999,"SZ"&amp;B2,"SH"&amp;B2),$H$2:$H$2993,0)</f>
        <v>74</v>
      </c>
      <c r="G2" s="11">
        <v>1</v>
      </c>
      <c r="H2" t="s">
        <v>767</v>
      </c>
      <c r="I2" t="s">
        <v>1754</v>
      </c>
      <c r="J2" t="s">
        <v>15</v>
      </c>
      <c r="K2">
        <v>23.59</v>
      </c>
      <c r="L2">
        <v>32.880000000000003</v>
      </c>
      <c r="M2">
        <v>36.89</v>
      </c>
      <c r="N2" s="20">
        <v>-5.22</v>
      </c>
      <c r="O2">
        <v>100</v>
      </c>
      <c r="P2">
        <v>99.12</v>
      </c>
      <c r="Q2">
        <v>97.37</v>
      </c>
      <c r="R2" s="21">
        <v>35178.332999999999</v>
      </c>
      <c r="T2" s="9"/>
      <c r="U2" s="9"/>
    </row>
    <row r="3" spans="1:21" x14ac:dyDescent="0.15">
      <c r="A3">
        <v>2</v>
      </c>
      <c r="B3">
        <v>159981</v>
      </c>
      <c r="C3" t="s">
        <v>813</v>
      </c>
      <c r="D3">
        <f>MATCH(IF(B3&lt;499999,"SZ"&amp;B3,"SH"&amp;B3),$H$2:$H$2993,0)</f>
        <v>26</v>
      </c>
      <c r="G3" s="11">
        <v>2</v>
      </c>
      <c r="H3" t="s">
        <v>719</v>
      </c>
      <c r="I3" t="s">
        <v>31</v>
      </c>
      <c r="J3" t="s">
        <v>15</v>
      </c>
      <c r="K3">
        <v>-4.53</v>
      </c>
      <c r="L3">
        <v>6.25</v>
      </c>
      <c r="M3">
        <v>10.62</v>
      </c>
      <c r="N3" s="20">
        <v>-2.37</v>
      </c>
      <c r="O3">
        <v>99.12</v>
      </c>
      <c r="P3">
        <v>84.21</v>
      </c>
      <c r="Q3">
        <v>93.86</v>
      </c>
      <c r="R3" s="21">
        <v>10038.393769499999</v>
      </c>
      <c r="T3" s="9"/>
      <c r="U3" s="9"/>
    </row>
    <row r="4" spans="1:21" x14ac:dyDescent="0.15">
      <c r="A4">
        <v>3</v>
      </c>
      <c r="B4">
        <v>160216</v>
      </c>
      <c r="C4" t="s">
        <v>28</v>
      </c>
      <c r="D4">
        <f>MATCH(IF(B4&lt;499999,"SZ"&amp;B4,"SH"&amp;B4),$H$2:$H$2993,0)</f>
        <v>59</v>
      </c>
      <c r="G4" s="11">
        <v>3</v>
      </c>
      <c r="H4" t="s">
        <v>545</v>
      </c>
      <c r="I4" t="s">
        <v>1694</v>
      </c>
      <c r="J4" t="s">
        <v>15</v>
      </c>
      <c r="K4">
        <v>-3.58</v>
      </c>
      <c r="L4">
        <v>7.32</v>
      </c>
      <c r="M4">
        <v>15.44</v>
      </c>
      <c r="N4" s="20">
        <v>-0.44</v>
      </c>
      <c r="O4">
        <v>98.25</v>
      </c>
      <c r="P4">
        <v>95.61</v>
      </c>
      <c r="Q4">
        <v>80.7</v>
      </c>
      <c r="R4" s="21">
        <v>8045.6737499999999</v>
      </c>
      <c r="T4" s="9"/>
      <c r="U4" s="9"/>
    </row>
    <row r="5" spans="1:21" x14ac:dyDescent="0.15">
      <c r="A5">
        <v>4</v>
      </c>
      <c r="B5">
        <v>161815</v>
      </c>
      <c r="C5" t="s">
        <v>20</v>
      </c>
      <c r="D5">
        <f>MATCH(IF(B5&lt;499999,"SZ"&amp;B5,"SH"&amp;B5),$H$2:$H$2993,0)</f>
        <v>13</v>
      </c>
      <c r="G5" s="11">
        <v>4</v>
      </c>
      <c r="H5" t="s">
        <v>611</v>
      </c>
      <c r="I5" t="s">
        <v>1692</v>
      </c>
      <c r="J5" t="s">
        <v>15</v>
      </c>
      <c r="K5">
        <v>-3.58</v>
      </c>
      <c r="L5">
        <v>5.24</v>
      </c>
      <c r="M5">
        <v>12.1</v>
      </c>
      <c r="N5" s="20">
        <v>-0.93</v>
      </c>
      <c r="O5">
        <v>97.37</v>
      </c>
      <c r="P5">
        <v>85.96</v>
      </c>
      <c r="Q5">
        <v>88.6</v>
      </c>
      <c r="R5" s="21">
        <v>6026.2813999999998</v>
      </c>
      <c r="T5" s="9"/>
      <c r="U5" s="9"/>
    </row>
    <row r="6" spans="1:21" x14ac:dyDescent="0.15">
      <c r="A6">
        <v>5</v>
      </c>
      <c r="B6">
        <v>163208</v>
      </c>
      <c r="C6" t="s">
        <v>24</v>
      </c>
      <c r="D6">
        <f>MATCH(IF(B6&lt;499999,"SZ"&amp;B6,"SH"&amp;B6),$H$2:$H$2993,0)</f>
        <v>34</v>
      </c>
      <c r="G6" s="11">
        <v>5</v>
      </c>
      <c r="H6" t="s">
        <v>620</v>
      </c>
      <c r="I6" t="s">
        <v>1811</v>
      </c>
      <c r="J6" t="s">
        <v>15</v>
      </c>
      <c r="K6">
        <v>-3.73</v>
      </c>
      <c r="L6">
        <v>5.39</v>
      </c>
      <c r="M6">
        <v>12.64</v>
      </c>
      <c r="N6" s="20">
        <v>-0.51</v>
      </c>
      <c r="O6">
        <v>96.49</v>
      </c>
      <c r="P6">
        <v>89.47</v>
      </c>
      <c r="Q6">
        <v>83.33</v>
      </c>
      <c r="R6" s="21">
        <v>4738.6680900000001</v>
      </c>
      <c r="T6" t="s">
        <v>2036</v>
      </c>
    </row>
    <row r="7" spans="1:21" x14ac:dyDescent="0.15">
      <c r="A7">
        <v>6</v>
      </c>
      <c r="B7">
        <v>165513</v>
      </c>
      <c r="C7" t="s">
        <v>26</v>
      </c>
      <c r="D7">
        <f>MATCH(IF(B7&lt;499999,"SZ"&amp;B7,"SH"&amp;B7),$H$2:$H$2993,0)</f>
        <v>71</v>
      </c>
      <c r="G7" s="11">
        <v>6</v>
      </c>
      <c r="H7" t="s">
        <v>775</v>
      </c>
      <c r="I7" t="s">
        <v>1746</v>
      </c>
      <c r="J7" t="s">
        <v>15</v>
      </c>
      <c r="K7">
        <v>-3.65</v>
      </c>
      <c r="L7">
        <v>2.2999999999999998</v>
      </c>
      <c r="M7">
        <v>8.27</v>
      </c>
      <c r="N7" s="20">
        <v>-0.7</v>
      </c>
      <c r="O7">
        <v>95.61</v>
      </c>
      <c r="P7">
        <v>79.819999999999993</v>
      </c>
      <c r="Q7">
        <v>85.09</v>
      </c>
      <c r="R7" s="21">
        <v>339.16892999999999</v>
      </c>
    </row>
    <row r="8" spans="1:21" x14ac:dyDescent="0.15">
      <c r="A8">
        <v>7</v>
      </c>
      <c r="B8">
        <v>513130</v>
      </c>
      <c r="C8" t="s">
        <v>814</v>
      </c>
      <c r="D8">
        <f>MATCH(IF(B8&lt;499999,"SZ"&amp;B8,"SH"&amp;B8),$H$2:$H$2993,0)</f>
        <v>20</v>
      </c>
      <c r="G8" s="11">
        <v>7</v>
      </c>
      <c r="H8" t="s">
        <v>773</v>
      </c>
      <c r="I8" t="s">
        <v>16</v>
      </c>
      <c r="J8" t="s">
        <v>15</v>
      </c>
      <c r="K8">
        <v>-3.84</v>
      </c>
      <c r="L8">
        <v>1.86</v>
      </c>
      <c r="M8">
        <v>7.01</v>
      </c>
      <c r="N8" s="20">
        <v>-0.82</v>
      </c>
      <c r="O8">
        <v>94.74</v>
      </c>
      <c r="P8">
        <v>76.319999999999993</v>
      </c>
      <c r="Q8">
        <v>86.84</v>
      </c>
      <c r="R8" s="21">
        <v>404.75709999999998</v>
      </c>
    </row>
    <row r="9" spans="1:21" x14ac:dyDescent="0.15">
      <c r="G9" s="11">
        <v>8</v>
      </c>
      <c r="H9" t="s">
        <v>778</v>
      </c>
      <c r="I9" t="s">
        <v>1748</v>
      </c>
      <c r="J9" t="s">
        <v>15</v>
      </c>
      <c r="K9">
        <v>-3.65</v>
      </c>
      <c r="L9">
        <v>2.09</v>
      </c>
      <c r="M9">
        <v>8.35</v>
      </c>
      <c r="N9" s="20">
        <v>-0.49</v>
      </c>
      <c r="O9">
        <v>93.86</v>
      </c>
      <c r="P9">
        <v>80.7</v>
      </c>
      <c r="Q9">
        <v>82.46</v>
      </c>
      <c r="R9" s="21">
        <v>551.14279999999997</v>
      </c>
    </row>
    <row r="10" spans="1:21" x14ac:dyDescent="0.15">
      <c r="G10" s="11">
        <v>9</v>
      </c>
      <c r="H10" t="s">
        <v>288</v>
      </c>
      <c r="I10" t="s">
        <v>27</v>
      </c>
      <c r="J10" t="s">
        <v>15</v>
      </c>
      <c r="K10">
        <v>-13.97</v>
      </c>
      <c r="L10">
        <v>-10.94</v>
      </c>
      <c r="M10">
        <v>2.56</v>
      </c>
      <c r="N10" s="20">
        <v>-6.26</v>
      </c>
      <c r="O10">
        <v>92.98</v>
      </c>
      <c r="P10">
        <v>63.16</v>
      </c>
      <c r="Q10">
        <v>99.12</v>
      </c>
      <c r="R10" s="21">
        <v>11074.1334914</v>
      </c>
    </row>
    <row r="11" spans="1:21" x14ac:dyDescent="0.15">
      <c r="G11" s="11">
        <v>10</v>
      </c>
      <c r="H11" t="s">
        <v>734</v>
      </c>
      <c r="I11" t="s">
        <v>1722</v>
      </c>
      <c r="J11" t="s">
        <v>15</v>
      </c>
      <c r="K11">
        <v>-3.71</v>
      </c>
      <c r="L11">
        <v>5.43</v>
      </c>
      <c r="M11">
        <v>12.75</v>
      </c>
      <c r="N11" s="20">
        <v>-0.17</v>
      </c>
      <c r="O11">
        <v>92.11</v>
      </c>
      <c r="P11">
        <v>91.23</v>
      </c>
      <c r="Q11">
        <v>69.3</v>
      </c>
      <c r="R11" s="21">
        <v>22519.110100000002</v>
      </c>
    </row>
    <row r="12" spans="1:21" x14ac:dyDescent="0.15">
      <c r="G12" s="11">
        <v>11</v>
      </c>
      <c r="H12" t="s">
        <v>746</v>
      </c>
      <c r="I12" t="s">
        <v>1697</v>
      </c>
      <c r="J12" t="s">
        <v>15</v>
      </c>
      <c r="K12">
        <v>-3.28</v>
      </c>
      <c r="L12">
        <v>1.35</v>
      </c>
      <c r="M12">
        <v>6.57</v>
      </c>
      <c r="N12" s="20">
        <v>-0.45</v>
      </c>
      <c r="O12">
        <v>91.23</v>
      </c>
      <c r="P12">
        <v>75.44</v>
      </c>
      <c r="Q12">
        <v>81.58</v>
      </c>
      <c r="R12" s="21">
        <v>2286.2484662000002</v>
      </c>
    </row>
    <row r="13" spans="1:21" x14ac:dyDescent="0.15">
      <c r="G13" s="11">
        <v>12</v>
      </c>
      <c r="H13" t="s">
        <v>762</v>
      </c>
      <c r="I13" t="s">
        <v>1731</v>
      </c>
      <c r="J13" t="s">
        <v>15</v>
      </c>
      <c r="K13">
        <v>-3.79</v>
      </c>
      <c r="L13">
        <v>5.26</v>
      </c>
      <c r="M13">
        <v>12.59</v>
      </c>
      <c r="N13" s="20">
        <v>-0.17</v>
      </c>
      <c r="O13">
        <v>90.35</v>
      </c>
      <c r="P13">
        <v>88.6</v>
      </c>
      <c r="Q13">
        <v>68.42</v>
      </c>
      <c r="R13" s="21">
        <v>138160.02710000001</v>
      </c>
    </row>
    <row r="14" spans="1:21" x14ac:dyDescent="0.15">
      <c r="G14" s="11">
        <v>13</v>
      </c>
      <c r="H14" t="s">
        <v>286</v>
      </c>
      <c r="I14" t="s">
        <v>20</v>
      </c>
      <c r="J14" t="s">
        <v>15</v>
      </c>
      <c r="K14">
        <v>-2.25</v>
      </c>
      <c r="L14">
        <v>2.1</v>
      </c>
      <c r="M14">
        <v>3.64</v>
      </c>
      <c r="N14" s="20">
        <v>-0.85</v>
      </c>
      <c r="O14">
        <v>89.47</v>
      </c>
      <c r="P14">
        <v>68.42</v>
      </c>
      <c r="Q14">
        <v>87.72</v>
      </c>
      <c r="R14" s="21">
        <v>993.29148139999995</v>
      </c>
    </row>
    <row r="15" spans="1:21" x14ac:dyDescent="0.15">
      <c r="G15" s="11">
        <v>14</v>
      </c>
      <c r="H15" t="s">
        <v>541</v>
      </c>
      <c r="I15" t="s">
        <v>17</v>
      </c>
      <c r="J15" t="s">
        <v>1702</v>
      </c>
      <c r="K15">
        <v>0.83</v>
      </c>
      <c r="L15">
        <v>2.16</v>
      </c>
      <c r="M15">
        <v>2.74</v>
      </c>
      <c r="N15" s="20">
        <v>-0.97</v>
      </c>
      <c r="O15">
        <v>88.6</v>
      </c>
      <c r="P15">
        <v>64.040000000000006</v>
      </c>
      <c r="Q15">
        <v>89.47</v>
      </c>
      <c r="R15" s="21">
        <v>30283.042799999999</v>
      </c>
    </row>
    <row r="16" spans="1:21" x14ac:dyDescent="0.15">
      <c r="G16" s="11">
        <v>15</v>
      </c>
      <c r="H16" t="s">
        <v>742</v>
      </c>
      <c r="I16" t="s">
        <v>1720</v>
      </c>
      <c r="J16" t="s">
        <v>15</v>
      </c>
      <c r="K16">
        <v>-3.21</v>
      </c>
      <c r="L16">
        <v>-7.0000000000000007E-2</v>
      </c>
      <c r="M16">
        <v>4.26</v>
      </c>
      <c r="N16" s="20">
        <v>-0.35</v>
      </c>
      <c r="O16">
        <v>87.72</v>
      </c>
      <c r="P16">
        <v>70.180000000000007</v>
      </c>
      <c r="Q16">
        <v>78.069999999999993</v>
      </c>
      <c r="R16" s="21">
        <v>52864.2379182</v>
      </c>
    </row>
    <row r="17" spans="7:18" x14ac:dyDescent="0.15">
      <c r="G17" s="11">
        <v>16</v>
      </c>
      <c r="H17" t="s">
        <v>758</v>
      </c>
      <c r="I17" t="s">
        <v>1739</v>
      </c>
      <c r="J17" t="s">
        <v>15</v>
      </c>
      <c r="K17">
        <v>-3.04</v>
      </c>
      <c r="L17">
        <v>1.31</v>
      </c>
      <c r="M17">
        <v>6.19</v>
      </c>
      <c r="N17" s="20">
        <v>-0.24</v>
      </c>
      <c r="O17">
        <v>86.84</v>
      </c>
      <c r="P17">
        <v>72.81</v>
      </c>
      <c r="Q17">
        <v>71.930000000000007</v>
      </c>
      <c r="R17" s="21">
        <v>48494.887199999997</v>
      </c>
    </row>
    <row r="18" spans="7:18" x14ac:dyDescent="0.15">
      <c r="G18" s="11">
        <v>17</v>
      </c>
      <c r="H18" t="s">
        <v>701</v>
      </c>
      <c r="I18" t="s">
        <v>1698</v>
      </c>
      <c r="J18" t="s">
        <v>15</v>
      </c>
      <c r="K18">
        <v>-3.22</v>
      </c>
      <c r="L18">
        <v>1.1200000000000001</v>
      </c>
      <c r="M18">
        <v>6.54</v>
      </c>
      <c r="N18" s="20">
        <v>-0.14000000000000001</v>
      </c>
      <c r="O18">
        <v>85.96</v>
      </c>
      <c r="P18">
        <v>74.56</v>
      </c>
      <c r="Q18">
        <v>67.540000000000006</v>
      </c>
      <c r="R18" s="21">
        <v>42.632399999999997</v>
      </c>
    </row>
    <row r="19" spans="7:18" x14ac:dyDescent="0.15">
      <c r="G19" s="11">
        <v>18</v>
      </c>
      <c r="H19" t="s">
        <v>671</v>
      </c>
      <c r="I19" t="s">
        <v>1695</v>
      </c>
      <c r="J19" t="s">
        <v>15</v>
      </c>
      <c r="K19">
        <v>-3.47</v>
      </c>
      <c r="L19">
        <v>7.53</v>
      </c>
      <c r="M19">
        <v>15.67</v>
      </c>
      <c r="N19" s="20">
        <v>0</v>
      </c>
      <c r="O19">
        <v>85.09</v>
      </c>
      <c r="P19">
        <v>96.49</v>
      </c>
      <c r="Q19">
        <v>43.86</v>
      </c>
      <c r="R19" s="21">
        <v>5855.2053299999998</v>
      </c>
    </row>
    <row r="20" spans="7:18" x14ac:dyDescent="0.15">
      <c r="G20" s="11">
        <v>19</v>
      </c>
      <c r="H20" t="s">
        <v>1785</v>
      </c>
      <c r="I20" t="s">
        <v>1786</v>
      </c>
      <c r="J20" t="s">
        <v>1707</v>
      </c>
      <c r="K20">
        <v>169.89</v>
      </c>
      <c r="L20">
        <v>167.52</v>
      </c>
      <c r="M20">
        <v>160.86000000000001</v>
      </c>
      <c r="N20" s="20">
        <v>0</v>
      </c>
      <c r="O20">
        <v>84.21</v>
      </c>
      <c r="P20">
        <v>100</v>
      </c>
      <c r="Q20">
        <v>39.47</v>
      </c>
      <c r="R20" s="21">
        <v>38.101799999999997</v>
      </c>
    </row>
    <row r="21" spans="7:18" x14ac:dyDescent="0.15">
      <c r="G21" s="11">
        <v>20</v>
      </c>
      <c r="H21" t="s">
        <v>683</v>
      </c>
      <c r="I21" t="s">
        <v>1721</v>
      </c>
      <c r="J21" t="s">
        <v>15</v>
      </c>
      <c r="K21">
        <v>-3.36</v>
      </c>
      <c r="L21">
        <v>5.6</v>
      </c>
      <c r="M21">
        <v>12.79</v>
      </c>
      <c r="N21" s="20">
        <v>0</v>
      </c>
      <c r="O21">
        <v>83.33</v>
      </c>
      <c r="P21">
        <v>92.11</v>
      </c>
      <c r="Q21">
        <v>45.61</v>
      </c>
      <c r="R21" s="21">
        <v>65505.686199999996</v>
      </c>
    </row>
    <row r="22" spans="7:18" x14ac:dyDescent="0.15">
      <c r="G22" s="11">
        <v>21</v>
      </c>
      <c r="H22" t="s">
        <v>718</v>
      </c>
      <c r="I22" t="s">
        <v>1724</v>
      </c>
      <c r="J22" t="s">
        <v>15</v>
      </c>
      <c r="K22">
        <v>-3.7</v>
      </c>
      <c r="L22">
        <v>5.47</v>
      </c>
      <c r="M22">
        <v>12.81</v>
      </c>
      <c r="N22" s="20">
        <v>0</v>
      </c>
      <c r="O22">
        <v>82.46</v>
      </c>
      <c r="P22">
        <v>92.98</v>
      </c>
      <c r="Q22">
        <v>44.74</v>
      </c>
      <c r="R22" s="21">
        <v>9911.8201000000008</v>
      </c>
    </row>
    <row r="23" spans="7:18" x14ac:dyDescent="0.15">
      <c r="G23" s="11">
        <v>22</v>
      </c>
      <c r="H23" t="s">
        <v>1764</v>
      </c>
      <c r="I23" t="s">
        <v>1765</v>
      </c>
      <c r="J23" t="s">
        <v>1707</v>
      </c>
      <c r="K23">
        <v>31.54</v>
      </c>
      <c r="L23">
        <v>29.53</v>
      </c>
      <c r="M23">
        <v>22.64</v>
      </c>
      <c r="N23" s="20">
        <v>0</v>
      </c>
      <c r="O23">
        <v>81.58</v>
      </c>
      <c r="P23">
        <v>97.37</v>
      </c>
      <c r="Q23">
        <v>38.6</v>
      </c>
      <c r="R23" s="21">
        <v>8572.2201000000005</v>
      </c>
    </row>
    <row r="24" spans="7:18" x14ac:dyDescent="0.15">
      <c r="G24" s="11">
        <v>23</v>
      </c>
      <c r="H24" t="s">
        <v>1762</v>
      </c>
      <c r="I24" t="s">
        <v>1763</v>
      </c>
      <c r="J24" t="s">
        <v>1707</v>
      </c>
      <c r="K24">
        <v>35.58</v>
      </c>
      <c r="L24">
        <v>33.909999999999997</v>
      </c>
      <c r="M24">
        <v>34.270000000000003</v>
      </c>
      <c r="N24" s="20">
        <v>0</v>
      </c>
      <c r="O24">
        <v>80.7</v>
      </c>
      <c r="P24">
        <v>98.25</v>
      </c>
      <c r="Q24">
        <v>36.840000000000003</v>
      </c>
      <c r="R24" s="21">
        <v>5.07</v>
      </c>
    </row>
    <row r="25" spans="7:18" x14ac:dyDescent="0.15">
      <c r="G25" s="11">
        <v>24</v>
      </c>
      <c r="H25" t="s">
        <v>511</v>
      </c>
      <c r="I25" t="s">
        <v>1719</v>
      </c>
      <c r="J25" t="s">
        <v>1702</v>
      </c>
      <c r="K25">
        <v>0.48</v>
      </c>
      <c r="L25">
        <v>1.46</v>
      </c>
      <c r="M25">
        <v>1.75</v>
      </c>
      <c r="N25" s="20">
        <v>-0.3</v>
      </c>
      <c r="O25">
        <v>79.819999999999993</v>
      </c>
      <c r="P25">
        <v>61.4</v>
      </c>
      <c r="Q25">
        <v>73.680000000000007</v>
      </c>
      <c r="R25" s="21">
        <v>9102.6062000000002</v>
      </c>
    </row>
    <row r="26" spans="7:18" x14ac:dyDescent="0.15">
      <c r="G26" s="11">
        <v>25</v>
      </c>
      <c r="H26" t="s">
        <v>832</v>
      </c>
      <c r="I26" t="s">
        <v>831</v>
      </c>
      <c r="J26" t="s">
        <v>1703</v>
      </c>
      <c r="K26">
        <v>0.19</v>
      </c>
      <c r="L26">
        <v>-0.19</v>
      </c>
      <c r="M26">
        <v>0.67</v>
      </c>
      <c r="N26" s="20">
        <v>-0.38</v>
      </c>
      <c r="O26">
        <v>78.95</v>
      </c>
      <c r="P26">
        <v>49.12</v>
      </c>
      <c r="Q26">
        <v>78.95</v>
      </c>
      <c r="R26" s="21">
        <v>526.25670000000002</v>
      </c>
    </row>
    <row r="27" spans="7:18" x14ac:dyDescent="0.15">
      <c r="G27" s="11">
        <v>26</v>
      </c>
      <c r="H27" t="s">
        <v>298</v>
      </c>
      <c r="I27" t="s">
        <v>33</v>
      </c>
      <c r="J27" t="s">
        <v>1703</v>
      </c>
      <c r="K27">
        <v>-6.4</v>
      </c>
      <c r="L27">
        <v>0.55000000000000004</v>
      </c>
      <c r="M27">
        <v>2.85</v>
      </c>
      <c r="N27" s="20">
        <v>-0.06</v>
      </c>
      <c r="O27">
        <v>78.069999999999993</v>
      </c>
      <c r="P27">
        <v>64.91</v>
      </c>
      <c r="Q27">
        <v>62.28</v>
      </c>
      <c r="R27" s="21">
        <v>1856.2136899999998</v>
      </c>
    </row>
    <row r="28" spans="7:18" x14ac:dyDescent="0.15">
      <c r="G28" s="11">
        <v>27</v>
      </c>
      <c r="H28" t="s">
        <v>1791</v>
      </c>
      <c r="I28" t="s">
        <v>1792</v>
      </c>
      <c r="J28" t="s">
        <v>1707</v>
      </c>
      <c r="K28">
        <v>3.43</v>
      </c>
      <c r="L28">
        <v>-0.64</v>
      </c>
      <c r="M28">
        <v>11.84</v>
      </c>
      <c r="N28" s="20">
        <v>0</v>
      </c>
      <c r="O28">
        <v>77.19</v>
      </c>
      <c r="P28">
        <v>85.09</v>
      </c>
      <c r="Q28">
        <v>41.23</v>
      </c>
      <c r="R28" s="21">
        <v>74.998999999999995</v>
      </c>
    </row>
    <row r="29" spans="7:18" x14ac:dyDescent="0.15">
      <c r="G29" s="11">
        <v>28</v>
      </c>
      <c r="H29" t="s">
        <v>313</v>
      </c>
      <c r="I29" t="s">
        <v>1715</v>
      </c>
      <c r="J29" t="s">
        <v>1702</v>
      </c>
      <c r="K29">
        <v>0.1</v>
      </c>
      <c r="L29">
        <v>0.09</v>
      </c>
      <c r="M29">
        <v>0.34</v>
      </c>
      <c r="N29" s="20">
        <v>-0.59</v>
      </c>
      <c r="O29">
        <v>76.319999999999993</v>
      </c>
      <c r="P29">
        <v>42.11</v>
      </c>
      <c r="Q29">
        <v>84.21</v>
      </c>
      <c r="R29" s="21">
        <v>1128.83386</v>
      </c>
    </row>
    <row r="30" spans="7:18" x14ac:dyDescent="0.15">
      <c r="G30" s="11">
        <v>29</v>
      </c>
      <c r="H30" t="s">
        <v>774</v>
      </c>
      <c r="I30" t="s">
        <v>1737</v>
      </c>
      <c r="J30" t="s">
        <v>15</v>
      </c>
      <c r="K30">
        <v>-13.18</v>
      </c>
      <c r="L30">
        <v>-10.91</v>
      </c>
      <c r="M30">
        <v>-1.58</v>
      </c>
      <c r="N30" s="20">
        <v>-6.42</v>
      </c>
      <c r="O30">
        <v>75.44</v>
      </c>
      <c r="P30">
        <v>23.68</v>
      </c>
      <c r="Q30">
        <v>100</v>
      </c>
      <c r="R30" s="21">
        <v>2403.9131980000002</v>
      </c>
    </row>
    <row r="31" spans="7:18" x14ac:dyDescent="0.15">
      <c r="G31" s="11">
        <v>30</v>
      </c>
      <c r="H31" t="s">
        <v>323</v>
      </c>
      <c r="I31" t="s">
        <v>1725</v>
      </c>
      <c r="J31" t="s">
        <v>1702</v>
      </c>
      <c r="K31">
        <v>0</v>
      </c>
      <c r="L31">
        <v>0.11</v>
      </c>
      <c r="M31">
        <v>0.17</v>
      </c>
      <c r="N31" s="20">
        <v>-0.8</v>
      </c>
      <c r="O31">
        <v>74.56</v>
      </c>
      <c r="P31">
        <v>37.72</v>
      </c>
      <c r="Q31">
        <v>85.96</v>
      </c>
      <c r="R31" s="21">
        <v>0</v>
      </c>
    </row>
    <row r="32" spans="7:18" x14ac:dyDescent="0.15">
      <c r="G32" s="11">
        <v>31</v>
      </c>
      <c r="H32" t="s">
        <v>319</v>
      </c>
      <c r="I32" t="s">
        <v>19</v>
      </c>
      <c r="J32" t="s">
        <v>1702</v>
      </c>
      <c r="K32">
        <v>0.03</v>
      </c>
      <c r="L32">
        <v>0.04</v>
      </c>
      <c r="M32">
        <v>0.03</v>
      </c>
      <c r="N32" s="20">
        <v>-2.25</v>
      </c>
      <c r="O32">
        <v>73.680000000000007</v>
      </c>
      <c r="P32">
        <v>29.82</v>
      </c>
      <c r="Q32">
        <v>92.98</v>
      </c>
      <c r="R32" s="21">
        <v>414.3903846</v>
      </c>
    </row>
    <row r="33" spans="7:18" x14ac:dyDescent="0.15">
      <c r="G33" s="11">
        <v>32</v>
      </c>
      <c r="H33" t="s">
        <v>367</v>
      </c>
      <c r="I33" t="s">
        <v>23</v>
      </c>
      <c r="J33" t="s">
        <v>1703</v>
      </c>
      <c r="K33">
        <v>0.19</v>
      </c>
      <c r="L33">
        <v>-0.2</v>
      </c>
      <c r="M33">
        <v>0.66</v>
      </c>
      <c r="N33" s="20">
        <v>-0.25</v>
      </c>
      <c r="O33">
        <v>72.81</v>
      </c>
      <c r="P33">
        <v>48.25</v>
      </c>
      <c r="Q33">
        <v>72.81</v>
      </c>
      <c r="R33" s="21">
        <v>140.66040000000001</v>
      </c>
    </row>
    <row r="34" spans="7:18" x14ac:dyDescent="0.15">
      <c r="G34" s="11">
        <v>33</v>
      </c>
      <c r="H34" t="s">
        <v>1704</v>
      </c>
      <c r="I34" t="s">
        <v>1705</v>
      </c>
      <c r="J34" t="s">
        <v>15</v>
      </c>
      <c r="K34">
        <v>-0.43</v>
      </c>
      <c r="L34">
        <v>-0.27</v>
      </c>
      <c r="M34">
        <v>-0.77</v>
      </c>
      <c r="N34" s="20">
        <v>-2.4700000000000002</v>
      </c>
      <c r="O34">
        <v>71.930000000000007</v>
      </c>
      <c r="P34">
        <v>26.32</v>
      </c>
      <c r="Q34">
        <v>94.74</v>
      </c>
      <c r="R34" s="21">
        <v>318.92660000000001</v>
      </c>
    </row>
    <row r="35" spans="7:18" x14ac:dyDescent="0.15">
      <c r="G35" s="11">
        <v>34</v>
      </c>
      <c r="H35" t="s">
        <v>287</v>
      </c>
      <c r="I35" t="s">
        <v>24</v>
      </c>
      <c r="J35" t="s">
        <v>15</v>
      </c>
      <c r="K35">
        <v>-10.45</v>
      </c>
      <c r="L35">
        <v>-8.4700000000000006</v>
      </c>
      <c r="M35">
        <v>-1.88</v>
      </c>
      <c r="N35" s="20">
        <v>-5.27</v>
      </c>
      <c r="O35">
        <v>71.05</v>
      </c>
      <c r="P35">
        <v>21.93</v>
      </c>
      <c r="Q35">
        <v>98.25</v>
      </c>
      <c r="R35" s="21">
        <v>140.38301419999999</v>
      </c>
    </row>
    <row r="36" spans="7:18" x14ac:dyDescent="0.15">
      <c r="G36" s="11">
        <v>35</v>
      </c>
      <c r="H36" t="s">
        <v>406</v>
      </c>
      <c r="I36" t="s">
        <v>30</v>
      </c>
      <c r="J36" t="s">
        <v>1703</v>
      </c>
      <c r="K36">
        <v>-2.0499999999999998</v>
      </c>
      <c r="L36">
        <v>0.45</v>
      </c>
      <c r="M36">
        <v>0.62</v>
      </c>
      <c r="N36" s="20">
        <v>-0.3</v>
      </c>
      <c r="O36">
        <v>70.180000000000007</v>
      </c>
      <c r="P36">
        <v>45.61</v>
      </c>
      <c r="Q36">
        <v>74.56</v>
      </c>
      <c r="R36" s="21">
        <v>3137.39626</v>
      </c>
    </row>
    <row r="37" spans="7:18" x14ac:dyDescent="0.15">
      <c r="G37" s="11">
        <v>36</v>
      </c>
      <c r="H37" t="s">
        <v>330</v>
      </c>
      <c r="I37" t="s">
        <v>1710</v>
      </c>
      <c r="J37" t="s">
        <v>1702</v>
      </c>
      <c r="K37">
        <v>0.05</v>
      </c>
      <c r="L37">
        <v>0.05</v>
      </c>
      <c r="M37">
        <v>0.21</v>
      </c>
      <c r="N37" s="20">
        <v>-0.41</v>
      </c>
      <c r="O37">
        <v>69.3</v>
      </c>
      <c r="P37">
        <v>39.47</v>
      </c>
      <c r="Q37">
        <v>79.819999999999993</v>
      </c>
      <c r="R37" s="21">
        <v>3756.7204999999999</v>
      </c>
    </row>
    <row r="38" spans="7:18" x14ac:dyDescent="0.15">
      <c r="G38" s="11">
        <v>37</v>
      </c>
      <c r="H38" t="s">
        <v>410</v>
      </c>
      <c r="I38" t="s">
        <v>1728</v>
      </c>
      <c r="J38" t="s">
        <v>1729</v>
      </c>
      <c r="K38">
        <v>0.21</v>
      </c>
      <c r="L38">
        <v>-0.06</v>
      </c>
      <c r="M38">
        <v>0.77</v>
      </c>
      <c r="N38" s="20">
        <v>-0.05</v>
      </c>
      <c r="O38">
        <v>68.42</v>
      </c>
      <c r="P38">
        <v>57.02</v>
      </c>
      <c r="Q38">
        <v>61.4</v>
      </c>
      <c r="R38" s="21">
        <v>24236.078846500001</v>
      </c>
    </row>
    <row r="39" spans="7:18" x14ac:dyDescent="0.15">
      <c r="G39" s="11">
        <v>38</v>
      </c>
      <c r="H39" t="s">
        <v>635</v>
      </c>
      <c r="I39" t="s">
        <v>1713</v>
      </c>
      <c r="J39" t="s">
        <v>15</v>
      </c>
      <c r="K39">
        <v>-3.61</v>
      </c>
      <c r="L39">
        <v>5.55</v>
      </c>
      <c r="M39">
        <v>12.86</v>
      </c>
      <c r="N39" s="20">
        <v>0.17</v>
      </c>
      <c r="O39">
        <v>67.540000000000006</v>
      </c>
      <c r="P39">
        <v>93.86</v>
      </c>
      <c r="Q39">
        <v>24.56</v>
      </c>
      <c r="R39" s="21">
        <v>18580.44947</v>
      </c>
    </row>
    <row r="40" spans="7:18" x14ac:dyDescent="0.15">
      <c r="G40" s="11">
        <v>39</v>
      </c>
      <c r="H40" t="s">
        <v>763</v>
      </c>
      <c r="I40" t="s">
        <v>1738</v>
      </c>
      <c r="J40" t="s">
        <v>15</v>
      </c>
      <c r="K40">
        <v>-4.16</v>
      </c>
      <c r="L40">
        <v>6.22</v>
      </c>
      <c r="M40">
        <v>14.9</v>
      </c>
      <c r="N40" s="20">
        <v>0.19</v>
      </c>
      <c r="O40">
        <v>66.67</v>
      </c>
      <c r="P40">
        <v>94.74</v>
      </c>
      <c r="Q40">
        <v>22.81</v>
      </c>
      <c r="R40" s="21">
        <v>412553.3248</v>
      </c>
    </row>
    <row r="41" spans="7:18" x14ac:dyDescent="0.15">
      <c r="G41" s="11">
        <v>40</v>
      </c>
      <c r="H41" t="s">
        <v>405</v>
      </c>
      <c r="I41" t="s">
        <v>1732</v>
      </c>
      <c r="J41" t="s">
        <v>1729</v>
      </c>
      <c r="K41">
        <v>0.21</v>
      </c>
      <c r="L41">
        <v>-0.06</v>
      </c>
      <c r="M41">
        <v>0.77</v>
      </c>
      <c r="N41" s="20">
        <v>-0.03</v>
      </c>
      <c r="O41">
        <v>65.790000000000006</v>
      </c>
      <c r="P41">
        <v>56.14</v>
      </c>
      <c r="Q41">
        <v>60.53</v>
      </c>
      <c r="R41" s="21">
        <v>26275.759050000001</v>
      </c>
    </row>
    <row r="42" spans="7:18" x14ac:dyDescent="0.15">
      <c r="G42" s="11">
        <v>41</v>
      </c>
      <c r="H42" t="s">
        <v>599</v>
      </c>
      <c r="I42" t="s">
        <v>1696</v>
      </c>
      <c r="J42" t="s">
        <v>15</v>
      </c>
      <c r="K42">
        <v>-3.65</v>
      </c>
      <c r="L42">
        <v>5.46</v>
      </c>
      <c r="M42">
        <v>12.67</v>
      </c>
      <c r="N42" s="20">
        <v>0.17</v>
      </c>
      <c r="O42">
        <v>64.91</v>
      </c>
      <c r="P42">
        <v>90.35</v>
      </c>
      <c r="Q42">
        <v>26.32</v>
      </c>
      <c r="R42" s="21">
        <v>11429.521588</v>
      </c>
    </row>
    <row r="43" spans="7:18" x14ac:dyDescent="0.15">
      <c r="G43" s="11">
        <v>42</v>
      </c>
      <c r="H43" t="s">
        <v>359</v>
      </c>
      <c r="I43" t="s">
        <v>1734</v>
      </c>
      <c r="J43" t="s">
        <v>15</v>
      </c>
      <c r="K43">
        <v>-11.01</v>
      </c>
      <c r="L43">
        <v>-9.01</v>
      </c>
      <c r="M43">
        <v>-3.68</v>
      </c>
      <c r="N43" s="20">
        <v>-4.6399999999999997</v>
      </c>
      <c r="O43">
        <v>64.040000000000006</v>
      </c>
      <c r="P43">
        <v>20.18</v>
      </c>
      <c r="Q43">
        <v>96.49</v>
      </c>
      <c r="R43" s="21">
        <v>271.91980950000004</v>
      </c>
    </row>
    <row r="44" spans="7:18" x14ac:dyDescent="0.15">
      <c r="G44" s="11">
        <v>43</v>
      </c>
      <c r="H44" t="s">
        <v>315</v>
      </c>
      <c r="I44" t="s">
        <v>1718</v>
      </c>
      <c r="J44" t="s">
        <v>1702</v>
      </c>
      <c r="K44">
        <v>0.09</v>
      </c>
      <c r="L44">
        <v>0.05</v>
      </c>
      <c r="M44">
        <v>0.2</v>
      </c>
      <c r="N44" s="20">
        <v>-0.35</v>
      </c>
      <c r="O44">
        <v>63.16</v>
      </c>
      <c r="P44">
        <v>38.6</v>
      </c>
      <c r="Q44">
        <v>76.319999999999993</v>
      </c>
      <c r="R44" s="21">
        <v>974.38691999999992</v>
      </c>
    </row>
    <row r="45" spans="7:18" x14ac:dyDescent="0.15">
      <c r="G45" s="11">
        <v>44</v>
      </c>
      <c r="H45" t="s">
        <v>324</v>
      </c>
      <c r="I45" t="s">
        <v>1708</v>
      </c>
      <c r="J45" t="s">
        <v>1702</v>
      </c>
      <c r="K45">
        <v>-0.01</v>
      </c>
      <c r="L45">
        <v>-7.0000000000000007E-2</v>
      </c>
      <c r="M45">
        <v>0.16</v>
      </c>
      <c r="N45" s="20">
        <v>-0.35</v>
      </c>
      <c r="O45">
        <v>62.28</v>
      </c>
      <c r="P45">
        <v>35.090000000000003</v>
      </c>
      <c r="Q45">
        <v>77.19</v>
      </c>
      <c r="R45" s="21">
        <v>2769.8483000000001</v>
      </c>
    </row>
    <row r="46" spans="7:18" x14ac:dyDescent="0.15">
      <c r="G46" s="11">
        <v>45</v>
      </c>
      <c r="H46" t="s">
        <v>354</v>
      </c>
      <c r="I46" t="s">
        <v>21</v>
      </c>
      <c r="J46" t="s">
        <v>1703</v>
      </c>
      <c r="K46">
        <v>0.18</v>
      </c>
      <c r="L46">
        <v>-0.24</v>
      </c>
      <c r="M46">
        <v>0.57999999999999996</v>
      </c>
      <c r="N46" s="20">
        <v>-0.13</v>
      </c>
      <c r="O46">
        <v>61.4</v>
      </c>
      <c r="P46">
        <v>44.74</v>
      </c>
      <c r="Q46">
        <v>66.67</v>
      </c>
      <c r="R46" s="21">
        <v>184.9753268</v>
      </c>
    </row>
    <row r="47" spans="7:18" x14ac:dyDescent="0.15">
      <c r="G47" s="11">
        <v>46</v>
      </c>
      <c r="H47" t="s">
        <v>771</v>
      </c>
      <c r="I47" t="s">
        <v>1805</v>
      </c>
      <c r="J47" t="s">
        <v>15</v>
      </c>
      <c r="K47">
        <v>-4.47</v>
      </c>
      <c r="L47">
        <v>-5.61</v>
      </c>
      <c r="M47">
        <v>-4.8499999999999996</v>
      </c>
      <c r="N47" s="20">
        <v>-2.0499999999999998</v>
      </c>
      <c r="O47">
        <v>60.53</v>
      </c>
      <c r="P47">
        <v>19.3</v>
      </c>
      <c r="Q47">
        <v>91.23</v>
      </c>
      <c r="R47" s="21">
        <v>110.00489169999999</v>
      </c>
    </row>
    <row r="48" spans="7:18" x14ac:dyDescent="0.15">
      <c r="G48" s="11">
        <v>47</v>
      </c>
      <c r="H48" t="s">
        <v>1787</v>
      </c>
      <c r="I48" t="s">
        <v>1788</v>
      </c>
      <c r="J48" t="s">
        <v>1707</v>
      </c>
      <c r="K48">
        <v>2.08</v>
      </c>
      <c r="L48">
        <v>1.47</v>
      </c>
      <c r="M48">
        <v>0.7</v>
      </c>
      <c r="N48" s="20">
        <v>-0.01</v>
      </c>
      <c r="O48">
        <v>59.65</v>
      </c>
      <c r="P48">
        <v>50.88</v>
      </c>
      <c r="Q48">
        <v>57.89</v>
      </c>
      <c r="R48" s="21">
        <v>28.120200000000001</v>
      </c>
    </row>
    <row r="49" spans="7:18" x14ac:dyDescent="0.15">
      <c r="G49" s="11">
        <v>48</v>
      </c>
      <c r="H49" t="s">
        <v>400</v>
      </c>
      <c r="I49" t="s">
        <v>1766</v>
      </c>
      <c r="J49" t="s">
        <v>1729</v>
      </c>
      <c r="K49">
        <v>0.21</v>
      </c>
      <c r="L49">
        <v>-7.0000000000000007E-2</v>
      </c>
      <c r="M49">
        <v>0.74</v>
      </c>
      <c r="N49" s="20">
        <v>0</v>
      </c>
      <c r="O49">
        <v>58.77</v>
      </c>
      <c r="P49">
        <v>52.63</v>
      </c>
      <c r="Q49">
        <v>56.14</v>
      </c>
      <c r="R49" s="21">
        <v>542.42280000000005</v>
      </c>
    </row>
    <row r="50" spans="7:18" x14ac:dyDescent="0.15">
      <c r="G50" s="11">
        <v>49</v>
      </c>
      <c r="H50" t="s">
        <v>1799</v>
      </c>
      <c r="I50" t="s">
        <v>1800</v>
      </c>
      <c r="J50" t="s">
        <v>15</v>
      </c>
      <c r="K50">
        <v>-7.84</v>
      </c>
      <c r="L50">
        <v>-9.39</v>
      </c>
      <c r="M50">
        <v>-6.58</v>
      </c>
      <c r="N50" s="20">
        <v>-2.98</v>
      </c>
      <c r="O50">
        <v>57.89</v>
      </c>
      <c r="P50">
        <v>13.16</v>
      </c>
      <c r="Q50">
        <v>95.61</v>
      </c>
      <c r="R50" s="21">
        <v>100.61845150000001</v>
      </c>
    </row>
    <row r="51" spans="7:18" x14ac:dyDescent="0.15">
      <c r="G51" s="11">
        <v>50</v>
      </c>
      <c r="H51" t="s">
        <v>728</v>
      </c>
      <c r="I51" t="s">
        <v>1709</v>
      </c>
      <c r="J51" t="s">
        <v>15</v>
      </c>
      <c r="K51">
        <v>-2.08</v>
      </c>
      <c r="L51">
        <v>7.11</v>
      </c>
      <c r="M51">
        <v>8.8000000000000007</v>
      </c>
      <c r="N51" s="20">
        <v>0.17</v>
      </c>
      <c r="O51">
        <v>57.02</v>
      </c>
      <c r="P51">
        <v>82.46</v>
      </c>
      <c r="Q51">
        <v>25.44</v>
      </c>
      <c r="R51" s="21">
        <v>3256.9282739999999</v>
      </c>
    </row>
    <row r="52" spans="7:18" x14ac:dyDescent="0.15">
      <c r="G52" s="11">
        <v>51</v>
      </c>
      <c r="H52" t="s">
        <v>335</v>
      </c>
      <c r="I52" t="s">
        <v>1716</v>
      </c>
      <c r="J52" t="s">
        <v>1702</v>
      </c>
      <c r="K52">
        <v>-0.08</v>
      </c>
      <c r="L52">
        <v>0</v>
      </c>
      <c r="M52">
        <v>0.17</v>
      </c>
      <c r="N52" s="20">
        <v>-0.17</v>
      </c>
      <c r="O52">
        <v>56.14</v>
      </c>
      <c r="P52">
        <v>36.840000000000003</v>
      </c>
      <c r="Q52">
        <v>71.05</v>
      </c>
      <c r="R52" s="21">
        <v>29726.5622</v>
      </c>
    </row>
    <row r="53" spans="7:18" x14ac:dyDescent="0.15">
      <c r="G53" s="11">
        <v>52</v>
      </c>
      <c r="H53" t="s">
        <v>806</v>
      </c>
      <c r="I53" t="s">
        <v>805</v>
      </c>
      <c r="J53" t="s">
        <v>1703</v>
      </c>
      <c r="K53">
        <v>0.2</v>
      </c>
      <c r="L53">
        <v>-0.18</v>
      </c>
      <c r="M53">
        <v>0.69</v>
      </c>
      <c r="N53" s="20">
        <v>0</v>
      </c>
      <c r="O53">
        <v>55.26</v>
      </c>
      <c r="P53">
        <v>50</v>
      </c>
      <c r="Q53">
        <v>57.02</v>
      </c>
      <c r="R53" s="21">
        <v>580.4564537</v>
      </c>
    </row>
    <row r="54" spans="7:18" x14ac:dyDescent="0.15">
      <c r="G54" s="11">
        <v>53</v>
      </c>
      <c r="H54" t="s">
        <v>1789</v>
      </c>
      <c r="I54" t="s">
        <v>1790</v>
      </c>
      <c r="J54" t="s">
        <v>1707</v>
      </c>
      <c r="K54">
        <v>3.85</v>
      </c>
      <c r="L54">
        <v>1.8</v>
      </c>
      <c r="M54">
        <v>5.89</v>
      </c>
      <c r="N54" s="20">
        <v>0.02</v>
      </c>
      <c r="O54">
        <v>54.39</v>
      </c>
      <c r="P54">
        <v>71.930000000000007</v>
      </c>
      <c r="Q54">
        <v>34.21</v>
      </c>
      <c r="R54" s="21">
        <v>1098.712</v>
      </c>
    </row>
    <row r="55" spans="7:18" x14ac:dyDescent="0.15">
      <c r="G55" s="11">
        <v>54</v>
      </c>
      <c r="H55" t="s">
        <v>437</v>
      </c>
      <c r="I55" t="s">
        <v>1784</v>
      </c>
      <c r="J55" t="s">
        <v>1707</v>
      </c>
      <c r="K55">
        <v>3.25</v>
      </c>
      <c r="L55">
        <v>-4.8099999999999996</v>
      </c>
      <c r="M55">
        <v>1.81</v>
      </c>
      <c r="N55" s="20">
        <v>0</v>
      </c>
      <c r="O55">
        <v>53.51</v>
      </c>
      <c r="P55">
        <v>62.28</v>
      </c>
      <c r="Q55">
        <v>42.11</v>
      </c>
      <c r="R55" s="21">
        <v>28994.6623468</v>
      </c>
    </row>
    <row r="56" spans="7:18" x14ac:dyDescent="0.15">
      <c r="G56" s="11">
        <v>55</v>
      </c>
      <c r="H56" t="s">
        <v>472</v>
      </c>
      <c r="I56" t="s">
        <v>1760</v>
      </c>
      <c r="J56" t="s">
        <v>1702</v>
      </c>
      <c r="K56">
        <v>0.04</v>
      </c>
      <c r="L56">
        <v>0.02</v>
      </c>
      <c r="M56">
        <v>0.03</v>
      </c>
      <c r="N56" s="20">
        <v>-0.34</v>
      </c>
      <c r="O56">
        <v>52.63</v>
      </c>
      <c r="P56">
        <v>28.95</v>
      </c>
      <c r="Q56">
        <v>75.44</v>
      </c>
      <c r="R56" s="21">
        <v>1070.4765</v>
      </c>
    </row>
    <row r="57" spans="7:18" x14ac:dyDescent="0.15">
      <c r="G57" s="11">
        <v>56</v>
      </c>
      <c r="H57" t="s">
        <v>776</v>
      </c>
      <c r="I57" t="s">
        <v>1806</v>
      </c>
      <c r="J57" t="s">
        <v>15</v>
      </c>
      <c r="K57">
        <v>-8.5500000000000007</v>
      </c>
      <c r="L57">
        <v>-10.67</v>
      </c>
      <c r="M57">
        <v>-6.73</v>
      </c>
      <c r="N57" s="20">
        <v>-2.13</v>
      </c>
      <c r="O57">
        <v>51.75</v>
      </c>
      <c r="P57">
        <v>11.4</v>
      </c>
      <c r="Q57">
        <v>92.11</v>
      </c>
      <c r="R57" s="21">
        <v>169.7932859</v>
      </c>
    </row>
    <row r="58" spans="7:18" x14ac:dyDescent="0.15">
      <c r="G58" s="11">
        <v>57</v>
      </c>
      <c r="H58" t="s">
        <v>1756</v>
      </c>
      <c r="I58" t="s">
        <v>1757</v>
      </c>
      <c r="J58" t="s">
        <v>1702</v>
      </c>
      <c r="K58">
        <v>0.1</v>
      </c>
      <c r="L58">
        <v>0.11</v>
      </c>
      <c r="M58">
        <v>0.27</v>
      </c>
      <c r="N58" s="20">
        <v>-7.0000000000000007E-2</v>
      </c>
      <c r="O58">
        <v>50.88</v>
      </c>
      <c r="P58">
        <v>40.35</v>
      </c>
      <c r="Q58">
        <v>63.16</v>
      </c>
      <c r="R58" s="21">
        <v>20.450110000000002</v>
      </c>
    </row>
    <row r="59" spans="7:18" x14ac:dyDescent="0.15">
      <c r="G59" s="11">
        <v>58</v>
      </c>
      <c r="H59" t="s">
        <v>1711</v>
      </c>
      <c r="I59" t="s">
        <v>1712</v>
      </c>
      <c r="J59" t="s">
        <v>1702</v>
      </c>
      <c r="K59">
        <v>0.3</v>
      </c>
      <c r="L59">
        <v>0.66</v>
      </c>
      <c r="M59">
        <v>0.97</v>
      </c>
      <c r="N59" s="20">
        <v>0</v>
      </c>
      <c r="O59">
        <v>50</v>
      </c>
      <c r="P59">
        <v>59.65</v>
      </c>
      <c r="Q59">
        <v>42.98</v>
      </c>
      <c r="R59" s="21">
        <v>132.40211289999999</v>
      </c>
    </row>
    <row r="60" spans="7:18" x14ac:dyDescent="0.15">
      <c r="G60" s="11">
        <v>59</v>
      </c>
      <c r="H60" t="s">
        <v>507</v>
      </c>
      <c r="I60" t="s">
        <v>28</v>
      </c>
      <c r="J60" t="s">
        <v>15</v>
      </c>
      <c r="K60">
        <v>-2.59</v>
      </c>
      <c r="L60">
        <v>3.33</v>
      </c>
      <c r="M60">
        <v>8.2100000000000009</v>
      </c>
      <c r="N60" s="20">
        <v>0.19</v>
      </c>
      <c r="O60">
        <v>49.12</v>
      </c>
      <c r="P60">
        <v>78.95</v>
      </c>
      <c r="Q60">
        <v>21.93</v>
      </c>
      <c r="R60" s="21">
        <v>1027.8537321000001</v>
      </c>
    </row>
    <row r="61" spans="7:18" x14ac:dyDescent="0.15">
      <c r="G61" s="11">
        <v>60</v>
      </c>
      <c r="H61" t="s">
        <v>362</v>
      </c>
      <c r="I61" t="s">
        <v>1745</v>
      </c>
      <c r="J61" t="s">
        <v>1703</v>
      </c>
      <c r="K61">
        <v>0.2</v>
      </c>
      <c r="L61">
        <v>-0.21</v>
      </c>
      <c r="M61">
        <v>0.65</v>
      </c>
      <c r="N61" s="20">
        <v>0</v>
      </c>
      <c r="O61">
        <v>48.25</v>
      </c>
      <c r="P61">
        <v>47.37</v>
      </c>
      <c r="Q61">
        <v>51.75</v>
      </c>
      <c r="R61" s="21">
        <v>3179.7105999999999</v>
      </c>
    </row>
    <row r="62" spans="7:18" x14ac:dyDescent="0.15">
      <c r="G62" s="11">
        <v>61</v>
      </c>
      <c r="H62" t="s">
        <v>386</v>
      </c>
      <c r="I62" t="s">
        <v>1730</v>
      </c>
      <c r="J62" t="s">
        <v>1729</v>
      </c>
      <c r="K62">
        <v>0.22</v>
      </c>
      <c r="L62">
        <v>-0.05</v>
      </c>
      <c r="M62">
        <v>0.78</v>
      </c>
      <c r="N62" s="20">
        <v>0</v>
      </c>
      <c r="O62">
        <v>47.37</v>
      </c>
      <c r="P62">
        <v>57.89</v>
      </c>
      <c r="Q62">
        <v>40.35</v>
      </c>
      <c r="R62" s="21">
        <v>73375.130799999999</v>
      </c>
    </row>
    <row r="63" spans="7:18" x14ac:dyDescent="0.15">
      <c r="G63" s="11">
        <v>62</v>
      </c>
      <c r="H63" t="s">
        <v>726</v>
      </c>
      <c r="I63" t="s">
        <v>1743</v>
      </c>
      <c r="J63" t="s">
        <v>15</v>
      </c>
      <c r="K63">
        <v>-3.2</v>
      </c>
      <c r="L63">
        <v>-1.01</v>
      </c>
      <c r="M63">
        <v>3.12</v>
      </c>
      <c r="N63" s="20">
        <v>0.05</v>
      </c>
      <c r="O63">
        <v>46.49</v>
      </c>
      <c r="P63">
        <v>65.790000000000006</v>
      </c>
      <c r="Q63">
        <v>30.7</v>
      </c>
      <c r="R63" s="21">
        <v>4537.5012999999999</v>
      </c>
    </row>
    <row r="64" spans="7:18" x14ac:dyDescent="0.15">
      <c r="G64" s="11">
        <v>63</v>
      </c>
      <c r="H64" t="s">
        <v>575</v>
      </c>
      <c r="I64" t="s">
        <v>1699</v>
      </c>
      <c r="J64" t="s">
        <v>15</v>
      </c>
      <c r="K64">
        <v>-2.0299999999999998</v>
      </c>
      <c r="L64">
        <v>6.9</v>
      </c>
      <c r="M64">
        <v>8.7899999999999991</v>
      </c>
      <c r="N64" s="20">
        <v>0.76</v>
      </c>
      <c r="O64">
        <v>45.61</v>
      </c>
      <c r="P64">
        <v>81.58</v>
      </c>
      <c r="Q64">
        <v>14.91</v>
      </c>
      <c r="R64" s="21">
        <v>129683.3064</v>
      </c>
    </row>
    <row r="65" spans="7:18" x14ac:dyDescent="0.15">
      <c r="G65" s="11">
        <v>64</v>
      </c>
      <c r="H65" t="s">
        <v>1767</v>
      </c>
      <c r="I65" t="s">
        <v>1768</v>
      </c>
      <c r="J65" t="s">
        <v>1702</v>
      </c>
      <c r="K65">
        <v>0.06</v>
      </c>
      <c r="L65">
        <v>0.06</v>
      </c>
      <c r="M65">
        <v>0.06</v>
      </c>
      <c r="N65" s="20">
        <v>-7.0000000000000007E-2</v>
      </c>
      <c r="O65">
        <v>44.74</v>
      </c>
      <c r="P65">
        <v>30.7</v>
      </c>
      <c r="Q65">
        <v>64.040000000000006</v>
      </c>
      <c r="R65" s="21">
        <v>2006.6694594999999</v>
      </c>
    </row>
    <row r="66" spans="7:18" x14ac:dyDescent="0.15">
      <c r="G66" s="11">
        <v>65</v>
      </c>
      <c r="H66" t="s">
        <v>499</v>
      </c>
      <c r="I66" t="s">
        <v>1741</v>
      </c>
      <c r="J66" t="s">
        <v>1702</v>
      </c>
      <c r="K66">
        <v>0.08</v>
      </c>
      <c r="L66">
        <v>7.0000000000000007E-2</v>
      </c>
      <c r="M66">
        <v>0.16</v>
      </c>
      <c r="N66" s="20">
        <v>-0.01</v>
      </c>
      <c r="O66">
        <v>43.86</v>
      </c>
      <c r="P66">
        <v>35.96</v>
      </c>
      <c r="Q66">
        <v>58.77</v>
      </c>
      <c r="R66" s="21">
        <v>20202.761399999999</v>
      </c>
    </row>
    <row r="67" spans="7:18" x14ac:dyDescent="0.15">
      <c r="G67" s="11">
        <v>66</v>
      </c>
      <c r="H67" t="s">
        <v>765</v>
      </c>
      <c r="I67" t="s">
        <v>1693</v>
      </c>
      <c r="J67" t="s">
        <v>15</v>
      </c>
      <c r="K67">
        <v>-3.88</v>
      </c>
      <c r="L67">
        <v>6.41</v>
      </c>
      <c r="M67">
        <v>12.42</v>
      </c>
      <c r="N67" s="20">
        <v>2.34</v>
      </c>
      <c r="O67">
        <v>42.98</v>
      </c>
      <c r="P67">
        <v>86.84</v>
      </c>
      <c r="Q67">
        <v>7.02</v>
      </c>
      <c r="R67" s="21">
        <v>133711.03138080001</v>
      </c>
    </row>
    <row r="68" spans="7:18" x14ac:dyDescent="0.15">
      <c r="G68" s="11">
        <v>67</v>
      </c>
      <c r="H68" t="s">
        <v>1801</v>
      </c>
      <c r="I68" t="s">
        <v>1802</v>
      </c>
      <c r="J68" t="s">
        <v>15</v>
      </c>
      <c r="K68">
        <v>-6.02</v>
      </c>
      <c r="L68">
        <v>-9.7899999999999991</v>
      </c>
      <c r="M68">
        <v>-8.39</v>
      </c>
      <c r="N68" s="20">
        <v>-1.01</v>
      </c>
      <c r="O68">
        <v>42.11</v>
      </c>
      <c r="P68">
        <v>3.51</v>
      </c>
      <c r="Q68">
        <v>90.35</v>
      </c>
      <c r="R68" s="21">
        <v>29.333879599999996</v>
      </c>
    </row>
    <row r="69" spans="7:18" x14ac:dyDescent="0.15">
      <c r="G69" s="11">
        <v>68</v>
      </c>
      <c r="H69" t="s">
        <v>766</v>
      </c>
      <c r="I69" t="s">
        <v>1812</v>
      </c>
      <c r="J69" t="s">
        <v>15</v>
      </c>
      <c r="K69">
        <v>-3.67</v>
      </c>
      <c r="L69">
        <v>6.42</v>
      </c>
      <c r="M69">
        <v>12.55</v>
      </c>
      <c r="N69" s="20">
        <v>2.57</v>
      </c>
      <c r="O69">
        <v>41.23</v>
      </c>
      <c r="P69">
        <v>87.72</v>
      </c>
      <c r="Q69">
        <v>5.26</v>
      </c>
      <c r="R69" s="21">
        <v>21332.887934099999</v>
      </c>
    </row>
    <row r="70" spans="7:18" x14ac:dyDescent="0.15">
      <c r="G70" s="11">
        <v>69</v>
      </c>
      <c r="H70" t="s">
        <v>414</v>
      </c>
      <c r="I70" t="s">
        <v>22</v>
      </c>
      <c r="J70" t="s">
        <v>1703</v>
      </c>
      <c r="K70">
        <v>0.2</v>
      </c>
      <c r="L70">
        <v>-0.2</v>
      </c>
      <c r="M70">
        <v>0.65</v>
      </c>
      <c r="N70" s="20">
        <v>0</v>
      </c>
      <c r="O70">
        <v>40.35</v>
      </c>
      <c r="P70">
        <v>46.49</v>
      </c>
      <c r="Q70">
        <v>46.49</v>
      </c>
      <c r="R70" s="21">
        <v>432.11989999999997</v>
      </c>
    </row>
    <row r="71" spans="7:18" x14ac:dyDescent="0.15">
      <c r="G71" s="11">
        <v>70</v>
      </c>
      <c r="H71" t="s">
        <v>381</v>
      </c>
      <c r="I71" t="s">
        <v>1727</v>
      </c>
      <c r="J71" t="s">
        <v>1702</v>
      </c>
      <c r="K71">
        <v>-0.08</v>
      </c>
      <c r="L71">
        <v>0</v>
      </c>
      <c r="M71">
        <v>0</v>
      </c>
      <c r="N71" s="20">
        <v>-0.12</v>
      </c>
      <c r="O71">
        <v>39.47</v>
      </c>
      <c r="P71">
        <v>28.07</v>
      </c>
      <c r="Q71">
        <v>64.91</v>
      </c>
      <c r="R71" s="21">
        <v>13233.5944</v>
      </c>
    </row>
    <row r="72" spans="7:18" x14ac:dyDescent="0.15">
      <c r="G72" s="11">
        <v>71</v>
      </c>
      <c r="H72" t="s">
        <v>285</v>
      </c>
      <c r="I72" t="s">
        <v>26</v>
      </c>
      <c r="J72" t="s">
        <v>15</v>
      </c>
      <c r="K72">
        <v>-2.52</v>
      </c>
      <c r="L72">
        <v>2.34</v>
      </c>
      <c r="M72">
        <v>7.18</v>
      </c>
      <c r="N72" s="20">
        <v>0.61</v>
      </c>
      <c r="O72">
        <v>38.6</v>
      </c>
      <c r="P72">
        <v>77.19</v>
      </c>
      <c r="Q72">
        <v>15.79</v>
      </c>
      <c r="R72" s="21">
        <v>41.133224599999998</v>
      </c>
    </row>
    <row r="73" spans="7:18" x14ac:dyDescent="0.15">
      <c r="G73" s="11">
        <v>72</v>
      </c>
      <c r="H73" t="s">
        <v>1795</v>
      </c>
      <c r="I73" t="s">
        <v>1796</v>
      </c>
      <c r="J73" t="s">
        <v>1707</v>
      </c>
      <c r="K73">
        <v>-27.07</v>
      </c>
      <c r="L73">
        <v>-4.59</v>
      </c>
      <c r="M73">
        <v>0.8</v>
      </c>
      <c r="N73" s="20">
        <v>0.03</v>
      </c>
      <c r="O73">
        <v>37.72</v>
      </c>
      <c r="P73">
        <v>58.77</v>
      </c>
      <c r="Q73">
        <v>33.33</v>
      </c>
      <c r="R73" s="21">
        <v>1.0003</v>
      </c>
    </row>
    <row r="74" spans="7:18" x14ac:dyDescent="0.15">
      <c r="G74" s="11">
        <v>73</v>
      </c>
      <c r="H74" t="s">
        <v>754</v>
      </c>
      <c r="I74" t="s">
        <v>1755</v>
      </c>
      <c r="J74" t="s">
        <v>15</v>
      </c>
      <c r="K74">
        <v>-3.39</v>
      </c>
      <c r="L74">
        <v>2.02</v>
      </c>
      <c r="M74">
        <v>7.46</v>
      </c>
      <c r="N74" s="20">
        <v>1.1200000000000001</v>
      </c>
      <c r="O74">
        <v>36.840000000000003</v>
      </c>
      <c r="P74">
        <v>78.069999999999993</v>
      </c>
      <c r="Q74">
        <v>12.28</v>
      </c>
      <c r="R74" s="21">
        <v>16.032728899999999</v>
      </c>
    </row>
    <row r="75" spans="7:18" x14ac:dyDescent="0.15">
      <c r="G75" s="11">
        <v>74</v>
      </c>
      <c r="H75" t="s">
        <v>302</v>
      </c>
      <c r="I75" t="s">
        <v>29</v>
      </c>
      <c r="J75" t="s">
        <v>1703</v>
      </c>
      <c r="K75">
        <v>-5.0999999999999996</v>
      </c>
      <c r="L75">
        <v>-4.7300000000000004</v>
      </c>
      <c r="M75">
        <v>-1.76</v>
      </c>
      <c r="N75" s="20">
        <v>-0.13</v>
      </c>
      <c r="O75">
        <v>35.96</v>
      </c>
      <c r="P75">
        <v>22.81</v>
      </c>
      <c r="Q75">
        <v>65.790000000000006</v>
      </c>
      <c r="R75" s="21">
        <v>5323.3078399999995</v>
      </c>
    </row>
    <row r="76" spans="7:18" x14ac:dyDescent="0.15">
      <c r="G76" s="11">
        <v>75</v>
      </c>
      <c r="H76" t="s">
        <v>769</v>
      </c>
      <c r="I76" t="s">
        <v>1780</v>
      </c>
      <c r="J76" t="s">
        <v>15</v>
      </c>
      <c r="K76">
        <v>-3.41</v>
      </c>
      <c r="L76">
        <v>3.23</v>
      </c>
      <c r="M76">
        <v>5.87</v>
      </c>
      <c r="N76" s="20">
        <v>0.6</v>
      </c>
      <c r="O76">
        <v>35.090000000000003</v>
      </c>
      <c r="P76">
        <v>71.05</v>
      </c>
      <c r="Q76">
        <v>17.54</v>
      </c>
      <c r="R76" s="21">
        <v>1128.46118</v>
      </c>
    </row>
    <row r="77" spans="7:18" x14ac:dyDescent="0.15">
      <c r="G77" s="11">
        <v>76</v>
      </c>
      <c r="H77" t="s">
        <v>757</v>
      </c>
      <c r="I77" t="s">
        <v>25</v>
      </c>
      <c r="J77" t="s">
        <v>15</v>
      </c>
      <c r="K77">
        <v>-3.06</v>
      </c>
      <c r="L77">
        <v>1.4</v>
      </c>
      <c r="M77">
        <v>6.36</v>
      </c>
      <c r="N77" s="20">
        <v>0.88</v>
      </c>
      <c r="O77">
        <v>34.21</v>
      </c>
      <c r="P77">
        <v>73.680000000000007</v>
      </c>
      <c r="Q77">
        <v>14.04</v>
      </c>
      <c r="R77" s="21">
        <v>10.255478200000001</v>
      </c>
    </row>
    <row r="78" spans="7:18" x14ac:dyDescent="0.15">
      <c r="G78" s="11">
        <v>77</v>
      </c>
      <c r="H78" t="s">
        <v>1776</v>
      </c>
      <c r="I78" t="s">
        <v>1777</v>
      </c>
      <c r="J78" t="s">
        <v>15</v>
      </c>
      <c r="K78">
        <v>-2.78</v>
      </c>
      <c r="L78">
        <v>-0.18</v>
      </c>
      <c r="M78">
        <v>3.36</v>
      </c>
      <c r="N78" s="20">
        <v>0.23</v>
      </c>
      <c r="O78">
        <v>33.33</v>
      </c>
      <c r="P78">
        <v>66.67</v>
      </c>
      <c r="Q78">
        <v>21.05</v>
      </c>
      <c r="R78" s="21">
        <v>5.6663635999999995</v>
      </c>
    </row>
    <row r="79" spans="7:18" x14ac:dyDescent="0.15">
      <c r="G79" s="11">
        <v>78</v>
      </c>
      <c r="H79" t="s">
        <v>1700</v>
      </c>
      <c r="I79" t="s">
        <v>1701</v>
      </c>
      <c r="J79" t="s">
        <v>1702</v>
      </c>
      <c r="K79">
        <v>1.4</v>
      </c>
      <c r="L79">
        <v>2.65</v>
      </c>
      <c r="M79">
        <v>3.77</v>
      </c>
      <c r="N79" s="20">
        <v>0.55000000000000004</v>
      </c>
      <c r="O79">
        <v>32.46</v>
      </c>
      <c r="P79">
        <v>69.3</v>
      </c>
      <c r="Q79">
        <v>18.420000000000002</v>
      </c>
      <c r="R79" s="21">
        <v>137.24005789999998</v>
      </c>
    </row>
    <row r="80" spans="7:18" x14ac:dyDescent="0.15">
      <c r="G80" s="11">
        <v>79</v>
      </c>
      <c r="H80" t="s">
        <v>447</v>
      </c>
      <c r="I80" t="s">
        <v>1779</v>
      </c>
      <c r="J80" t="s">
        <v>1707</v>
      </c>
      <c r="K80">
        <v>4.24</v>
      </c>
      <c r="L80">
        <v>3.64</v>
      </c>
      <c r="M80">
        <v>0.71</v>
      </c>
      <c r="N80" s="20">
        <v>0.01</v>
      </c>
      <c r="O80">
        <v>31.58</v>
      </c>
      <c r="P80">
        <v>51.75</v>
      </c>
      <c r="Q80">
        <v>35.96</v>
      </c>
      <c r="R80" s="21">
        <v>1749.0074</v>
      </c>
    </row>
    <row r="81" spans="7:18" x14ac:dyDescent="0.15">
      <c r="G81" s="11">
        <v>80</v>
      </c>
      <c r="H81" t="s">
        <v>750</v>
      </c>
      <c r="I81" t="s">
        <v>1744</v>
      </c>
      <c r="J81" t="s">
        <v>15</v>
      </c>
      <c r="K81">
        <v>-3.22</v>
      </c>
      <c r="L81">
        <v>-0.64</v>
      </c>
      <c r="M81">
        <v>3.62</v>
      </c>
      <c r="N81" s="20">
        <v>0.38</v>
      </c>
      <c r="O81">
        <v>30.7</v>
      </c>
      <c r="P81">
        <v>67.540000000000006</v>
      </c>
      <c r="Q81">
        <v>19.3</v>
      </c>
      <c r="R81" s="21">
        <v>6666.7816999999995</v>
      </c>
    </row>
    <row r="82" spans="7:18" x14ac:dyDescent="0.15">
      <c r="G82" s="11">
        <v>81</v>
      </c>
      <c r="H82" t="s">
        <v>412</v>
      </c>
      <c r="I82" t="s">
        <v>1749</v>
      </c>
      <c r="J82" t="s">
        <v>1729</v>
      </c>
      <c r="K82">
        <v>0.21</v>
      </c>
      <c r="L82">
        <v>-0.06</v>
      </c>
      <c r="M82">
        <v>0.75</v>
      </c>
      <c r="N82" s="20">
        <v>0.05</v>
      </c>
      <c r="O82">
        <v>29.82</v>
      </c>
      <c r="P82">
        <v>54.39</v>
      </c>
      <c r="Q82">
        <v>31.58</v>
      </c>
      <c r="R82" s="21">
        <v>360.18270000000001</v>
      </c>
    </row>
    <row r="83" spans="7:18" x14ac:dyDescent="0.15">
      <c r="G83" s="11">
        <v>82</v>
      </c>
      <c r="H83" t="s">
        <v>329</v>
      </c>
      <c r="I83" t="s">
        <v>1740</v>
      </c>
      <c r="J83" t="s">
        <v>1729</v>
      </c>
      <c r="K83">
        <v>0.21</v>
      </c>
      <c r="L83">
        <v>-0.06</v>
      </c>
      <c r="M83">
        <v>0.74</v>
      </c>
      <c r="N83" s="20">
        <v>0.03</v>
      </c>
      <c r="O83">
        <v>28.95</v>
      </c>
      <c r="P83">
        <v>53.51</v>
      </c>
      <c r="Q83">
        <v>32.46</v>
      </c>
      <c r="R83" s="21">
        <v>64.31026</v>
      </c>
    </row>
    <row r="84" spans="7:18" x14ac:dyDescent="0.15">
      <c r="G84" s="11">
        <v>83</v>
      </c>
      <c r="H84" t="s">
        <v>423</v>
      </c>
      <c r="I84" t="s">
        <v>1775</v>
      </c>
      <c r="J84" t="s">
        <v>1707</v>
      </c>
      <c r="K84">
        <v>0.03</v>
      </c>
      <c r="L84">
        <v>0.05</v>
      </c>
      <c r="M84">
        <v>0.11</v>
      </c>
      <c r="N84" s="20">
        <v>0</v>
      </c>
      <c r="O84">
        <v>28.07</v>
      </c>
      <c r="P84">
        <v>32.46</v>
      </c>
      <c r="Q84">
        <v>53.51</v>
      </c>
      <c r="R84" s="21">
        <v>1740261.8947000001</v>
      </c>
    </row>
    <row r="85" spans="7:18" x14ac:dyDescent="0.15">
      <c r="G85" s="11">
        <v>84</v>
      </c>
      <c r="H85" t="s">
        <v>764</v>
      </c>
      <c r="I85" t="s">
        <v>1761</v>
      </c>
      <c r="J85" t="s">
        <v>15</v>
      </c>
      <c r="K85">
        <v>-4.82</v>
      </c>
      <c r="L85">
        <v>5.92</v>
      </c>
      <c r="M85">
        <v>10.1</v>
      </c>
      <c r="N85" s="20">
        <v>6.54</v>
      </c>
      <c r="O85">
        <v>27.19</v>
      </c>
      <c r="P85">
        <v>83.33</v>
      </c>
      <c r="Q85">
        <v>1.75</v>
      </c>
      <c r="R85" s="21">
        <v>282922.9191</v>
      </c>
    </row>
    <row r="86" spans="7:18" x14ac:dyDescent="0.15">
      <c r="G86" s="11">
        <v>85</v>
      </c>
      <c r="H86" t="s">
        <v>374</v>
      </c>
      <c r="I86" t="s">
        <v>1733</v>
      </c>
      <c r="J86" t="s">
        <v>1729</v>
      </c>
      <c r="K86">
        <v>0.21</v>
      </c>
      <c r="L86">
        <v>-0.06</v>
      </c>
      <c r="M86">
        <v>0.76</v>
      </c>
      <c r="N86" s="20">
        <v>0.08</v>
      </c>
      <c r="O86">
        <v>26.32</v>
      </c>
      <c r="P86">
        <v>55.26</v>
      </c>
      <c r="Q86">
        <v>28.95</v>
      </c>
      <c r="R86" s="21">
        <v>22754.811699999998</v>
      </c>
    </row>
    <row r="87" spans="7:18" x14ac:dyDescent="0.15">
      <c r="G87" s="11">
        <v>86</v>
      </c>
      <c r="H87" t="s">
        <v>669</v>
      </c>
      <c r="I87" t="s">
        <v>1794</v>
      </c>
      <c r="J87" t="s">
        <v>15</v>
      </c>
      <c r="K87">
        <v>-8.34</v>
      </c>
      <c r="L87">
        <v>-9.98</v>
      </c>
      <c r="M87">
        <v>-6.97</v>
      </c>
      <c r="N87" s="20">
        <v>-0.17</v>
      </c>
      <c r="O87">
        <v>25.44</v>
      </c>
      <c r="P87">
        <v>10.53</v>
      </c>
      <c r="Q87">
        <v>70.180000000000007</v>
      </c>
      <c r="R87" s="21">
        <v>26235.233899999999</v>
      </c>
    </row>
    <row r="88" spans="7:18" x14ac:dyDescent="0.15">
      <c r="G88" s="11">
        <v>87</v>
      </c>
      <c r="H88" t="s">
        <v>433</v>
      </c>
      <c r="I88" t="s">
        <v>1773</v>
      </c>
      <c r="J88" t="s">
        <v>1707</v>
      </c>
      <c r="K88">
        <v>4.26</v>
      </c>
      <c r="L88">
        <v>-7.0000000000000007E-2</v>
      </c>
      <c r="M88">
        <v>-3.48</v>
      </c>
      <c r="N88" s="20">
        <v>-0.01</v>
      </c>
      <c r="O88">
        <v>24.56</v>
      </c>
      <c r="P88">
        <v>21.05</v>
      </c>
      <c r="Q88">
        <v>59.65</v>
      </c>
      <c r="R88" s="21">
        <v>225660.26759999999</v>
      </c>
    </row>
    <row r="89" spans="7:18" x14ac:dyDescent="0.15">
      <c r="G89" s="11">
        <v>88</v>
      </c>
      <c r="H89" t="s">
        <v>443</v>
      </c>
      <c r="I89" t="s">
        <v>1783</v>
      </c>
      <c r="J89" t="s">
        <v>1707</v>
      </c>
      <c r="K89">
        <v>-2.75</v>
      </c>
      <c r="L89">
        <v>-1.99</v>
      </c>
      <c r="M89">
        <v>-1.57</v>
      </c>
      <c r="N89" s="20">
        <v>0</v>
      </c>
      <c r="O89">
        <v>23.68</v>
      </c>
      <c r="P89">
        <v>24.56</v>
      </c>
      <c r="Q89">
        <v>54.39</v>
      </c>
      <c r="R89" s="21">
        <v>1501803.9955</v>
      </c>
    </row>
    <row r="90" spans="7:18" x14ac:dyDescent="0.15">
      <c r="G90" s="11">
        <v>89</v>
      </c>
      <c r="H90" t="s">
        <v>1752</v>
      </c>
      <c r="I90" t="s">
        <v>1753</v>
      </c>
      <c r="J90" t="s">
        <v>1702</v>
      </c>
      <c r="K90">
        <v>0.08</v>
      </c>
      <c r="L90">
        <v>0.16</v>
      </c>
      <c r="M90">
        <v>0.28999999999999998</v>
      </c>
      <c r="N90" s="20">
        <v>0</v>
      </c>
      <c r="O90">
        <v>22.81</v>
      </c>
      <c r="P90">
        <v>41.23</v>
      </c>
      <c r="Q90">
        <v>37.72</v>
      </c>
      <c r="R90" s="21">
        <v>358.49603999999999</v>
      </c>
    </row>
    <row r="91" spans="7:18" x14ac:dyDescent="0.15">
      <c r="G91" s="11">
        <v>90</v>
      </c>
      <c r="H91" t="s">
        <v>724</v>
      </c>
      <c r="I91" t="s">
        <v>1747</v>
      </c>
      <c r="J91" t="s">
        <v>15</v>
      </c>
      <c r="K91">
        <v>-3.69</v>
      </c>
      <c r="L91">
        <v>-1.74</v>
      </c>
      <c r="M91">
        <v>1.07</v>
      </c>
      <c r="N91" s="20">
        <v>0.61</v>
      </c>
      <c r="O91">
        <v>21.93</v>
      </c>
      <c r="P91">
        <v>60.53</v>
      </c>
      <c r="Q91">
        <v>16.670000000000002</v>
      </c>
      <c r="R91" s="21">
        <v>38.017000000000003</v>
      </c>
    </row>
    <row r="92" spans="7:18" x14ac:dyDescent="0.15">
      <c r="G92" s="11">
        <v>91</v>
      </c>
      <c r="H92" t="s">
        <v>438</v>
      </c>
      <c r="I92" t="s">
        <v>1782</v>
      </c>
      <c r="J92" t="s">
        <v>1707</v>
      </c>
      <c r="K92">
        <v>0.06</v>
      </c>
      <c r="L92">
        <v>0.35</v>
      </c>
      <c r="M92">
        <v>-1.5</v>
      </c>
      <c r="N92" s="20">
        <v>0</v>
      </c>
      <c r="O92">
        <v>21.05</v>
      </c>
      <c r="P92">
        <v>25.44</v>
      </c>
      <c r="Q92">
        <v>49.12</v>
      </c>
      <c r="R92" s="21">
        <v>108163.3486</v>
      </c>
    </row>
    <row r="93" spans="7:18" x14ac:dyDescent="0.15">
      <c r="G93" s="11">
        <v>92</v>
      </c>
      <c r="H93" t="s">
        <v>427</v>
      </c>
      <c r="I93" t="s">
        <v>1771</v>
      </c>
      <c r="J93" t="s">
        <v>1702</v>
      </c>
      <c r="K93">
        <v>0.06</v>
      </c>
      <c r="L93">
        <v>7.0000000000000007E-2</v>
      </c>
      <c r="M93">
        <v>0.13</v>
      </c>
      <c r="N93" s="20">
        <v>0.01</v>
      </c>
      <c r="O93">
        <v>20.18</v>
      </c>
      <c r="P93">
        <v>34.21</v>
      </c>
      <c r="Q93">
        <v>35.090000000000003</v>
      </c>
      <c r="R93" s="21">
        <v>408939.54889999999</v>
      </c>
    </row>
    <row r="94" spans="7:18" x14ac:dyDescent="0.15">
      <c r="G94" s="11">
        <v>93</v>
      </c>
      <c r="H94" t="s">
        <v>453</v>
      </c>
      <c r="I94" t="s">
        <v>1778</v>
      </c>
      <c r="J94" t="s">
        <v>1707</v>
      </c>
      <c r="K94">
        <v>-0.88</v>
      </c>
      <c r="L94">
        <v>-4.38</v>
      </c>
      <c r="M94">
        <v>-6.44</v>
      </c>
      <c r="N94" s="20">
        <v>0</v>
      </c>
      <c r="O94">
        <v>19.3</v>
      </c>
      <c r="P94">
        <v>14.91</v>
      </c>
      <c r="Q94">
        <v>50</v>
      </c>
      <c r="R94" s="21">
        <v>10941.3133</v>
      </c>
    </row>
    <row r="95" spans="7:18" x14ac:dyDescent="0.15">
      <c r="G95" s="11">
        <v>94</v>
      </c>
      <c r="H95" t="s">
        <v>1758</v>
      </c>
      <c r="I95" t="s">
        <v>1759</v>
      </c>
      <c r="J95" t="s">
        <v>1702</v>
      </c>
      <c r="K95">
        <v>0.12</v>
      </c>
      <c r="L95">
        <v>0.31</v>
      </c>
      <c r="M95">
        <v>0.51</v>
      </c>
      <c r="N95" s="20">
        <v>0.31</v>
      </c>
      <c r="O95">
        <v>18.420000000000002</v>
      </c>
      <c r="P95">
        <v>43.86</v>
      </c>
      <c r="Q95">
        <v>20.18</v>
      </c>
      <c r="R95" s="21">
        <v>23.243959199999999</v>
      </c>
    </row>
    <row r="96" spans="7:18" x14ac:dyDescent="0.15">
      <c r="G96" s="11">
        <v>95</v>
      </c>
      <c r="H96" t="s">
        <v>321</v>
      </c>
      <c r="I96" t="s">
        <v>1717</v>
      </c>
      <c r="J96" t="s">
        <v>1702</v>
      </c>
      <c r="K96">
        <v>-0.04</v>
      </c>
      <c r="L96">
        <v>0.04</v>
      </c>
      <c r="M96">
        <v>0.12</v>
      </c>
      <c r="N96" s="20">
        <v>0.08</v>
      </c>
      <c r="O96">
        <v>17.54</v>
      </c>
      <c r="P96">
        <v>33.33</v>
      </c>
      <c r="Q96">
        <v>29.82</v>
      </c>
      <c r="R96" s="21">
        <v>7.4118000000000004</v>
      </c>
    </row>
    <row r="97" spans="7:18" x14ac:dyDescent="0.15">
      <c r="G97" s="11">
        <v>96</v>
      </c>
      <c r="H97" t="s">
        <v>426</v>
      </c>
      <c r="I97" t="s">
        <v>1781</v>
      </c>
      <c r="J97" t="s">
        <v>1707</v>
      </c>
      <c r="K97">
        <v>0.61</v>
      </c>
      <c r="L97">
        <v>-1.36</v>
      </c>
      <c r="M97">
        <v>-7.75</v>
      </c>
      <c r="N97" s="20">
        <v>0</v>
      </c>
      <c r="O97">
        <v>16.670000000000002</v>
      </c>
      <c r="P97">
        <v>6.14</v>
      </c>
      <c r="Q97">
        <v>52.63</v>
      </c>
      <c r="R97" s="21">
        <v>1041.8647312999999</v>
      </c>
    </row>
    <row r="98" spans="7:18" x14ac:dyDescent="0.15">
      <c r="G98" s="11">
        <v>97</v>
      </c>
      <c r="H98" t="s">
        <v>429</v>
      </c>
      <c r="I98" t="s">
        <v>1723</v>
      </c>
      <c r="J98" t="s">
        <v>1707</v>
      </c>
      <c r="K98">
        <v>-2.57</v>
      </c>
      <c r="L98">
        <v>-1.46</v>
      </c>
      <c r="M98">
        <v>-7.7</v>
      </c>
      <c r="N98" s="20">
        <v>0</v>
      </c>
      <c r="O98">
        <v>15.79</v>
      </c>
      <c r="P98">
        <v>7.02</v>
      </c>
      <c r="Q98">
        <v>50.88</v>
      </c>
      <c r="R98" s="21">
        <v>403.95933409999998</v>
      </c>
    </row>
    <row r="99" spans="7:18" x14ac:dyDescent="0.15">
      <c r="G99" s="11">
        <v>98</v>
      </c>
      <c r="H99" t="s">
        <v>432</v>
      </c>
      <c r="I99" t="s">
        <v>1706</v>
      </c>
      <c r="J99" t="s">
        <v>1707</v>
      </c>
      <c r="K99">
        <v>19.559999999999999</v>
      </c>
      <c r="L99">
        <v>13.05</v>
      </c>
      <c r="M99">
        <v>-43.18</v>
      </c>
      <c r="N99" s="20">
        <v>0</v>
      </c>
      <c r="O99">
        <v>14.91</v>
      </c>
      <c r="P99">
        <v>0.88</v>
      </c>
      <c r="Q99">
        <v>55.26</v>
      </c>
      <c r="R99" s="21">
        <v>4602.5646999999999</v>
      </c>
    </row>
    <row r="100" spans="7:18" x14ac:dyDescent="0.15">
      <c r="G100" s="11">
        <v>99</v>
      </c>
      <c r="H100" t="s">
        <v>1750</v>
      </c>
      <c r="I100" t="s">
        <v>1751</v>
      </c>
      <c r="J100" t="s">
        <v>1702</v>
      </c>
      <c r="K100">
        <v>0.05</v>
      </c>
      <c r="L100">
        <v>0.03</v>
      </c>
      <c r="M100">
        <v>0.08</v>
      </c>
      <c r="N100" s="20">
        <v>0.19</v>
      </c>
      <c r="O100">
        <v>14.04</v>
      </c>
      <c r="P100">
        <v>31.58</v>
      </c>
      <c r="Q100">
        <v>23.68</v>
      </c>
      <c r="R100" s="21">
        <v>172.8135111</v>
      </c>
    </row>
    <row r="101" spans="7:18" x14ac:dyDescent="0.15">
      <c r="G101" s="11">
        <v>100</v>
      </c>
      <c r="H101" t="s">
        <v>1769</v>
      </c>
      <c r="I101" t="s">
        <v>1770</v>
      </c>
      <c r="J101" t="s">
        <v>1707</v>
      </c>
      <c r="K101">
        <v>-10.58</v>
      </c>
      <c r="L101">
        <v>-3.12</v>
      </c>
      <c r="M101">
        <v>-8.64</v>
      </c>
      <c r="N101" s="20">
        <v>0</v>
      </c>
      <c r="O101">
        <v>13.16</v>
      </c>
      <c r="P101">
        <v>2.63</v>
      </c>
      <c r="Q101">
        <v>48.25</v>
      </c>
      <c r="R101" s="21">
        <v>64.999200000000002</v>
      </c>
    </row>
    <row r="102" spans="7:18" x14ac:dyDescent="0.15">
      <c r="G102" s="11">
        <v>101</v>
      </c>
      <c r="H102" t="s">
        <v>1735</v>
      </c>
      <c r="I102" t="s">
        <v>1736</v>
      </c>
      <c r="J102" t="s">
        <v>1707</v>
      </c>
      <c r="K102">
        <v>-2.08</v>
      </c>
      <c r="L102">
        <v>-7.46</v>
      </c>
      <c r="M102">
        <v>-13.61</v>
      </c>
      <c r="N102" s="20">
        <v>0</v>
      </c>
      <c r="O102">
        <v>12.28</v>
      </c>
      <c r="P102">
        <v>1.75</v>
      </c>
      <c r="Q102">
        <v>47.37</v>
      </c>
      <c r="R102" s="21">
        <v>63.999899999999997</v>
      </c>
    </row>
    <row r="103" spans="7:18" x14ac:dyDescent="0.15">
      <c r="G103" s="11">
        <v>102</v>
      </c>
      <c r="H103" t="s">
        <v>622</v>
      </c>
      <c r="I103" t="s">
        <v>1742</v>
      </c>
      <c r="J103" t="s">
        <v>15</v>
      </c>
      <c r="K103">
        <v>-5.51</v>
      </c>
      <c r="L103">
        <v>-7.17</v>
      </c>
      <c r="M103">
        <v>-5.61</v>
      </c>
      <c r="N103" s="20">
        <v>0.1</v>
      </c>
      <c r="O103">
        <v>11.4</v>
      </c>
      <c r="P103">
        <v>17.54</v>
      </c>
      <c r="Q103">
        <v>28.07</v>
      </c>
      <c r="R103" s="21">
        <v>489.4778</v>
      </c>
    </row>
    <row r="104" spans="7:18" x14ac:dyDescent="0.15">
      <c r="G104" s="11">
        <v>103</v>
      </c>
      <c r="H104" t="s">
        <v>736</v>
      </c>
      <c r="I104" t="s">
        <v>1714</v>
      </c>
      <c r="J104" t="s">
        <v>15</v>
      </c>
      <c r="K104">
        <v>-5.25</v>
      </c>
      <c r="L104">
        <v>-7.02</v>
      </c>
      <c r="M104">
        <v>-5.58</v>
      </c>
      <c r="N104" s="20">
        <v>0.11</v>
      </c>
      <c r="O104">
        <v>10.53</v>
      </c>
      <c r="P104">
        <v>18.420000000000002</v>
      </c>
      <c r="Q104">
        <v>27.19</v>
      </c>
      <c r="R104" s="21">
        <v>778.72900000000004</v>
      </c>
    </row>
    <row r="105" spans="7:18" x14ac:dyDescent="0.15">
      <c r="G105" s="11">
        <v>104</v>
      </c>
      <c r="H105" t="s">
        <v>1807</v>
      </c>
      <c r="I105" t="s">
        <v>1808</v>
      </c>
      <c r="J105" t="s">
        <v>1729</v>
      </c>
      <c r="K105">
        <v>-0.26</v>
      </c>
      <c r="L105">
        <v>-1.53</v>
      </c>
      <c r="M105">
        <v>0.39</v>
      </c>
      <c r="N105" s="20">
        <v>7.19</v>
      </c>
      <c r="O105">
        <v>9.65</v>
      </c>
      <c r="P105">
        <v>42.98</v>
      </c>
      <c r="Q105">
        <v>0.88</v>
      </c>
      <c r="R105" s="21">
        <v>34.385020000000004</v>
      </c>
    </row>
    <row r="106" spans="7:18" x14ac:dyDescent="0.15">
      <c r="G106" s="11">
        <v>105</v>
      </c>
      <c r="H106" t="s">
        <v>1797</v>
      </c>
      <c r="I106" t="s">
        <v>1798</v>
      </c>
      <c r="J106" t="s">
        <v>1703</v>
      </c>
      <c r="K106">
        <v>0.44</v>
      </c>
      <c r="L106">
        <v>0.3</v>
      </c>
      <c r="M106">
        <v>0</v>
      </c>
      <c r="N106" s="20">
        <v>1.34</v>
      </c>
      <c r="O106">
        <v>8.77</v>
      </c>
      <c r="P106">
        <v>27.19</v>
      </c>
      <c r="Q106">
        <v>10.53</v>
      </c>
      <c r="R106" s="21">
        <v>7161.4122528999997</v>
      </c>
    </row>
    <row r="107" spans="7:18" x14ac:dyDescent="0.15">
      <c r="G107" s="11">
        <v>106</v>
      </c>
      <c r="H107" t="s">
        <v>502</v>
      </c>
      <c r="I107" t="s">
        <v>18</v>
      </c>
      <c r="J107" t="s">
        <v>15</v>
      </c>
      <c r="K107">
        <v>-9.64</v>
      </c>
      <c r="L107">
        <v>-10.87</v>
      </c>
      <c r="M107">
        <v>-5.91</v>
      </c>
      <c r="N107" s="20">
        <v>2.17</v>
      </c>
      <c r="O107">
        <v>7.89</v>
      </c>
      <c r="P107">
        <v>15.79</v>
      </c>
      <c r="Q107">
        <v>7.89</v>
      </c>
      <c r="R107" s="21">
        <v>186.9494866</v>
      </c>
    </row>
    <row r="108" spans="7:18" x14ac:dyDescent="0.15">
      <c r="G108" s="11">
        <v>107</v>
      </c>
      <c r="H108" t="s">
        <v>777</v>
      </c>
      <c r="I108" t="s">
        <v>1809</v>
      </c>
      <c r="J108" t="s">
        <v>15</v>
      </c>
      <c r="K108">
        <v>-7.86</v>
      </c>
      <c r="L108">
        <v>-4.26</v>
      </c>
      <c r="M108">
        <v>-5.85</v>
      </c>
      <c r="N108" s="20">
        <v>3.17</v>
      </c>
      <c r="O108">
        <v>7.02</v>
      </c>
      <c r="P108">
        <v>16.670000000000002</v>
      </c>
      <c r="Q108">
        <v>4.3899999999999997</v>
      </c>
      <c r="R108" s="21">
        <v>1377.1618028999999</v>
      </c>
    </row>
    <row r="109" spans="7:18" x14ac:dyDescent="0.15">
      <c r="G109" s="11">
        <v>108</v>
      </c>
      <c r="H109" t="s">
        <v>630</v>
      </c>
      <c r="I109" t="s">
        <v>1803</v>
      </c>
      <c r="J109" t="s">
        <v>15</v>
      </c>
      <c r="K109">
        <v>-8.91</v>
      </c>
      <c r="L109">
        <v>-10.74</v>
      </c>
      <c r="M109">
        <v>-7.4</v>
      </c>
      <c r="N109" s="20">
        <v>0.95</v>
      </c>
      <c r="O109">
        <v>6.14</v>
      </c>
      <c r="P109">
        <v>7.89</v>
      </c>
      <c r="Q109">
        <v>13.16</v>
      </c>
      <c r="R109" s="21">
        <v>77945.848859999998</v>
      </c>
    </row>
    <row r="110" spans="7:18" x14ac:dyDescent="0.15">
      <c r="G110" s="11">
        <v>109</v>
      </c>
      <c r="H110" t="s">
        <v>772</v>
      </c>
      <c r="I110" t="s">
        <v>1810</v>
      </c>
      <c r="J110" t="s">
        <v>15</v>
      </c>
      <c r="K110">
        <v>-8.3000000000000007</v>
      </c>
      <c r="L110">
        <v>-10</v>
      </c>
      <c r="M110">
        <v>-6.7</v>
      </c>
      <c r="N110" s="20">
        <v>2.06</v>
      </c>
      <c r="O110">
        <v>5.26</v>
      </c>
      <c r="P110">
        <v>12.28</v>
      </c>
      <c r="Q110">
        <v>8.77</v>
      </c>
      <c r="R110" s="21">
        <v>376.63694750000002</v>
      </c>
    </row>
    <row r="111" spans="7:18" x14ac:dyDescent="0.15">
      <c r="G111" s="11">
        <v>110</v>
      </c>
      <c r="H111" t="s">
        <v>751</v>
      </c>
      <c r="I111" t="s">
        <v>1726</v>
      </c>
      <c r="J111" t="s">
        <v>15</v>
      </c>
      <c r="K111">
        <v>-6.77</v>
      </c>
      <c r="L111">
        <v>-8.0500000000000007</v>
      </c>
      <c r="M111">
        <v>-6.55</v>
      </c>
      <c r="N111" s="20">
        <v>2.48</v>
      </c>
      <c r="O111">
        <v>4.3899999999999997</v>
      </c>
      <c r="P111">
        <v>14.04</v>
      </c>
      <c r="Q111">
        <v>6.14</v>
      </c>
      <c r="R111" s="21">
        <v>1208.1939</v>
      </c>
    </row>
    <row r="112" spans="7:18" x14ac:dyDescent="0.15">
      <c r="G112" s="11">
        <v>111</v>
      </c>
      <c r="H112" t="s">
        <v>759</v>
      </c>
      <c r="I112" t="s">
        <v>1774</v>
      </c>
      <c r="J112" t="s">
        <v>15</v>
      </c>
      <c r="K112">
        <v>-10.02</v>
      </c>
      <c r="L112">
        <v>-10.8</v>
      </c>
      <c r="M112">
        <v>-8.33</v>
      </c>
      <c r="N112" s="20">
        <v>1.3</v>
      </c>
      <c r="O112">
        <v>3.51</v>
      </c>
      <c r="P112">
        <v>4.3899999999999997</v>
      </c>
      <c r="Q112">
        <v>11.4</v>
      </c>
      <c r="R112" s="21">
        <v>3010.7123999999999</v>
      </c>
    </row>
    <row r="113" spans="7:18" x14ac:dyDescent="0.15">
      <c r="G113" s="11">
        <v>112</v>
      </c>
      <c r="H113" t="s">
        <v>770</v>
      </c>
      <c r="I113" t="s">
        <v>1772</v>
      </c>
      <c r="J113" t="s">
        <v>15</v>
      </c>
      <c r="K113">
        <v>-9.17</v>
      </c>
      <c r="L113">
        <v>-9.86</v>
      </c>
      <c r="M113">
        <v>-7.95</v>
      </c>
      <c r="N113" s="20">
        <v>1.59</v>
      </c>
      <c r="O113">
        <v>2.63</v>
      </c>
      <c r="P113">
        <v>5.26</v>
      </c>
      <c r="Q113">
        <v>9.65</v>
      </c>
      <c r="R113" s="21">
        <v>241.75139999999999</v>
      </c>
    </row>
    <row r="114" spans="7:18" x14ac:dyDescent="0.15">
      <c r="G114" s="11">
        <v>113</v>
      </c>
      <c r="H114" t="s">
        <v>715</v>
      </c>
      <c r="I114" t="s">
        <v>1804</v>
      </c>
      <c r="J114" t="s">
        <v>15</v>
      </c>
      <c r="K114">
        <v>-8.85</v>
      </c>
      <c r="L114">
        <v>-10.67</v>
      </c>
      <c r="M114">
        <v>-7.07</v>
      </c>
      <c r="N114" s="20">
        <v>3.94</v>
      </c>
      <c r="O114">
        <v>1.75</v>
      </c>
      <c r="P114">
        <v>9.65</v>
      </c>
      <c r="Q114">
        <v>3.51</v>
      </c>
      <c r="R114" s="21">
        <v>46792.403100000003</v>
      </c>
    </row>
    <row r="115" spans="7:18" ht="15" customHeight="1" x14ac:dyDescent="0.15">
      <c r="G115" s="11">
        <v>114</v>
      </c>
      <c r="H115" t="s">
        <v>768</v>
      </c>
      <c r="I115" t="s">
        <v>1793</v>
      </c>
      <c r="J115" t="s">
        <v>15</v>
      </c>
      <c r="K115">
        <v>-8.98</v>
      </c>
      <c r="L115">
        <v>-11.04</v>
      </c>
      <c r="M115">
        <v>-7.27</v>
      </c>
      <c r="N115" s="20">
        <v>4.25</v>
      </c>
      <c r="O115">
        <v>0.88</v>
      </c>
      <c r="P115">
        <v>8.77</v>
      </c>
      <c r="Q115">
        <v>2.63</v>
      </c>
      <c r="R115" s="21">
        <v>15267.0371</v>
      </c>
    </row>
  </sheetData>
  <autoFilter ref="A1:R115"/>
  <phoneticPr fontId="2" type="noConversion"/>
  <hyperlinks>
    <hyperlink ref="T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19</xdr:col>
                    <xdr:colOff>171450</xdr:colOff>
                    <xdr:row>1</xdr:row>
                    <xdr:rowOff>133350</xdr:rowOff>
                  </from>
                  <to>
                    <xdr:col>20</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Administrator</cp:lastModifiedBy>
  <dcterms:created xsi:type="dcterms:W3CDTF">2015-01-25T11:31:25Z</dcterms:created>
  <dcterms:modified xsi:type="dcterms:W3CDTF">2022-06-18T09:22:54Z</dcterms:modified>
</cp:coreProperties>
</file>