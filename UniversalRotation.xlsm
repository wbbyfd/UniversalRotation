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bb\wbbtest\UniversalRotation\"/>
    </mc:Choice>
  </mc:AlternateContent>
  <bookViews>
    <workbookView xWindow="-105" yWindow="-105" windowWidth="23235" windowHeight="13995" tabRatio="847" activeTab="1"/>
  </bookViews>
  <sheets>
    <sheet name="低溢价可转债轮动" sheetId="6" r:id="rId1"/>
    <sheet name="双低可转债轮动" sheetId="9" r:id="rId2"/>
    <sheet name="20天净值增长率和溢价率轮动LOF、ETF和封基" sheetId="4" r:id="rId3"/>
    <sheet name="20天净值增长率和溢价率轮动债券和境外基金" sheetId="3" r:id="rId4"/>
    <sheet name="temp" sheetId="14" r:id="rId5"/>
    <sheet name="_xlwings.conf" sheetId="2" r:id="rId6"/>
  </sheets>
  <functionGroups builtInGroupCount="18">
    <functionGroup name="Commands"/>
    <functionGroup name="xlwings"/>
  </functionGroups>
  <definedNames>
    <definedName name="_xlnm._FilterDatabase" localSheetId="2" hidden="1">'20天净值增长率和溢价率轮动LOF、ETF和封基'!$A$2:$M$665</definedName>
    <definedName name="_xlnm._FilterDatabase" localSheetId="3" hidden="1">'20天净值增长率和溢价率轮动债券和境外基金'!$A$2:$M$131</definedName>
    <definedName name="_xlnm._FilterDatabase" localSheetId="0" hidden="1">低溢价可转债轮动!$A$2:$T$402</definedName>
    <definedName name="_xlnm._FilterDatabase" localSheetId="1" hidden="1">双低可转债轮动!$A$2:$U$750</definedName>
  </definedNames>
  <calcPr calcId="162913"/>
  <extLst>
    <ext xmlns:x14="http://schemas.microsoft.com/office/spreadsheetml/2009/9/main" uri="{8193D73E-4604-4355-AFF4-8A2333D13BE4}">
      <x14:definedNames>
        <x14:definedName name="get_fund_k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LJJZ_PRE20">
          <x14:argumentDescriptions count="1">
            <x14:argumentDescription index="0">Positional argument 1</x14:argumentDescription>
          </x14:argumentDescriptions>
        </x14:definedName>
        <x14:definedName name="get_fund_net_asset_value_histor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premium_rate">
          <x14:argumentDescriptions count="1">
            <x14:argumentDescription index="0">Positional argument 1</x14:argumentDescription>
          </x14:argumentDescriptions>
        </x14:definedName>
        <x14:definedName name="get_rank_valu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fund20LJJZ">
          <x14:argumentDescriptions count="1">
            <x14:argumentDescription index="0">Positional argument 1</x14:argumentDescription>
          </x14:argumentDescriptions>
        </x14:definedName>
        <x14:definedName name="rotate_fund_by_premium_rate_and_20net_asset_valu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4" i="9" l="1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3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103" i="9"/>
  <c r="N104" i="9"/>
  <c r="N105" i="9"/>
  <c r="N106" i="9"/>
  <c r="N107" i="9"/>
  <c r="N108" i="9"/>
  <c r="N109" i="9"/>
  <c r="N110" i="9"/>
  <c r="N111" i="9"/>
  <c r="N112" i="9"/>
  <c r="N113" i="9"/>
  <c r="N114" i="9"/>
  <c r="N115" i="9"/>
  <c r="N116" i="9"/>
  <c r="N117" i="9"/>
  <c r="N118" i="9"/>
  <c r="N119" i="9"/>
  <c r="N120" i="9"/>
  <c r="N121" i="9"/>
  <c r="N122" i="9"/>
  <c r="N123" i="9"/>
  <c r="N124" i="9"/>
  <c r="N125" i="9"/>
  <c r="N126" i="9"/>
  <c r="N127" i="9"/>
  <c r="N128" i="9"/>
  <c r="N129" i="9"/>
  <c r="N130" i="9"/>
  <c r="N131" i="9"/>
  <c r="N132" i="9"/>
  <c r="N133" i="9"/>
  <c r="N134" i="9"/>
  <c r="N135" i="9"/>
  <c r="N136" i="9"/>
  <c r="N137" i="9"/>
  <c r="N138" i="9"/>
  <c r="N139" i="9"/>
  <c r="N140" i="9"/>
  <c r="N141" i="9"/>
  <c r="N142" i="9"/>
  <c r="N143" i="9"/>
  <c r="N144" i="9"/>
  <c r="N145" i="9"/>
  <c r="N146" i="9"/>
  <c r="N147" i="9"/>
  <c r="N148" i="9"/>
  <c r="N149" i="9"/>
  <c r="N150" i="9"/>
  <c r="N151" i="9"/>
  <c r="N152" i="9"/>
  <c r="N153" i="9"/>
  <c r="N154" i="9"/>
  <c r="N155" i="9"/>
  <c r="N156" i="9"/>
  <c r="N157" i="9"/>
  <c r="N158" i="9"/>
  <c r="N159" i="9"/>
  <c r="N160" i="9"/>
  <c r="N161" i="9"/>
  <c r="N162" i="9"/>
  <c r="N163" i="9"/>
  <c r="N164" i="9"/>
  <c r="N165" i="9"/>
  <c r="N166" i="9"/>
  <c r="N167" i="9"/>
  <c r="N168" i="9"/>
  <c r="N169" i="9"/>
  <c r="N170" i="9"/>
  <c r="N171" i="9"/>
  <c r="N172" i="9"/>
  <c r="N173" i="9"/>
  <c r="N174" i="9"/>
  <c r="N175" i="9"/>
  <c r="N176" i="9"/>
  <c r="N177" i="9"/>
  <c r="N178" i="9"/>
  <c r="N179" i="9"/>
  <c r="N180" i="9"/>
  <c r="N181" i="9"/>
  <c r="N182" i="9"/>
  <c r="N183" i="9"/>
  <c r="N184" i="9"/>
  <c r="N185" i="9"/>
  <c r="N186" i="9"/>
  <c r="N187" i="9"/>
  <c r="N188" i="9"/>
  <c r="N189" i="9"/>
  <c r="N190" i="9"/>
  <c r="N191" i="9"/>
  <c r="N192" i="9"/>
  <c r="N193" i="9"/>
  <c r="N194" i="9"/>
  <c r="N195" i="9"/>
  <c r="N196" i="9"/>
  <c r="N197" i="9"/>
  <c r="N198" i="9"/>
  <c r="N199" i="9"/>
  <c r="N200" i="9"/>
  <c r="N201" i="9"/>
  <c r="N202" i="9"/>
  <c r="N203" i="9"/>
  <c r="N204" i="9"/>
  <c r="N205" i="9"/>
  <c r="N206" i="9"/>
  <c r="N207" i="9"/>
  <c r="N208" i="9"/>
  <c r="N209" i="9"/>
  <c r="N210" i="9"/>
  <c r="N211" i="9"/>
  <c r="N212" i="9"/>
  <c r="N213" i="9"/>
  <c r="N214" i="9"/>
  <c r="N215" i="9"/>
  <c r="N216" i="9"/>
  <c r="N217" i="9"/>
  <c r="N218" i="9"/>
  <c r="N219" i="9"/>
  <c r="N220" i="9"/>
  <c r="N221" i="9"/>
  <c r="N222" i="9"/>
  <c r="N223" i="9"/>
  <c r="N224" i="9"/>
  <c r="N225" i="9"/>
  <c r="N226" i="9"/>
  <c r="N227" i="9"/>
  <c r="N228" i="9"/>
  <c r="N229" i="9"/>
  <c r="N230" i="9"/>
  <c r="N231" i="9"/>
  <c r="N232" i="9"/>
  <c r="N233" i="9"/>
  <c r="N234" i="9"/>
  <c r="N235" i="9"/>
  <c r="N236" i="9"/>
  <c r="N237" i="9"/>
  <c r="N238" i="9"/>
  <c r="N239" i="9"/>
  <c r="N240" i="9"/>
  <c r="N241" i="9"/>
  <c r="N242" i="9"/>
  <c r="N243" i="9"/>
  <c r="N244" i="9"/>
  <c r="N245" i="9"/>
  <c r="N246" i="9"/>
  <c r="N247" i="9"/>
  <c r="N248" i="9"/>
  <c r="N249" i="9"/>
  <c r="N250" i="9"/>
  <c r="N251" i="9"/>
  <c r="N252" i="9"/>
  <c r="N253" i="9"/>
  <c r="N254" i="9"/>
  <c r="N255" i="9"/>
  <c r="N256" i="9"/>
  <c r="N257" i="9"/>
  <c r="N258" i="9"/>
  <c r="N259" i="9"/>
  <c r="N260" i="9"/>
  <c r="N261" i="9"/>
  <c r="N262" i="9"/>
  <c r="N263" i="9"/>
  <c r="N264" i="9"/>
  <c r="N265" i="9"/>
  <c r="N266" i="9"/>
  <c r="N267" i="9"/>
  <c r="N268" i="9"/>
  <c r="N269" i="9"/>
  <c r="N270" i="9"/>
  <c r="N271" i="9"/>
  <c r="N272" i="9"/>
  <c r="N273" i="9"/>
  <c r="N274" i="9"/>
  <c r="N275" i="9"/>
  <c r="N276" i="9"/>
  <c r="N277" i="9"/>
  <c r="N278" i="9"/>
  <c r="N279" i="9"/>
  <c r="N280" i="9"/>
  <c r="N281" i="9"/>
  <c r="N282" i="9"/>
  <c r="N283" i="9"/>
  <c r="N284" i="9"/>
  <c r="N285" i="9"/>
  <c r="N286" i="9"/>
  <c r="N3" i="9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3" i="6"/>
  <c r="D4" i="9" l="1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C4" i="9" l="1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3" i="9"/>
  <c r="C4" i="6" l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3" i="6"/>
  <c r="T4" i="9" l="1"/>
  <c r="T5" i="9"/>
  <c r="T6" i="9"/>
  <c r="T7" i="9"/>
  <c r="T8" i="9"/>
  <c r="T9" i="9"/>
  <c r="T10" i="9"/>
  <c r="T11" i="9"/>
  <c r="T12" i="9"/>
  <c r="T13" i="9"/>
  <c r="T14" i="9"/>
  <c r="T15" i="9"/>
  <c r="T16" i="9"/>
  <c r="T17" i="9"/>
  <c r="T18" i="9"/>
  <c r="T19" i="9"/>
  <c r="T20" i="9"/>
  <c r="T21" i="9"/>
  <c r="T22" i="9"/>
  <c r="T23" i="9"/>
  <c r="T24" i="9"/>
  <c r="T25" i="9"/>
  <c r="T26" i="9"/>
  <c r="T27" i="9"/>
  <c r="T28" i="9"/>
  <c r="T29" i="9"/>
  <c r="T30" i="9"/>
  <c r="T31" i="9"/>
  <c r="T32" i="9"/>
  <c r="T33" i="9"/>
  <c r="T34" i="9"/>
  <c r="T35" i="9"/>
  <c r="T36" i="9"/>
  <c r="T37" i="9"/>
  <c r="T38" i="9"/>
  <c r="T39" i="9"/>
  <c r="T40" i="9"/>
  <c r="T41" i="9"/>
  <c r="T42" i="9"/>
  <c r="D3" i="9"/>
  <c r="S4" i="6" l="1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3" i="6"/>
  <c r="D4" i="6" l="1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3" i="6"/>
  <c r="E4" i="9" l="1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3" i="9"/>
  <c r="E4" i="6" l="1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3" i="6"/>
  <c r="T4" i="6" l="1"/>
  <c r="T5" i="6"/>
  <c r="T6" i="6"/>
  <c r="T7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3" i="6"/>
  <c r="C4" i="4" l="1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4" i="3" l="1"/>
  <c r="C5" i="3"/>
  <c r="C6" i="3"/>
  <c r="C7" i="3"/>
  <c r="C8" i="3"/>
  <c r="C9" i="3"/>
  <c r="C10" i="3"/>
  <c r="C3" i="3"/>
  <c r="C3" i="4"/>
  <c r="T3" i="9" l="1"/>
</calcChain>
</file>

<file path=xl/sharedStrings.xml><?xml version="1.0" encoding="utf-8"?>
<sst xmlns="http://schemas.openxmlformats.org/spreadsheetml/2006/main" count="3186" uniqueCount="1853">
  <si>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</si>
  <si>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</si>
  <si>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</si>
  <si>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</si>
  <si>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</si>
  <si>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</si>
  <si>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</si>
  <si>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</si>
  <si>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</si>
  <si>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</si>
  <si>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</si>
  <si>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</si>
  <si>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</si>
  <si>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</si>
  <si>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</si>
  <si>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黄金</t>
  </si>
  <si>
    <t>嘉实黄金</t>
  </si>
  <si>
    <t>易方达黄金A</t>
  </si>
  <si>
    <t>境外投资</t>
  </si>
  <si>
    <t>南方原油A</t>
  </si>
  <si>
    <t>南方香港</t>
  </si>
  <si>
    <t>易方达标普500A</t>
  </si>
  <si>
    <t>易方达标普医疗A</t>
  </si>
  <si>
    <t>易方达标普生物A</t>
  </si>
  <si>
    <t>易方达标普信息A</t>
  </si>
  <si>
    <t>易方达原油A</t>
  </si>
  <si>
    <t>广发美国石油A</t>
  </si>
  <si>
    <t>嘉实原油</t>
  </si>
  <si>
    <t>易方达纳指A</t>
  </si>
  <si>
    <t>南方美国REITA</t>
  </si>
  <si>
    <t>工银印度</t>
  </si>
  <si>
    <t>华安法国ETF</t>
  </si>
  <si>
    <t>银华新经济ETF</t>
  </si>
  <si>
    <t>华夏纳指100ETF</t>
  </si>
  <si>
    <t>博时中国教育ETF</t>
  </si>
  <si>
    <t>嘉实互联网30ETF</t>
  </si>
  <si>
    <t>广发互联网30ETF</t>
  </si>
  <si>
    <t>债券型</t>
  </si>
  <si>
    <t>富国天丰</t>
  </si>
  <si>
    <t>天弘添利债C</t>
  </si>
  <si>
    <t>货币型</t>
  </si>
  <si>
    <t>富国汇利回报</t>
  </si>
  <si>
    <t>华宝添益A</t>
  </si>
  <si>
    <t>华泰资管货币A</t>
  </si>
  <si>
    <t>汇添富添富通E</t>
  </si>
  <si>
    <t>易方达货币E</t>
  </si>
  <si>
    <t>博时保证金ETF</t>
  </si>
  <si>
    <t>富国收益宝H</t>
  </si>
  <si>
    <t>易方达岁丰</t>
  </si>
  <si>
    <t>易方达保证金A</t>
  </si>
  <si>
    <t>汇添富快钱A</t>
  </si>
  <si>
    <t>南方理财金H</t>
  </si>
  <si>
    <t>招商双债C</t>
  </si>
  <si>
    <t>华安日日鑫H</t>
  </si>
  <si>
    <t>华夏快线ETF</t>
  </si>
  <si>
    <t>华安225ETF</t>
  </si>
  <si>
    <t>博时医疗ETF</t>
  </si>
  <si>
    <t>建信添益H</t>
  </si>
  <si>
    <t>华泰交易货币A</t>
  </si>
  <si>
    <t>招商快线A</t>
  </si>
  <si>
    <t>鹏华添利B</t>
  </si>
  <si>
    <t>平安交易货币E</t>
  </si>
  <si>
    <t>大成添益E</t>
  </si>
  <si>
    <t>易方达综债A</t>
  </si>
  <si>
    <t>平安中债ETF</t>
  </si>
  <si>
    <t>广发货币E</t>
  </si>
  <si>
    <t>华夏恒生香港ETF</t>
  </si>
  <si>
    <t>海富通城投ETF</t>
  </si>
  <si>
    <t>银华日利A</t>
  </si>
  <si>
    <t>海富通中证ETF</t>
  </si>
  <si>
    <t>博时稳健A</t>
  </si>
  <si>
    <t>诺安纯债A</t>
  </si>
  <si>
    <t>鹏华丰泽</t>
  </si>
  <si>
    <t>招商财富宝E</t>
  </si>
  <si>
    <t>南方科技ETF</t>
  </si>
  <si>
    <t>博时可转债ETF</t>
  </si>
  <si>
    <t>上投恒生科技ETF</t>
  </si>
  <si>
    <t>国泰纳指100ETF</t>
  </si>
  <si>
    <t>华宝美国消费A</t>
  </si>
  <si>
    <t>万家强债</t>
  </si>
  <si>
    <t>广发纳指100ETF</t>
  </si>
  <si>
    <t>易方达225ETF</t>
  </si>
  <si>
    <t>博时标普500ETF</t>
  </si>
  <si>
    <t>华夏225ETF</t>
  </si>
  <si>
    <t>前海黄金ETF</t>
  </si>
  <si>
    <t>工银225ETF</t>
  </si>
  <si>
    <t>华安德国30ETF</t>
  </si>
  <si>
    <t>嘉实国债ETF</t>
  </si>
  <si>
    <t>鹏华0-4年地债ETF</t>
  </si>
  <si>
    <t>国泰国债ETF</t>
  </si>
  <si>
    <t>银华通胀</t>
  </si>
  <si>
    <t>国泰10年国债ETF</t>
  </si>
  <si>
    <t>平安5-10年国债ETF</t>
  </si>
  <si>
    <t>易方达黄金ETF</t>
  </si>
  <si>
    <t>工银黄金ETF</t>
  </si>
  <si>
    <t>华夏黄金ETF</t>
  </si>
  <si>
    <t>其他型</t>
  </si>
  <si>
    <t>建信上海金ETF</t>
  </si>
  <si>
    <t>天弘上海金ETF</t>
  </si>
  <si>
    <t>富国上海金ETF</t>
  </si>
  <si>
    <t>广发上海金ETF</t>
  </si>
  <si>
    <t>国泰黄金ETF</t>
  </si>
  <si>
    <t>博时黄金ETF</t>
  </si>
  <si>
    <t>华安黄金易ETF</t>
  </si>
  <si>
    <t>海富通可转债ETF</t>
  </si>
  <si>
    <t>中银上海金ETF</t>
  </si>
  <si>
    <t>海富通10年地债ETF</t>
  </si>
  <si>
    <t>海富通5年地债ETF</t>
  </si>
  <si>
    <t>华安恒生科技ETF</t>
  </si>
  <si>
    <t>华宝香港A</t>
  </si>
  <si>
    <t>嘉实恒生科技ETF</t>
  </si>
  <si>
    <t>博时恒生科技ETF</t>
  </si>
  <si>
    <t>华夏恒生科技ETF</t>
  </si>
  <si>
    <t>南方恒生ETF</t>
  </si>
  <si>
    <t>易方达恒生ETF</t>
  </si>
  <si>
    <t>大成恒生科技ETF</t>
  </si>
  <si>
    <t>华泰恒生科技ETF</t>
  </si>
  <si>
    <t>易方达互联50ETF</t>
  </si>
  <si>
    <t>嘉实恒生ETF</t>
  </si>
  <si>
    <t>华夏互联网ETF</t>
  </si>
  <si>
    <t>易方达恒生科技ETF</t>
  </si>
  <si>
    <t>鹏华5年地债ETF</t>
  </si>
  <si>
    <t>华夏沪港通ETF</t>
  </si>
  <si>
    <t>华夏恒生ETF</t>
  </si>
  <si>
    <t>汇添富贵金</t>
  </si>
  <si>
    <t>汇添富恒生A</t>
  </si>
  <si>
    <t>国投白银</t>
  </si>
  <si>
    <t>华夏恒生中国ETF</t>
  </si>
  <si>
    <t>银华恒生</t>
  </si>
  <si>
    <t>诺安油气</t>
  </si>
  <si>
    <t>嘉实恒生H股</t>
  </si>
  <si>
    <t>信诚商品</t>
  </si>
  <si>
    <t>华宝油气A</t>
  </si>
  <si>
    <t>国泰商品</t>
  </si>
  <si>
    <t>大成有色金属ETF</t>
  </si>
  <si>
    <t>国投中国</t>
  </si>
  <si>
    <t>华夏饲料豆粕ETF</t>
  </si>
  <si>
    <t>交银中国互联</t>
  </si>
  <si>
    <t>华安石油</t>
  </si>
  <si>
    <t>建信能源化工ETF</t>
  </si>
  <si>
    <t>溢价率_排名分</t>
  </si>
  <si>
    <t>20天净值增长率_排名分</t>
  </si>
  <si>
    <t>总排名分</t>
  </si>
  <si>
    <t>溢价率</t>
  </si>
  <si>
    <t>20天净值增长率</t>
  </si>
  <si>
    <t>投资种类</t>
  </si>
  <si>
    <t>基金名称</t>
  </si>
  <si>
    <t>基金代码</t>
  </si>
  <si>
    <t>华夏翔阳</t>
  </si>
  <si>
    <t>嘉实瑞虹</t>
  </si>
  <si>
    <t>交银瑞丰</t>
  </si>
  <si>
    <t>泓德丰泽</t>
  </si>
  <si>
    <t>南方瑞合</t>
  </si>
  <si>
    <t>财通福鑫</t>
  </si>
  <si>
    <t>中欧恒利</t>
  </si>
  <si>
    <t>银华大盘</t>
  </si>
  <si>
    <t>嘉实瑞享</t>
  </si>
  <si>
    <t>胜达转债</t>
  </si>
  <si>
    <t>百达转债</t>
  </si>
  <si>
    <t>君禾转债</t>
  </si>
  <si>
    <t>荣晟转债</t>
  </si>
  <si>
    <t>嘉泽转债</t>
  </si>
  <si>
    <t>华钰转债</t>
  </si>
  <si>
    <t>宏川转债</t>
  </si>
  <si>
    <t>搜特转债</t>
  </si>
  <si>
    <t>华通转债</t>
  </si>
  <si>
    <t>特一转债</t>
  </si>
  <si>
    <t>兄弟转债</t>
  </si>
  <si>
    <t>洪涛转债</t>
  </si>
  <si>
    <t>海印转债</t>
  </si>
  <si>
    <t>海波转债</t>
  </si>
  <si>
    <t>凯发转债</t>
  </si>
  <si>
    <t>万顺转债</t>
  </si>
  <si>
    <t>现价</t>
  </si>
  <si>
    <t>证券名称</t>
  </si>
  <si>
    <t>证券代码</t>
  </si>
  <si>
    <t>沪工转债</t>
  </si>
  <si>
    <t>尚荣转债</t>
  </si>
  <si>
    <t>英特转债</t>
  </si>
  <si>
    <t>嘉友转债</t>
  </si>
  <si>
    <t>正丹转债</t>
  </si>
  <si>
    <t>塞力转债</t>
  </si>
  <si>
    <t>威派转债</t>
  </si>
  <si>
    <t>精测转债</t>
  </si>
  <si>
    <t>聚飞转债</t>
  </si>
  <si>
    <t>迪龙转债</t>
  </si>
  <si>
    <t>贝斯转债</t>
  </si>
  <si>
    <t>设研转债</t>
  </si>
  <si>
    <t>明电转债</t>
  </si>
  <si>
    <t>岩土转债</t>
  </si>
  <si>
    <t>联得转债</t>
  </si>
  <si>
    <t>北陆转债</t>
  </si>
  <si>
    <t>淳中转债</t>
  </si>
  <si>
    <t>溢利转债</t>
  </si>
  <si>
    <t>永鼎转债</t>
  </si>
  <si>
    <t>今飞转债</t>
  </si>
  <si>
    <t>泉峰转债</t>
  </si>
  <si>
    <t>国祯转债</t>
  </si>
  <si>
    <t>思特转债</t>
  </si>
  <si>
    <t>永安转债</t>
  </si>
  <si>
    <t>起帆转债</t>
  </si>
  <si>
    <t>金能转债</t>
  </si>
  <si>
    <t>正裕转债</t>
  </si>
  <si>
    <t>迪贝转债</t>
  </si>
  <si>
    <t>合兴转债</t>
  </si>
  <si>
    <t>凌钢转债</t>
  </si>
  <si>
    <t>利群转债</t>
  </si>
  <si>
    <t>大禹转债</t>
  </si>
  <si>
    <t>海亮转债</t>
  </si>
  <si>
    <t>嘉美转债</t>
  </si>
  <si>
    <t>英联转债</t>
  </si>
  <si>
    <t>航新转债</t>
  </si>
  <si>
    <t>东风转债</t>
  </si>
  <si>
    <t>湖盐转债</t>
  </si>
  <si>
    <t>哈尔转债</t>
  </si>
  <si>
    <t>亚泰转债</t>
  </si>
  <si>
    <t>白电转债</t>
  </si>
  <si>
    <t>飞凯转债</t>
  </si>
  <si>
    <t>法兰转债</t>
  </si>
  <si>
    <t>济川转债</t>
  </si>
  <si>
    <t>三超转债</t>
  </si>
  <si>
    <t>朗科转债</t>
  </si>
  <si>
    <t>鹏辉转债</t>
  </si>
  <si>
    <t>日丰转债</t>
  </si>
  <si>
    <t>景兴转债</t>
  </si>
  <si>
    <t>九典转债</t>
  </si>
  <si>
    <t>健友转债</t>
  </si>
  <si>
    <t>雷迪转债</t>
  </si>
  <si>
    <t>吉视转债</t>
  </si>
  <si>
    <t>奥佳转债</t>
  </si>
  <si>
    <t>灵康转债</t>
  </si>
  <si>
    <t>高澜转债</t>
  </si>
  <si>
    <t>朗新转债</t>
  </si>
  <si>
    <t>耐普转债</t>
  </si>
  <si>
    <t>春秋转债</t>
  </si>
  <si>
    <t>联诚转债</t>
  </si>
  <si>
    <t>锋龙转债</t>
  </si>
  <si>
    <t>维格转债</t>
  </si>
  <si>
    <t>三力转债</t>
  </si>
  <si>
    <t>孚日转债</t>
  </si>
  <si>
    <t>汽模转2</t>
  </si>
  <si>
    <t>宏辉转债</t>
  </si>
  <si>
    <t>利德转债</t>
  </si>
  <si>
    <t>远东转债</t>
  </si>
  <si>
    <t>美力转债</t>
  </si>
  <si>
    <t>万讯转债</t>
  </si>
  <si>
    <t>艾华转债</t>
  </si>
  <si>
    <t>小康转债</t>
  </si>
  <si>
    <t>金轮转债</t>
  </si>
  <si>
    <t>岭南转债</t>
  </si>
  <si>
    <t>新春转债</t>
  </si>
  <si>
    <t>嘉澳转债</t>
  </si>
  <si>
    <t>台华转债</t>
  </si>
  <si>
    <t>盛路转债</t>
  </si>
  <si>
    <t>广电转债</t>
  </si>
  <si>
    <t>宝莱转债</t>
  </si>
  <si>
    <t>模塑转债</t>
  </si>
  <si>
    <t>起步转债</t>
  </si>
  <si>
    <t>科达转债</t>
  </si>
  <si>
    <t>花王转债</t>
  </si>
  <si>
    <t>万孚转债</t>
  </si>
  <si>
    <t>金陵转债</t>
  </si>
  <si>
    <t>联泰转债</t>
  </si>
  <si>
    <t>纵横转债</t>
  </si>
  <si>
    <t>天创转债</t>
  </si>
  <si>
    <t>健帆转债</t>
  </si>
  <si>
    <t>侨银转债</t>
  </si>
  <si>
    <t>太平转债</t>
  </si>
  <si>
    <t>华阳转债</t>
  </si>
  <si>
    <t>江山转债</t>
  </si>
  <si>
    <t>东时转债</t>
  </si>
  <si>
    <t>拓斯转债</t>
  </si>
  <si>
    <t>瀛通转债</t>
  </si>
  <si>
    <t>道恩转债</t>
  </si>
  <si>
    <t>翔鹭转债</t>
  </si>
  <si>
    <t>佳力转债</t>
  </si>
  <si>
    <t>雪榕转债</t>
  </si>
  <si>
    <t>众信转债</t>
  </si>
  <si>
    <t>交建转债</t>
  </si>
  <si>
    <t>强力转债</t>
  </si>
  <si>
    <t>多伦转债</t>
  </si>
  <si>
    <t>久其转债</t>
  </si>
  <si>
    <t>祥鑫转债</t>
  </si>
  <si>
    <t>国光转债</t>
  </si>
  <si>
    <t>智能转债</t>
  </si>
  <si>
    <t>柳药转债</t>
  </si>
  <si>
    <t>开润转债</t>
  </si>
  <si>
    <t>希望转债</t>
  </si>
  <si>
    <t>红相转债</t>
  </si>
  <si>
    <t>科华转债</t>
  </si>
  <si>
    <t>德尔转债</t>
  </si>
  <si>
    <t>华森转债</t>
  </si>
  <si>
    <t>长久转债</t>
  </si>
  <si>
    <t>全筑转债</t>
  </si>
  <si>
    <t>国城转债</t>
  </si>
  <si>
    <t>富瀚转债</t>
  </si>
  <si>
    <t>好客转债</t>
  </si>
  <si>
    <t>卫宁转债</t>
  </si>
  <si>
    <t>正川转债</t>
  </si>
  <si>
    <t>铁汉转债</t>
  </si>
  <si>
    <t>金农转债</t>
  </si>
  <si>
    <t>三诺转债</t>
  </si>
  <si>
    <t>瑞丰转债</t>
  </si>
  <si>
    <t>瑞达转债</t>
  </si>
  <si>
    <t>长集转债</t>
  </si>
  <si>
    <t>洋丰转债</t>
  </si>
  <si>
    <t>赛伍转债</t>
  </si>
  <si>
    <t>永东转债</t>
  </si>
  <si>
    <t>新北转债</t>
  </si>
  <si>
    <t>大丰转债</t>
  </si>
  <si>
    <t>众兴转债</t>
  </si>
  <si>
    <t>创维转债</t>
  </si>
  <si>
    <t>维尔转债</t>
  </si>
  <si>
    <t>翔港转债</t>
  </si>
  <si>
    <t>江丰转债</t>
  </si>
  <si>
    <t>万青转债</t>
  </si>
  <si>
    <t>博世转债</t>
  </si>
  <si>
    <t>晶瑞转2</t>
  </si>
  <si>
    <t>弘亚转债</t>
  </si>
  <si>
    <t>新乳转债</t>
  </si>
  <si>
    <t>海环转债</t>
  </si>
  <si>
    <t>兴森转债</t>
  </si>
  <si>
    <t>绿茵转债</t>
  </si>
  <si>
    <t>华源转债</t>
  </si>
  <si>
    <t>未来转债</t>
  </si>
  <si>
    <t>凯中转债</t>
  </si>
  <si>
    <t>游族转债</t>
  </si>
  <si>
    <t>迪森转债</t>
  </si>
  <si>
    <t>思创转债</t>
  </si>
  <si>
    <t>银信转债</t>
  </si>
  <si>
    <t>荣泰转债</t>
  </si>
  <si>
    <t>万兴转债</t>
  </si>
  <si>
    <t>亚太转债</t>
  </si>
  <si>
    <t>天路转债</t>
  </si>
  <si>
    <t>汉得转债</t>
  </si>
  <si>
    <t>大业转债</t>
  </si>
  <si>
    <t>文科转债</t>
  </si>
  <si>
    <t>润达转债</t>
  </si>
  <si>
    <t>特发转2</t>
  </si>
  <si>
    <t>中大转债</t>
  </si>
  <si>
    <t>奇精转债</t>
  </si>
  <si>
    <t>山玻转债</t>
  </si>
  <si>
    <t>皖天转债</t>
  </si>
  <si>
    <t>元力转债</t>
  </si>
  <si>
    <t>奇正转债</t>
  </si>
  <si>
    <t>利民转债</t>
  </si>
  <si>
    <t>濮耐转债</t>
  </si>
  <si>
    <t>晨丰转债</t>
  </si>
  <si>
    <t>世运转债</t>
  </si>
  <si>
    <t>北方转债</t>
  </si>
  <si>
    <t>东湖转债</t>
  </si>
  <si>
    <t>银轮转债</t>
  </si>
  <si>
    <t>拓尔转债</t>
  </si>
  <si>
    <t>超声转债</t>
  </si>
  <si>
    <t>应急转债</t>
  </si>
  <si>
    <t>帝尔转债</t>
  </si>
  <si>
    <t>威唐转债</t>
  </si>
  <si>
    <t>隆华转债</t>
  </si>
  <si>
    <t>靖远转债</t>
  </si>
  <si>
    <t>惠城转债</t>
  </si>
  <si>
    <t>杭电转债</t>
  </si>
  <si>
    <t>金博转债</t>
  </si>
  <si>
    <t>长海转债</t>
  </si>
  <si>
    <t>普利转债</t>
  </si>
  <si>
    <t>龙大转债</t>
  </si>
  <si>
    <t>锦鸡转债</t>
  </si>
  <si>
    <t>彤程转债</t>
  </si>
  <si>
    <t>特纸转债</t>
  </si>
  <si>
    <t>奥飞转债</t>
  </si>
  <si>
    <t>甬金转债</t>
  </si>
  <si>
    <t>珀莱转债</t>
  </si>
  <si>
    <t>华兴转债</t>
  </si>
  <si>
    <t>回盛转债</t>
  </si>
  <si>
    <t>博杰转债</t>
  </si>
  <si>
    <t>是否已买</t>
  </si>
  <si>
    <t>财通科创主题</t>
  </si>
  <si>
    <t>博时优势A</t>
  </si>
  <si>
    <t>建信港股通ETF</t>
  </si>
  <si>
    <t>财通升级</t>
  </si>
  <si>
    <t>国泰港股通</t>
  </si>
  <si>
    <t>鹏华中证消费ETF</t>
  </si>
  <si>
    <t>中融煤炭</t>
  </si>
  <si>
    <t>国泰有色</t>
  </si>
  <si>
    <t>天治核心</t>
  </si>
  <si>
    <t>招商成长</t>
  </si>
  <si>
    <t>银华内需</t>
  </si>
  <si>
    <t>万家红利</t>
  </si>
  <si>
    <t>中融钢铁</t>
  </si>
  <si>
    <t>景顺资源</t>
  </si>
  <si>
    <t>南方高增</t>
  </si>
  <si>
    <t>华安智增</t>
  </si>
  <si>
    <t>嘉实央企创新ETF</t>
  </si>
  <si>
    <t>国联安沪深300ETF</t>
  </si>
  <si>
    <t>九泰泰富</t>
  </si>
  <si>
    <t>永赢沪深300ETF</t>
  </si>
  <si>
    <t>工银上证50ETF</t>
  </si>
  <si>
    <t>平安鼎泰</t>
  </si>
  <si>
    <t>景顺鼎益</t>
  </si>
  <si>
    <t>万家优选</t>
  </si>
  <si>
    <t>南方天元</t>
  </si>
  <si>
    <t>中银中证100ETF</t>
  </si>
  <si>
    <t>九泰锐益</t>
  </si>
  <si>
    <t>兴全绿色</t>
  </si>
  <si>
    <t>银华100</t>
  </si>
  <si>
    <t>泰康沪深300ETF</t>
  </si>
  <si>
    <t>国投瑞利</t>
  </si>
  <si>
    <t>泰康中证500ETF</t>
  </si>
  <si>
    <t>工银中证500ETF</t>
  </si>
  <si>
    <t>方正沪深300ETF</t>
  </si>
  <si>
    <t>华夏蓝筹</t>
  </si>
  <si>
    <t>兴全模式</t>
  </si>
  <si>
    <t>长城久富</t>
  </si>
  <si>
    <t>兴全趋势</t>
  </si>
  <si>
    <t>博时主题</t>
  </si>
  <si>
    <t>长盛同益</t>
  </si>
  <si>
    <t>鹏华动力</t>
  </si>
  <si>
    <t>华夏行业</t>
  </si>
  <si>
    <t>大成产业</t>
  </si>
  <si>
    <t>兴全合润</t>
  </si>
  <si>
    <t>鹏华价值</t>
  </si>
  <si>
    <t>申万军工</t>
  </si>
  <si>
    <t>建信优势</t>
  </si>
  <si>
    <t>最新低溢价排名</t>
    <phoneticPr fontId="2" type="noConversion"/>
  </si>
  <si>
    <t>华翔转债</t>
  </si>
  <si>
    <t>城市转债</t>
  </si>
  <si>
    <t>新星转债</t>
  </si>
  <si>
    <t>贵燃转债</t>
  </si>
  <si>
    <t>台21转债</t>
  </si>
  <si>
    <t>佩蒂转债</t>
  </si>
  <si>
    <t>博瑞转债</t>
  </si>
  <si>
    <t>卡倍转债</t>
  </si>
  <si>
    <t>溢价率</t>
    <phoneticPr fontId="2" type="noConversion"/>
  </si>
  <si>
    <t>我的低溢价可转债持仓</t>
  </si>
  <si>
    <t>我的双低可转债持仓</t>
    <phoneticPr fontId="2" type="noConversion"/>
  </si>
  <si>
    <t>最新排名</t>
    <phoneticPr fontId="2" type="noConversion"/>
  </si>
  <si>
    <t>我的持仓</t>
    <phoneticPr fontId="2" type="noConversion"/>
  </si>
  <si>
    <t>我的持仓</t>
    <phoneticPr fontId="2" type="noConversion"/>
  </si>
  <si>
    <t>华安石油A</t>
  </si>
  <si>
    <t>招商科技ETF</t>
  </si>
  <si>
    <t>国泰瞬利A</t>
  </si>
  <si>
    <t>SH501095</t>
  </si>
  <si>
    <t>SZ165513</t>
  </si>
  <si>
    <t>SZ161815</t>
  </si>
  <si>
    <t>SZ163208</t>
  </si>
  <si>
    <t>SZ162411</t>
  </si>
  <si>
    <t>SH506002</t>
  </si>
  <si>
    <t>SH501081</t>
  </si>
  <si>
    <t>SH518860</t>
  </si>
  <si>
    <t>SH506003</t>
  </si>
  <si>
    <t>SZ168204</t>
  </si>
  <si>
    <t>SH506005</t>
  </si>
  <si>
    <t>SZ160143</t>
  </si>
  <si>
    <t>SZ162720</t>
  </si>
  <si>
    <t>SH501078</t>
  </si>
  <si>
    <t>SH506001</t>
  </si>
  <si>
    <t>SZ161724</t>
  </si>
  <si>
    <t>SZ159981</t>
  </si>
  <si>
    <t>SH501201</t>
  </si>
  <si>
    <t>SH512190</t>
  </si>
  <si>
    <t>SH501073</t>
  </si>
  <si>
    <t>SZ161226</t>
  </si>
  <si>
    <t>SZ161032</t>
  </si>
  <si>
    <t>SZ163118</t>
  </si>
  <si>
    <t>SH512610</t>
  </si>
  <si>
    <t>SZ163114</t>
  </si>
  <si>
    <t>SH501075</t>
  </si>
  <si>
    <t>SZ159980</t>
  </si>
  <si>
    <t>SZ161122</t>
  </si>
  <si>
    <t>SZ161037</t>
  </si>
  <si>
    <t>SH501080</t>
  </si>
  <si>
    <t>SH501011</t>
  </si>
  <si>
    <t>SH506000</t>
  </si>
  <si>
    <t>SZ160620</t>
  </si>
  <si>
    <t>SZ161726</t>
  </si>
  <si>
    <t>SZ159891</t>
  </si>
  <si>
    <t>SZ168103</t>
  </si>
  <si>
    <t>SH516090</t>
  </si>
  <si>
    <t>SZ161914</t>
  </si>
  <si>
    <t>SH501062</t>
  </si>
  <si>
    <t>SZ162412</t>
  </si>
  <si>
    <t>SZ168207</t>
  </si>
  <si>
    <t>SH501012</t>
  </si>
  <si>
    <t>SH516080</t>
  </si>
  <si>
    <t>SH501076</t>
  </si>
  <si>
    <t>SZ159972</t>
  </si>
  <si>
    <t>SH501082</t>
  </si>
  <si>
    <t>SZ159816</t>
  </si>
  <si>
    <t>SH515950</t>
  </si>
  <si>
    <t>SZ160219</t>
  </si>
  <si>
    <t>SZ160529</t>
  </si>
  <si>
    <t>SH501009</t>
  </si>
  <si>
    <t>SH501099</t>
  </si>
  <si>
    <t>SZ161911</t>
  </si>
  <si>
    <t>SH501079</t>
  </si>
  <si>
    <t>SH511020</t>
  </si>
  <si>
    <t>SH516650</t>
  </si>
  <si>
    <t>SH502003</t>
  </si>
  <si>
    <t>SZ165520</t>
  </si>
  <si>
    <t>SZ163210</t>
  </si>
  <si>
    <t>SH511270</t>
  </si>
  <si>
    <t>SZ160926</t>
  </si>
  <si>
    <t>SH515220</t>
  </si>
  <si>
    <t>SZ161014</t>
  </si>
  <si>
    <t>SH501096</t>
  </si>
  <si>
    <t>SZ159992</t>
  </si>
  <si>
    <t>SZ163418</t>
  </si>
  <si>
    <t>SZ159812</t>
  </si>
  <si>
    <t>SH511060</t>
  </si>
  <si>
    <t>SZ160221</t>
  </si>
  <si>
    <t>SZ159849</t>
  </si>
  <si>
    <t>SH501010</t>
  </si>
  <si>
    <t>SZ159858</t>
  </si>
  <si>
    <t>SH502056</t>
  </si>
  <si>
    <t>SZ161912</t>
  </si>
  <si>
    <t>SH588300</t>
  </si>
  <si>
    <t>SZ159964</t>
  </si>
  <si>
    <t>SZ161119</t>
  </si>
  <si>
    <t>SH511260</t>
  </si>
  <si>
    <t>SZ159815</t>
  </si>
  <si>
    <t>SZ169106</t>
  </si>
  <si>
    <t>SZ161715</t>
  </si>
  <si>
    <t>SZ160630</t>
  </si>
  <si>
    <t>SH501088</t>
  </si>
  <si>
    <t>SH516180</t>
  </si>
  <si>
    <t>SH588380</t>
  </si>
  <si>
    <t>SH516610</t>
  </si>
  <si>
    <t>SZ161903</t>
  </si>
  <si>
    <t>SH516070</t>
  </si>
  <si>
    <t>SZ159863</t>
  </si>
  <si>
    <t>SZ160325</t>
  </si>
  <si>
    <t>SH515120</t>
  </si>
  <si>
    <t>SZ159839</t>
  </si>
  <si>
    <t>SZ160812</t>
  </si>
  <si>
    <t>SH517120</t>
  </si>
  <si>
    <t>SZ161222</t>
  </si>
  <si>
    <t>SH501202</t>
  </si>
  <si>
    <t>SH516820</t>
  </si>
  <si>
    <t>SH501019</t>
  </si>
  <si>
    <t>SZ159938</t>
  </si>
  <si>
    <t>SH501091</t>
  </si>
  <si>
    <t>SH501046</t>
  </si>
  <si>
    <t>SZ163115</t>
  </si>
  <si>
    <t>SH501085</t>
  </si>
  <si>
    <t>SH501083</t>
  </si>
  <si>
    <t>SZ161024</t>
  </si>
  <si>
    <t>SZ161837</t>
  </si>
  <si>
    <t>SZ159830</t>
  </si>
  <si>
    <t>SH506006</t>
  </si>
  <si>
    <t>SH588360</t>
  </si>
  <si>
    <t>SZ161010</t>
  </si>
  <si>
    <t>SZ160225</t>
  </si>
  <si>
    <t>SZ159930</t>
  </si>
  <si>
    <t>SZ160416</t>
  </si>
  <si>
    <t>SH588400</t>
  </si>
  <si>
    <t>SH516060</t>
  </si>
  <si>
    <t>SH510290</t>
  </si>
  <si>
    <t>SZ166006</t>
  </si>
  <si>
    <t>SH518680</t>
  </si>
  <si>
    <t>SZ159782</t>
  </si>
  <si>
    <t>SZ159986</t>
  </si>
  <si>
    <t>SH501057</t>
  </si>
  <si>
    <t>SZ161028</t>
  </si>
  <si>
    <t>SZ164403</t>
  </si>
  <si>
    <t>SZ165516</t>
  </si>
  <si>
    <t>SZ159881</t>
  </si>
  <si>
    <t>SH518890</t>
  </si>
  <si>
    <t>SZ161039</t>
  </si>
  <si>
    <t>SZ159847</t>
  </si>
  <si>
    <t>SH516910</t>
  </si>
  <si>
    <t>SZ161115</t>
  </si>
  <si>
    <t>SZ159703</t>
  </si>
  <si>
    <t>SH515590</t>
  </si>
  <si>
    <t>SZ160212</t>
  </si>
  <si>
    <t>SH515790</t>
  </si>
  <si>
    <t>SH501031</t>
  </si>
  <si>
    <t>SH501093</t>
  </si>
  <si>
    <t>SZ159885</t>
  </si>
  <si>
    <t>SH518800</t>
  </si>
  <si>
    <t>SZ160637</t>
  </si>
  <si>
    <t>SH501203</t>
  </si>
  <si>
    <t>SZ159861</t>
  </si>
  <si>
    <t>SZ160421</t>
  </si>
  <si>
    <t>SZ160632</t>
  </si>
  <si>
    <t>SZ160618</t>
  </si>
  <si>
    <t>SZ160133</t>
  </si>
  <si>
    <t>SZ159783</t>
  </si>
  <si>
    <t>SZ159838</t>
  </si>
  <si>
    <t>SZ161022</t>
  </si>
  <si>
    <t>SH510170</t>
  </si>
  <si>
    <t>SH511010</t>
  </si>
  <si>
    <t>SH515610</t>
  </si>
  <si>
    <t>SH502013</t>
  </si>
  <si>
    <t>SZ159837</t>
  </si>
  <si>
    <t>SH562880</t>
  </si>
  <si>
    <t>SZ161040</t>
  </si>
  <si>
    <t>SZ168203</t>
  </si>
  <si>
    <t>SZ160513</t>
  </si>
  <si>
    <t>SH518880</t>
  </si>
  <si>
    <t>SZ160610</t>
  </si>
  <si>
    <t>SH501205</t>
  </si>
  <si>
    <t>SZ159876</t>
  </si>
  <si>
    <t>SH501029</t>
  </si>
  <si>
    <t>SZ159943</t>
  </si>
  <si>
    <t>SH501208</t>
  </si>
  <si>
    <t>SZ159971</t>
  </si>
  <si>
    <t>SH512400</t>
  </si>
  <si>
    <t>SZ163406</t>
  </si>
  <si>
    <t>SH515090</t>
  </si>
  <si>
    <t>SZ160222</t>
  </si>
  <si>
    <t>SH516390</t>
  </si>
  <si>
    <t>SZ159929</t>
  </si>
  <si>
    <t>SZ169102</t>
  </si>
  <si>
    <t>SH512120</t>
  </si>
  <si>
    <t>SZ160916</t>
  </si>
  <si>
    <t>SH588330</t>
  </si>
  <si>
    <t>SZ159945</t>
  </si>
  <si>
    <t>SH518660</t>
  </si>
  <si>
    <t>SH510150</t>
  </si>
  <si>
    <t>SZ161631</t>
  </si>
  <si>
    <t>SH516480</t>
  </si>
  <si>
    <t>SH515960</t>
  </si>
  <si>
    <t>SH588390</t>
  </si>
  <si>
    <t>SH501005</t>
  </si>
  <si>
    <t>SH501066</t>
  </si>
  <si>
    <t>SZ159937</t>
  </si>
  <si>
    <t>SZ159985</t>
  </si>
  <si>
    <t>SZ159806</t>
  </si>
  <si>
    <t>SZ168105</t>
  </si>
  <si>
    <t>SZ160505</t>
  </si>
  <si>
    <t>SZ159755</t>
  </si>
  <si>
    <t>SZ161716</t>
  </si>
  <si>
    <t>SH501036</t>
  </si>
  <si>
    <t>SZ159934</t>
  </si>
  <si>
    <t>SZ159808</t>
  </si>
  <si>
    <t>SH518850</t>
  </si>
  <si>
    <t>SH510760</t>
  </si>
  <si>
    <t>SH518600</t>
  </si>
  <si>
    <t>SZ163109</t>
  </si>
  <si>
    <t>SZ161725</t>
  </si>
  <si>
    <t>SZ169107</t>
  </si>
  <si>
    <t>SH501049</t>
  </si>
  <si>
    <t>SZ159955</t>
  </si>
  <si>
    <t>SH510880</t>
  </si>
  <si>
    <t>SZ161025</t>
  </si>
  <si>
    <t>SH516660</t>
  </si>
  <si>
    <t>SH516300</t>
  </si>
  <si>
    <t>SZ159824</t>
  </si>
  <si>
    <t>SH501207</t>
  </si>
  <si>
    <t>SH515100</t>
  </si>
  <si>
    <t>SH511880</t>
  </si>
  <si>
    <t>SH516880</t>
  </si>
  <si>
    <t>SZ160527</t>
  </si>
  <si>
    <t>SZ163801</t>
  </si>
  <si>
    <t>SZ166024</t>
  </si>
  <si>
    <t>SH515150</t>
  </si>
  <si>
    <t>SH501015</t>
  </si>
  <si>
    <t>SZ159003</t>
  </si>
  <si>
    <t>SH511360</t>
  </si>
  <si>
    <t>SZ159871</t>
  </si>
  <si>
    <t>SH511670</t>
  </si>
  <si>
    <t>SH511920</t>
  </si>
  <si>
    <t>SH511830</t>
  </si>
  <si>
    <t>SH511820</t>
  </si>
  <si>
    <t>SZ159005</t>
  </si>
  <si>
    <t>SZ159898</t>
  </si>
  <si>
    <t>SH510530</t>
  </si>
  <si>
    <t>SH511690</t>
  </si>
  <si>
    <t>SH511850</t>
  </si>
  <si>
    <t>SH501077</t>
  </si>
  <si>
    <t>SH510410</t>
  </si>
  <si>
    <t>SZ159903</t>
  </si>
  <si>
    <t>SZ159001</t>
  </si>
  <si>
    <t>SH511650</t>
  </si>
  <si>
    <t>SH511660</t>
  </si>
  <si>
    <t>SH511900</t>
  </si>
  <si>
    <t>SZ163415</t>
  </si>
  <si>
    <t>SH501054</t>
  </si>
  <si>
    <t>SH512010</t>
  </si>
  <si>
    <t>SH511860</t>
  </si>
  <si>
    <t>SH512660</t>
  </si>
  <si>
    <t>SH511990</t>
  </si>
  <si>
    <t>SH516150</t>
  </si>
  <si>
    <t>SH516000</t>
  </si>
  <si>
    <t>SZ159702</t>
  </si>
  <si>
    <t>SH511700</t>
  </si>
  <si>
    <t>SZ167508</t>
  </si>
  <si>
    <t>SZ159957</t>
  </si>
  <si>
    <t>SH501206</t>
  </si>
  <si>
    <t>SH511620</t>
  </si>
  <si>
    <t>SH511600</t>
  </si>
  <si>
    <t>SH512100</t>
  </si>
  <si>
    <t>SZ159886</t>
  </si>
  <si>
    <t>SZ160218</t>
  </si>
  <si>
    <t>SZ166027</t>
  </si>
  <si>
    <t>SH511810</t>
  </si>
  <si>
    <t>SH512480</t>
  </si>
  <si>
    <t>SZ167001</t>
  </si>
  <si>
    <t>SH511800</t>
  </si>
  <si>
    <t>SZ166025</t>
  </si>
  <si>
    <t>SZ160726</t>
  </si>
  <si>
    <t>SZ159813</t>
  </si>
  <si>
    <t>SZ159958</t>
  </si>
  <si>
    <t>SZ159820</t>
  </si>
  <si>
    <t>SH515750</t>
  </si>
  <si>
    <t>SZ162605</t>
  </si>
  <si>
    <t>SZ161812</t>
  </si>
  <si>
    <t>SH515910</t>
  </si>
  <si>
    <t>SZ160918</t>
  </si>
  <si>
    <t>SZ169103</t>
  </si>
  <si>
    <t>SH515030</t>
  </si>
  <si>
    <t>SZ161706</t>
  </si>
  <si>
    <t>SH515660</t>
  </si>
  <si>
    <t>SH512330</t>
  </si>
  <si>
    <t>SZ168102</t>
  </si>
  <si>
    <t>SH516850</t>
  </si>
  <si>
    <t>SH511980</t>
  </si>
  <si>
    <t>SH510660</t>
  </si>
  <si>
    <t>SH516270</t>
  </si>
  <si>
    <t>SZ159801</t>
  </si>
  <si>
    <t>SH510630</t>
  </si>
  <si>
    <t>SZ159949</t>
  </si>
  <si>
    <t>SH516590</t>
  </si>
  <si>
    <t>SZ159827</t>
  </si>
  <si>
    <t>SZ166023</t>
  </si>
  <si>
    <t>SZ159810</t>
  </si>
  <si>
    <t>SH511030</t>
  </si>
  <si>
    <t>SH512680</t>
  </si>
  <si>
    <t>SH516500</t>
  </si>
  <si>
    <t>SZ159997</t>
  </si>
  <si>
    <t>SZ160631</t>
  </si>
  <si>
    <t>SH515160</t>
  </si>
  <si>
    <t>SH512950</t>
  </si>
  <si>
    <t>SH512890</t>
  </si>
  <si>
    <t>SH516780</t>
  </si>
  <si>
    <t>SH512290</t>
  </si>
  <si>
    <t>SH512170</t>
  </si>
  <si>
    <t>SZ160311</t>
  </si>
  <si>
    <t>SH512670</t>
  </si>
  <si>
    <t>SH512180</t>
  </si>
  <si>
    <t>SZ163412</t>
  </si>
  <si>
    <t>SZ159948</t>
  </si>
  <si>
    <t>SH516830</t>
  </si>
  <si>
    <t>SZ159872</t>
  </si>
  <si>
    <t>SH516320</t>
  </si>
  <si>
    <t>SZ159804</t>
  </si>
  <si>
    <t>SH512580</t>
  </si>
  <si>
    <t>SZ161834</t>
  </si>
  <si>
    <t>SZ159974</t>
  </si>
  <si>
    <t>SH515820</t>
  </si>
  <si>
    <t>SZ159995</t>
  </si>
  <si>
    <t>SH516160</t>
  </si>
  <si>
    <t>SH512760</t>
  </si>
  <si>
    <t>SH512280</t>
  </si>
  <si>
    <t>SZ159857</t>
  </si>
  <si>
    <t>SH515210</t>
  </si>
  <si>
    <t>SH512650</t>
  </si>
  <si>
    <t>SZ159781</t>
  </si>
  <si>
    <t>SH516800</t>
  </si>
  <si>
    <t>SZ169101</t>
  </si>
  <si>
    <t>SZ159959</t>
  </si>
  <si>
    <t>SZ169105</t>
  </si>
  <si>
    <t>SH511220</t>
  </si>
  <si>
    <t>SZ159780</t>
  </si>
  <si>
    <t>SH515680</t>
  </si>
  <si>
    <t>SH515890</t>
  </si>
  <si>
    <t>SH512930</t>
  </si>
  <si>
    <t>SZ162415</t>
  </si>
  <si>
    <t>SH516630</t>
  </si>
  <si>
    <t>SH516100</t>
  </si>
  <si>
    <t>SH515500</t>
  </si>
  <si>
    <t>SH512510</t>
  </si>
  <si>
    <t>SZ163001</t>
  </si>
  <si>
    <t>SZ159873</t>
  </si>
  <si>
    <t>SZ160216</t>
  </si>
  <si>
    <t>SZ159952</t>
  </si>
  <si>
    <t>SZ159828</t>
  </si>
  <si>
    <t>SH512560</t>
  </si>
  <si>
    <t>SH502020</t>
  </si>
  <si>
    <t>SH501071</t>
  </si>
  <si>
    <t>SH511180</t>
  </si>
  <si>
    <t>SZ163417</t>
  </si>
  <si>
    <t>SZ159928</t>
  </si>
  <si>
    <t>SH515080</t>
  </si>
  <si>
    <t>SH515700</t>
  </si>
  <si>
    <t>SZ159890</t>
  </si>
  <si>
    <t>SH512960</t>
  </si>
  <si>
    <t>SZ159987</t>
  </si>
  <si>
    <t>SZ161121</t>
  </si>
  <si>
    <t>SH510160</t>
  </si>
  <si>
    <t>SH515260</t>
  </si>
  <si>
    <t>SH501087</t>
  </si>
  <si>
    <t>SH515180</t>
  </si>
  <si>
    <t>SH512530</t>
  </si>
  <si>
    <t>SH516380</t>
  </si>
  <si>
    <t>SH516960</t>
  </si>
  <si>
    <t>SH515300</t>
  </si>
  <si>
    <t>SH510190</t>
  </si>
  <si>
    <t>SH516510</t>
  </si>
  <si>
    <t>SH502000</t>
  </si>
  <si>
    <t>SZ159883</t>
  </si>
  <si>
    <t>SZ160223</t>
  </si>
  <si>
    <t>SH502023</t>
  </si>
  <si>
    <t>SZ159725</t>
  </si>
  <si>
    <t>SZ164701</t>
  </si>
  <si>
    <t>SZ169104</t>
  </si>
  <si>
    <t>SH515600</t>
  </si>
  <si>
    <t>SH588180</t>
  </si>
  <si>
    <t>SH512810</t>
  </si>
  <si>
    <t>SH561500</t>
  </si>
  <si>
    <t>SH516950</t>
  </si>
  <si>
    <t>SH512260</t>
  </si>
  <si>
    <t>SH517300</t>
  </si>
  <si>
    <t>SZ159966</t>
  </si>
  <si>
    <t>SZ159819</t>
  </si>
  <si>
    <t>SZ159825</t>
  </si>
  <si>
    <t>SZ159897</t>
  </si>
  <si>
    <t>SH513900</t>
  </si>
  <si>
    <t>SZ159968</t>
  </si>
  <si>
    <t>SZ159845</t>
  </si>
  <si>
    <t>SZ159843</t>
  </si>
  <si>
    <t>SH512770</t>
  </si>
  <si>
    <t>SH511380</t>
  </si>
  <si>
    <t>SZ159977</t>
  </si>
  <si>
    <t>SH588080</t>
  </si>
  <si>
    <t>SZ159906</t>
  </si>
  <si>
    <t>SZ159750</t>
  </si>
  <si>
    <t>SZ159821</t>
  </si>
  <si>
    <t>SH515020</t>
  </si>
  <si>
    <t>SZ159926</t>
  </si>
  <si>
    <t>SZ159835</t>
  </si>
  <si>
    <t>SZ163407</t>
  </si>
  <si>
    <t>SZ159915</t>
  </si>
  <si>
    <t>SZ159967</t>
  </si>
  <si>
    <t>SH515060</t>
  </si>
  <si>
    <t>SZ159975</t>
  </si>
  <si>
    <t>SH515200</t>
  </si>
  <si>
    <t>SH516020</t>
  </si>
  <si>
    <t>SZ162703</t>
  </si>
  <si>
    <t>SZ159708</t>
  </si>
  <si>
    <t>SH588000</t>
  </si>
  <si>
    <t>SH515280</t>
  </si>
  <si>
    <t>SH515800</t>
  </si>
  <si>
    <t>SH515170</t>
  </si>
  <si>
    <t>SH512690</t>
  </si>
  <si>
    <t>SH515110</t>
  </si>
  <si>
    <t>SH516970</t>
  </si>
  <si>
    <t>SH512590</t>
  </si>
  <si>
    <t>SH515920</t>
  </si>
  <si>
    <t>SH513990</t>
  </si>
  <si>
    <t>SH513980</t>
  </si>
  <si>
    <t>SH516550</t>
  </si>
  <si>
    <t>SH515760</t>
  </si>
  <si>
    <t>SH501022</t>
  </si>
  <si>
    <t>SH516760</t>
  </si>
  <si>
    <t>SZ159867</t>
  </si>
  <si>
    <t>SH517080</t>
  </si>
  <si>
    <t>SH515530</t>
  </si>
  <si>
    <t>SZ159969</t>
  </si>
  <si>
    <t>SH588050</t>
  </si>
  <si>
    <t>SH513060</t>
  </si>
  <si>
    <t>SZ159944</t>
  </si>
  <si>
    <t>SH516680</t>
  </si>
  <si>
    <t>SH588310</t>
  </si>
  <si>
    <t>SH516520</t>
  </si>
  <si>
    <t>SH512710</t>
  </si>
  <si>
    <t>SH517050</t>
  </si>
  <si>
    <t>SZ159814</t>
  </si>
  <si>
    <t>SZ159982</t>
  </si>
  <si>
    <t>SH510230</t>
  </si>
  <si>
    <t>SZ162607</t>
  </si>
  <si>
    <t>SZ159991</t>
  </si>
  <si>
    <t>SZ159601</t>
  </si>
  <si>
    <t>SH501058</t>
  </si>
  <si>
    <t>SH512090</t>
  </si>
  <si>
    <t>SH512600</t>
  </si>
  <si>
    <t>SZ160706</t>
  </si>
  <si>
    <t>SH510180</t>
  </si>
  <si>
    <t>SH588090</t>
  </si>
  <si>
    <t>SH516570</t>
  </si>
  <si>
    <t>SH515320</t>
  </si>
  <si>
    <t>SH501030</t>
  </si>
  <si>
    <t>SZ166001</t>
  </si>
  <si>
    <t>SH510600</t>
  </si>
  <si>
    <t>SH516560</t>
  </si>
  <si>
    <t>SH516700</t>
  </si>
  <si>
    <t>SZ163409</t>
  </si>
  <si>
    <t>SZ161017</t>
  </si>
  <si>
    <t>SH515710</t>
  </si>
  <si>
    <t>SZ160314</t>
  </si>
  <si>
    <t>SZ159740</t>
  </si>
  <si>
    <t>SZ159807</t>
  </si>
  <si>
    <t>SZ159899</t>
  </si>
  <si>
    <t>SH515070</t>
  </si>
  <si>
    <t>SZ159970</t>
  </si>
  <si>
    <t>SZ159745</t>
  </si>
  <si>
    <t>SH510590</t>
  </si>
  <si>
    <t>SZ159939</t>
  </si>
  <si>
    <t>SZ159922</t>
  </si>
  <si>
    <t>SH515580</t>
  </si>
  <si>
    <t>SZ159908</t>
  </si>
  <si>
    <t>SZ159866</t>
  </si>
  <si>
    <t>SH510030</t>
  </si>
  <si>
    <t>SH513890</t>
  </si>
  <si>
    <t>SH515000</t>
  </si>
  <si>
    <t>SH512910</t>
  </si>
  <si>
    <t>SH516050</t>
  </si>
  <si>
    <t>SZ159602</t>
  </si>
  <si>
    <t>SH515810</t>
  </si>
  <si>
    <t>SZ161033</t>
  </si>
  <si>
    <t>SZ159990</t>
  </si>
  <si>
    <t>SH515310</t>
  </si>
  <si>
    <t>SH501043</t>
  </si>
  <si>
    <t>SZ159931</t>
  </si>
  <si>
    <t>SZ159741</t>
  </si>
  <si>
    <t>SH515860</t>
  </si>
  <si>
    <t>SH513000</t>
  </si>
  <si>
    <t>SH510550</t>
  </si>
  <si>
    <t>SZ159901</t>
  </si>
  <si>
    <t>SZ159852</t>
  </si>
  <si>
    <t>SH512380</t>
  </si>
  <si>
    <t>SH517200</t>
  </si>
  <si>
    <t>SH512730</t>
  </si>
  <si>
    <t>SZ165313</t>
  </si>
  <si>
    <t>SH516900</t>
  </si>
  <si>
    <t>SH516670</t>
  </si>
  <si>
    <t>SZ159941</t>
  </si>
  <si>
    <t>SH516310</t>
  </si>
  <si>
    <t>SH510810</t>
  </si>
  <si>
    <t>SH510210</t>
  </si>
  <si>
    <t>SZ159902</t>
  </si>
  <si>
    <t>SZ159742</t>
  </si>
  <si>
    <t>SH516110</t>
  </si>
  <si>
    <t>SH515880</t>
  </si>
  <si>
    <t>SH516770</t>
  </si>
  <si>
    <t>SH515930</t>
  </si>
  <si>
    <t>SH513860</t>
  </si>
  <si>
    <t>SZ160633</t>
  </si>
  <si>
    <t>SH515250</t>
  </si>
  <si>
    <t>SH515770</t>
  </si>
  <si>
    <t>SH510710</t>
  </si>
  <si>
    <t>SH513550</t>
  </si>
  <si>
    <t>SH510500</t>
  </si>
  <si>
    <t>SZ159811</t>
  </si>
  <si>
    <t>SZ163402</t>
  </si>
  <si>
    <t>SZ159919</t>
  </si>
  <si>
    <t>SH512500</t>
  </si>
  <si>
    <t>SZ159940</t>
  </si>
  <si>
    <t>SZ159887</t>
  </si>
  <si>
    <t>SZ159909</t>
  </si>
  <si>
    <t>SH512520</t>
  </si>
  <si>
    <t>SH515330</t>
  </si>
  <si>
    <t>SH515650</t>
  </si>
  <si>
    <t>SH515290</t>
  </si>
  <si>
    <t>SZ160119</t>
  </si>
  <si>
    <t>SZ159865</t>
  </si>
  <si>
    <t>SH510510</t>
  </si>
  <si>
    <t>SZ161810</t>
  </si>
  <si>
    <t>SH510310</t>
  </si>
  <si>
    <t>SH501090</t>
  </si>
  <si>
    <t>SH512900</t>
  </si>
  <si>
    <t>SH510580</t>
  </si>
  <si>
    <t>SH515900</t>
  </si>
  <si>
    <t>SZ159766</t>
  </si>
  <si>
    <t>SH515670</t>
  </si>
  <si>
    <t>SZ161907</t>
  </si>
  <si>
    <t>SH560050</t>
  </si>
  <si>
    <t>SZ161720</t>
  </si>
  <si>
    <t>SH563000</t>
  </si>
  <si>
    <t>SH513500</t>
  </si>
  <si>
    <t>SH516330</t>
  </si>
  <si>
    <t>SZ160607</t>
  </si>
  <si>
    <t>SZ159747</t>
  </si>
  <si>
    <t>SH512980</t>
  </si>
  <si>
    <t>SH515350</t>
  </si>
  <si>
    <t>SH515050</t>
  </si>
  <si>
    <t>SH510680</t>
  </si>
  <si>
    <t>SH512160</t>
  </si>
  <si>
    <t>SH515230</t>
  </si>
  <si>
    <t>SZ163503</t>
  </si>
  <si>
    <t>SZ159996</t>
  </si>
  <si>
    <t>SH510360</t>
  </si>
  <si>
    <t>SH510050</t>
  </si>
  <si>
    <t>SZ159994</t>
  </si>
  <si>
    <t>SZ159870</t>
  </si>
  <si>
    <t>SH513130</t>
  </si>
  <si>
    <t>SH501050</t>
  </si>
  <si>
    <t>SH510800</t>
  </si>
  <si>
    <t>SH513690</t>
  </si>
  <si>
    <t>SH515010</t>
  </si>
  <si>
    <t>SH502048</t>
  </si>
  <si>
    <t>SH512990</t>
  </si>
  <si>
    <t>SH512040</t>
  </si>
  <si>
    <t>SH510850</t>
  </si>
  <si>
    <t>SZ159932</t>
  </si>
  <si>
    <t>SZ159925</t>
  </si>
  <si>
    <t>SH512800</t>
  </si>
  <si>
    <t>SH515400</t>
  </si>
  <si>
    <t>SH515390</t>
  </si>
  <si>
    <t>SZ161027</t>
  </si>
  <si>
    <t>SZ159905</t>
  </si>
  <si>
    <t>SZ159855</t>
  </si>
  <si>
    <t>SH515560</t>
  </si>
  <si>
    <t>SH512570</t>
  </si>
  <si>
    <t>SH512700</t>
  </si>
  <si>
    <t>SH510300</t>
  </si>
  <si>
    <t>SZ159823</t>
  </si>
  <si>
    <t>SZ159998</t>
  </si>
  <si>
    <t>SZ160106</t>
  </si>
  <si>
    <t>SH512220</t>
  </si>
  <si>
    <t>SH512070</t>
  </si>
  <si>
    <t>SZ165525</t>
  </si>
  <si>
    <t>SH510390</t>
  </si>
  <si>
    <t>SZ159888</t>
  </si>
  <si>
    <t>SH510100</t>
  </si>
  <si>
    <t>SH515380</t>
  </si>
  <si>
    <t>SH517390</t>
  </si>
  <si>
    <t>SH515130</t>
  </si>
  <si>
    <t>SH510650</t>
  </si>
  <si>
    <t>SH510330</t>
  </si>
  <si>
    <t>SH561300</t>
  </si>
  <si>
    <t>SZ161227</t>
  </si>
  <si>
    <t>SZ160919</t>
  </si>
  <si>
    <t>SH513100</t>
  </si>
  <si>
    <t>SZ159912</t>
  </si>
  <si>
    <t>SZ159848</t>
  </si>
  <si>
    <t>SH510350</t>
  </si>
  <si>
    <t>SH513580</t>
  </si>
  <si>
    <t>SZ164906</t>
  </si>
  <si>
    <t>SH515360</t>
  </si>
  <si>
    <t>SH512200</t>
  </si>
  <si>
    <t>SZ159707</t>
  </si>
  <si>
    <t>SH512720</t>
  </si>
  <si>
    <t>SZ159993</t>
  </si>
  <si>
    <t>SH501021</t>
  </si>
  <si>
    <t>SH516010</t>
  </si>
  <si>
    <t>SH513660</t>
  </si>
  <si>
    <t>SZ160629</t>
  </si>
  <si>
    <t>SH512150</t>
  </si>
  <si>
    <t>SZ159892</t>
  </si>
  <si>
    <t>SZ161005</t>
  </si>
  <si>
    <t>SH515870</t>
  </si>
  <si>
    <t>SH512820</t>
  </si>
  <si>
    <t>SZ159851</t>
  </si>
  <si>
    <t>SH512880</t>
  </si>
  <si>
    <t>SH513010</t>
  </si>
  <si>
    <t>SZ161026</t>
  </si>
  <si>
    <t>SZ159805</t>
  </si>
  <si>
    <t>SH513880</t>
  </si>
  <si>
    <t>SZ159923</t>
  </si>
  <si>
    <t>SZ159869</t>
  </si>
  <si>
    <t>SZ164206</t>
  </si>
  <si>
    <t>SZ160716</t>
  </si>
  <si>
    <t>SH512000</t>
  </si>
  <si>
    <t>SZ159735</t>
  </si>
  <si>
    <t>SZ159965</t>
  </si>
  <si>
    <t>SZ167301</t>
  </si>
  <si>
    <t>SZ161029</t>
  </si>
  <si>
    <t>SZ159920</t>
  </si>
  <si>
    <t>SH501016</t>
  </si>
  <si>
    <t>SZ162006</t>
  </si>
  <si>
    <t>SH512750</t>
  </si>
  <si>
    <t>SH516200</t>
  </si>
  <si>
    <t>SH517360</t>
  </si>
  <si>
    <t>SH516980</t>
  </si>
  <si>
    <t>SH510060</t>
  </si>
  <si>
    <t>SZ159850</t>
  </si>
  <si>
    <t>SH515850</t>
  </si>
  <si>
    <t>SZ159841</t>
  </si>
  <si>
    <t>SZ163113</t>
  </si>
  <si>
    <t>SH515630</t>
  </si>
  <si>
    <t>SH513600</t>
  </si>
  <si>
    <t>SH513520</t>
  </si>
  <si>
    <t>SH502010</t>
  </si>
  <si>
    <t>SZ159842</t>
  </si>
  <si>
    <t>SZ159936</t>
  </si>
  <si>
    <t>SZ161831</t>
  </si>
  <si>
    <t>SH510200</t>
  </si>
  <si>
    <t>SH502053</t>
  </si>
  <si>
    <t>SZ160625</t>
  </si>
  <si>
    <t>SH517350</t>
  </si>
  <si>
    <t>SZ160717</t>
  </si>
  <si>
    <t>SZ164705</t>
  </si>
  <si>
    <t>SH510900</t>
  </si>
  <si>
    <t>SH513030</t>
  </si>
  <si>
    <t>SZ159856</t>
  </si>
  <si>
    <t>SH513090</t>
  </si>
  <si>
    <t>SH513180</t>
  </si>
  <si>
    <t>SH513330</t>
  </si>
  <si>
    <t>SH513050</t>
  </si>
  <si>
    <t>SZ159605</t>
  </si>
  <si>
    <t>SZ159607</t>
  </si>
  <si>
    <t>SH513360</t>
  </si>
  <si>
    <t>SH513300</t>
  </si>
  <si>
    <t>SZ159822</t>
  </si>
  <si>
    <t>SH513080</t>
  </si>
  <si>
    <t>SZ164824</t>
  </si>
  <si>
    <t>SZ160140</t>
  </si>
  <si>
    <t>SZ161130</t>
  </si>
  <si>
    <t>SZ160723</t>
  </si>
  <si>
    <t>SZ162719</t>
  </si>
  <si>
    <t>SZ161129</t>
  </si>
  <si>
    <t>SZ161128</t>
  </si>
  <si>
    <t>SZ161127</t>
  </si>
  <si>
    <t>SZ161126</t>
  </si>
  <si>
    <t>SZ161125</t>
  </si>
  <si>
    <t>SZ160125</t>
  </si>
  <si>
    <t>SH501018</t>
  </si>
  <si>
    <t>SZ161116</t>
  </si>
  <si>
    <t>SZ160719</t>
  </si>
  <si>
    <t>最新排名</t>
    <phoneticPr fontId="2" type="noConversion"/>
  </si>
  <si>
    <t>盘龙转债</t>
  </si>
  <si>
    <t>精装转债</t>
  </si>
  <si>
    <t>申昊转债</t>
  </si>
  <si>
    <t>盛虹转债</t>
  </si>
  <si>
    <t>苏利转债</t>
  </si>
  <si>
    <t>双箭转债</t>
  </si>
  <si>
    <t>锦浪转债</t>
  </si>
  <si>
    <t>天奈转债</t>
  </si>
  <si>
    <t>铂科转债</t>
  </si>
  <si>
    <t>丝路转债</t>
  </si>
  <si>
    <t>宏丰转债</t>
  </si>
  <si>
    <t>天地转债</t>
  </si>
  <si>
    <t>华正转债</t>
  </si>
  <si>
    <t>豪美转债</t>
  </si>
  <si>
    <t>万顺转债!</t>
  </si>
  <si>
    <t>石英转债!</t>
  </si>
  <si>
    <t>寿仙转债!</t>
  </si>
  <si>
    <t>新天转债!</t>
  </si>
  <si>
    <t>华统转债!</t>
  </si>
  <si>
    <t>天铁转债!</t>
  </si>
  <si>
    <t>飞鹿转债!</t>
  </si>
  <si>
    <t>中矿转债!</t>
  </si>
  <si>
    <t>斯莱转债!</t>
  </si>
  <si>
    <t>齐翔转2!</t>
  </si>
  <si>
    <t>火炬转债!</t>
  </si>
  <si>
    <t>苏试转债!</t>
  </si>
  <si>
    <t>天壕转债!</t>
  </si>
  <si>
    <t>蓝晓转债!</t>
  </si>
  <si>
    <t>一品转债!</t>
  </si>
  <si>
    <t>中钢转债!</t>
  </si>
  <si>
    <t>金诚转债!</t>
  </si>
  <si>
    <t>伯特转债!</t>
  </si>
  <si>
    <t>飞鹿转债</t>
  </si>
  <si>
    <t>美联转债</t>
  </si>
  <si>
    <t>斯莱转债</t>
  </si>
  <si>
    <t>同和转债</t>
  </si>
  <si>
    <t>九洲转2</t>
  </si>
  <si>
    <t>太阳转债</t>
  </si>
  <si>
    <t>利尔转债</t>
  </si>
  <si>
    <t>鸿达转债</t>
  </si>
  <si>
    <t>新天转债</t>
  </si>
  <si>
    <t>华统转债</t>
  </si>
  <si>
    <t>最新VIP排名</t>
    <phoneticPr fontId="2" type="noConversion"/>
  </si>
  <si>
    <t>南方上海金ETF</t>
  </si>
  <si>
    <t>嘉实快线H</t>
  </si>
  <si>
    <t>广发添利A</t>
  </si>
  <si>
    <t>海富通美元债</t>
  </si>
  <si>
    <t>SZ159834</t>
  </si>
  <si>
    <t>SH511960</t>
  </si>
  <si>
    <t>SH511950</t>
  </si>
  <si>
    <t>SH501300</t>
  </si>
  <si>
    <t>最新双低排名</t>
    <phoneticPr fontId="2" type="noConversion"/>
  </si>
  <si>
    <t>湖广转债</t>
  </si>
  <si>
    <t>寿仙转债</t>
  </si>
  <si>
    <t>傲农转债!</t>
  </si>
  <si>
    <t>G三峡EB1!</t>
  </si>
  <si>
    <t>海兰转债!</t>
  </si>
  <si>
    <t>荣晟转债!</t>
  </si>
  <si>
    <t>利尔转债!</t>
  </si>
  <si>
    <t>君禾转债!</t>
  </si>
  <si>
    <t>万顺转2!</t>
  </si>
  <si>
    <t>湖广转债!</t>
  </si>
  <si>
    <t>同和转债!</t>
  </si>
  <si>
    <t>文灿转债!</t>
  </si>
  <si>
    <t>金禾转债!</t>
  </si>
  <si>
    <t>九洲转2!</t>
  </si>
  <si>
    <t>鸿达转债!</t>
  </si>
  <si>
    <t>天能转债!</t>
  </si>
  <si>
    <t>华通转债!</t>
  </si>
  <si>
    <t>鼎胜转债!</t>
  </si>
  <si>
    <t>太阳转债!</t>
  </si>
  <si>
    <t>精达转债!</t>
  </si>
  <si>
    <t>美联转债!</t>
  </si>
  <si>
    <t>伊力转债!</t>
  </si>
  <si>
    <t>恩捷转债!</t>
  </si>
  <si>
    <t>长信转债!</t>
  </si>
  <si>
    <t>美诺转债!</t>
  </si>
  <si>
    <t>三角转债!</t>
  </si>
  <si>
    <t>华锋转债!</t>
  </si>
  <si>
    <t>天康转债!</t>
  </si>
  <si>
    <t>太极转债!</t>
  </si>
  <si>
    <t>嘉元转债!</t>
  </si>
  <si>
    <t>阿拉转债</t>
  </si>
  <si>
    <t>20广版EB</t>
  </si>
  <si>
    <t>洁美转债!</t>
  </si>
  <si>
    <t>联创转债!</t>
  </si>
  <si>
    <t>昌红转债!</t>
  </si>
  <si>
    <t>通光转债!</t>
  </si>
  <si>
    <t>双低</t>
    <phoneticPr fontId="2" type="noConversion"/>
  </si>
  <si>
    <t>日经ETF</t>
  </si>
  <si>
    <t>有色ETF</t>
  </si>
  <si>
    <t>能源化工</t>
  </si>
  <si>
    <t>恒生科技</t>
  </si>
  <si>
    <t>最新VIP可转债排名</t>
    <phoneticPr fontId="2" type="noConversion"/>
  </si>
  <si>
    <t>最新双低可转债排名</t>
    <phoneticPr fontId="2" type="noConversion"/>
  </si>
  <si>
    <t>最新低溢价可转债排名</t>
    <phoneticPr fontId="2" type="noConversion"/>
  </si>
  <si>
    <t>台华转债!</t>
  </si>
  <si>
    <t>明新转债</t>
  </si>
  <si>
    <t>风语转债</t>
  </si>
  <si>
    <t>震安转债</t>
  </si>
  <si>
    <t>晶瑞转债</t>
  </si>
  <si>
    <t>山石转债</t>
  </si>
  <si>
    <t>胜蓝转债</t>
  </si>
  <si>
    <t>聚合转债</t>
  </si>
  <si>
    <t>文灿转债</t>
  </si>
  <si>
    <t>石英转债</t>
  </si>
  <si>
    <t>天铁转债</t>
  </si>
  <si>
    <t>中矿转债</t>
  </si>
  <si>
    <t>金禾转债</t>
  </si>
  <si>
    <t>苏试转债</t>
  </si>
  <si>
    <t>鼎胜转债</t>
  </si>
  <si>
    <t>齐翔转2</t>
  </si>
  <si>
    <t>伊力转债</t>
  </si>
  <si>
    <t>一品转债</t>
  </si>
  <si>
    <t>大成上海金ETF</t>
  </si>
  <si>
    <t>平安上海金ETF</t>
  </si>
  <si>
    <t>富国10年国债ETF</t>
  </si>
  <si>
    <t>中融日日盈A</t>
  </si>
  <si>
    <t>SZ159833</t>
  </si>
  <si>
    <t>SZ159832</t>
  </si>
  <si>
    <t>SH511310</t>
  </si>
  <si>
    <t>SH511930</t>
  </si>
  <si>
    <t>东证睿阳</t>
  </si>
  <si>
    <t>封闭股基</t>
  </si>
  <si>
    <t>SH501092</t>
  </si>
  <si>
    <t>交银瑞思</t>
  </si>
  <si>
    <t>SH501065</t>
  </si>
  <si>
    <t>经典成长</t>
  </si>
  <si>
    <t>嘉实瑞熙</t>
  </si>
  <si>
    <t>SH501063</t>
  </si>
  <si>
    <t>添富悦享</t>
  </si>
  <si>
    <t>东证恒阳</t>
  </si>
  <si>
    <t>研究优选</t>
  </si>
  <si>
    <t>科创国联</t>
  </si>
  <si>
    <t>东证恒元</t>
  </si>
  <si>
    <t>创业LOF</t>
  </si>
  <si>
    <t>科创平安</t>
  </si>
  <si>
    <t>东证创优</t>
  </si>
  <si>
    <t>中融创业</t>
  </si>
  <si>
    <t>中欧远见</t>
  </si>
  <si>
    <t>科创红土</t>
  </si>
  <si>
    <t>东证睿轩</t>
  </si>
  <si>
    <t>东证睿玺</t>
  </si>
  <si>
    <t>科创华泰</t>
  </si>
  <si>
    <t>科创中金</t>
  </si>
  <si>
    <t>SH506008</t>
  </si>
  <si>
    <t>科创长城</t>
  </si>
  <si>
    <t>SZ184801</t>
  </si>
  <si>
    <t>鹏华前海</t>
  </si>
  <si>
    <t>中欧创业</t>
  </si>
  <si>
    <t>科创基金</t>
  </si>
  <si>
    <t>安信价值</t>
  </si>
  <si>
    <t>创业大成</t>
  </si>
  <si>
    <t>BOCI科创</t>
  </si>
  <si>
    <t>科创中欧</t>
  </si>
  <si>
    <t>兴全合兴</t>
  </si>
  <si>
    <t>科创混合</t>
  </si>
  <si>
    <t>科创主题</t>
  </si>
  <si>
    <t>富国科创</t>
  </si>
  <si>
    <t>创业博时</t>
  </si>
  <si>
    <t>科创板基</t>
  </si>
  <si>
    <t>创业富国</t>
  </si>
  <si>
    <t>科创投资</t>
  </si>
  <si>
    <t>万家创业</t>
  </si>
  <si>
    <t>添富科创</t>
  </si>
  <si>
    <t>科创大成</t>
  </si>
  <si>
    <t>万家科创</t>
  </si>
  <si>
    <t>科创银华</t>
  </si>
  <si>
    <t>科创富国</t>
  </si>
  <si>
    <t>社会责任</t>
  </si>
  <si>
    <t>创业广发</t>
  </si>
  <si>
    <t>东证睿泽</t>
  </si>
  <si>
    <t>科创板BS</t>
  </si>
  <si>
    <t>易基科创</t>
  </si>
  <si>
    <t>科创配置</t>
  </si>
  <si>
    <t>华夏创业</t>
  </si>
  <si>
    <t>科创财通</t>
  </si>
  <si>
    <t>封闭债基</t>
  </si>
  <si>
    <t>诺安纯债</t>
  </si>
  <si>
    <t>医药卫生ETF基金</t>
  </si>
  <si>
    <t>指数ETF</t>
  </si>
  <si>
    <t>上证龙头ETF</t>
  </si>
  <si>
    <t>SH510020</t>
  </si>
  <si>
    <t>超大盘ETF</t>
  </si>
  <si>
    <t>浙商之江凤凰ETF</t>
  </si>
  <si>
    <t>SH515990</t>
  </si>
  <si>
    <t>国企一带一路ETF</t>
  </si>
  <si>
    <t>SH510120</t>
  </si>
  <si>
    <t>非周期ETF</t>
  </si>
  <si>
    <t>上证380ETF</t>
  </si>
  <si>
    <t>浙江100</t>
  </si>
  <si>
    <t>SH510570</t>
  </si>
  <si>
    <t>兴业中证500ETF</t>
  </si>
  <si>
    <t>深300ETF</t>
  </si>
  <si>
    <t>深TMT</t>
  </si>
  <si>
    <t>SH510270</t>
  </si>
  <si>
    <t>国企ETF</t>
  </si>
  <si>
    <t>SH510220</t>
  </si>
  <si>
    <t>中小盘ETF</t>
  </si>
  <si>
    <t>SH512970</t>
  </si>
  <si>
    <t>大湾区ETF</t>
  </si>
  <si>
    <t>消费100</t>
  </si>
  <si>
    <t>D100ETF</t>
  </si>
  <si>
    <t>央企ETF</t>
  </si>
  <si>
    <t>材料ETF</t>
  </si>
  <si>
    <t>创业板PA</t>
  </si>
  <si>
    <t>沪深300红利ETF</t>
  </si>
  <si>
    <t>SZ159916</t>
  </si>
  <si>
    <t>深F60</t>
  </si>
  <si>
    <t>AIETF</t>
  </si>
  <si>
    <t>SH515190</t>
  </si>
  <si>
    <t>中银证券500ETF</t>
  </si>
  <si>
    <t>方正中证500ETF</t>
  </si>
  <si>
    <t>物联ETF</t>
  </si>
  <si>
    <t>SZ159933</t>
  </si>
  <si>
    <t>金地ETF</t>
  </si>
  <si>
    <t>A800ETF</t>
  </si>
  <si>
    <t>创精选88</t>
  </si>
  <si>
    <t>BOCI创业</t>
  </si>
  <si>
    <t>中银中证800ETF</t>
  </si>
  <si>
    <t>中证500低波ETF</t>
  </si>
  <si>
    <t>可选消费</t>
  </si>
  <si>
    <t>金融ETF</t>
  </si>
  <si>
    <t>申万上证50ETF</t>
  </si>
  <si>
    <t>央视50</t>
  </si>
  <si>
    <t>产业升级ETF</t>
  </si>
  <si>
    <t>500等权ETF</t>
  </si>
  <si>
    <t>红利低波ETF基金</t>
  </si>
  <si>
    <t>MSCIETF</t>
  </si>
  <si>
    <t>双创ETF基金</t>
  </si>
  <si>
    <t>生物ETF</t>
  </si>
  <si>
    <t>创业板E</t>
  </si>
  <si>
    <t>500深ETF</t>
  </si>
  <si>
    <t>深成ETF</t>
  </si>
  <si>
    <t>有色ETF基金</t>
  </si>
  <si>
    <t>上证50ETF基金</t>
  </si>
  <si>
    <t>线上消费</t>
  </si>
  <si>
    <t>沪深300添富ETF</t>
  </si>
  <si>
    <t>互联网金融ETF</t>
  </si>
  <si>
    <t>战略新兴ETF</t>
  </si>
  <si>
    <t>证券ETF先锋</t>
  </si>
  <si>
    <t>大数据50ETF</t>
  </si>
  <si>
    <t>MSCIA股ETF基金</t>
  </si>
  <si>
    <t>医疗</t>
  </si>
  <si>
    <t>深证ETF</t>
  </si>
  <si>
    <t>大数据产业ETF</t>
  </si>
  <si>
    <t>浙江国资ETF</t>
  </si>
  <si>
    <t>深100ET</t>
  </si>
  <si>
    <t>央调ETF</t>
  </si>
  <si>
    <t>价值ETF</t>
  </si>
  <si>
    <t>中证长三角领先</t>
  </si>
  <si>
    <t>MSCI中国招商ETF</t>
  </si>
  <si>
    <t>长三角ETF</t>
  </si>
  <si>
    <t>一带一路ETF</t>
  </si>
  <si>
    <t>央企创新ETF</t>
  </si>
  <si>
    <t>南方300</t>
  </si>
  <si>
    <t>漂亮50ETF</t>
  </si>
  <si>
    <t>车联网</t>
  </si>
  <si>
    <t>创新药业</t>
  </si>
  <si>
    <t>创新100ETF</t>
  </si>
  <si>
    <t>生物科技ETF</t>
  </si>
  <si>
    <t>沪港深300ETF</t>
  </si>
  <si>
    <t>医药50</t>
  </si>
  <si>
    <t>科技ETF基金</t>
  </si>
  <si>
    <t>医药卫生ETF</t>
  </si>
  <si>
    <t>云计算50ETF</t>
  </si>
  <si>
    <t>金融</t>
  </si>
  <si>
    <t>上海国企ETF</t>
  </si>
  <si>
    <t>创业板HX</t>
  </si>
  <si>
    <t>A50ETF</t>
  </si>
  <si>
    <t>沪港深科技ETF</t>
  </si>
  <si>
    <t>有色50ETF</t>
  </si>
  <si>
    <t>有色</t>
  </si>
  <si>
    <t>新材料</t>
  </si>
  <si>
    <t>创新药产业ETF</t>
  </si>
  <si>
    <t>能源</t>
  </si>
  <si>
    <t>平安中证500ETF</t>
  </si>
  <si>
    <t>小盘价值</t>
  </si>
  <si>
    <t>智能消费ETF</t>
  </si>
  <si>
    <t>新能源80ETF</t>
  </si>
  <si>
    <t>300ESGETF</t>
  </si>
  <si>
    <t>智能车</t>
  </si>
  <si>
    <t>信息科技ETF</t>
  </si>
  <si>
    <t>上证券商ETF</t>
  </si>
  <si>
    <t>深成长</t>
  </si>
  <si>
    <t>中概科技ETF</t>
  </si>
  <si>
    <t>智能电动车ETF</t>
  </si>
  <si>
    <t>深100P</t>
  </si>
  <si>
    <t>可持续发展ETF</t>
  </si>
  <si>
    <t>景顺MSCIA股ETF</t>
  </si>
  <si>
    <t>智能制造ETF</t>
  </si>
  <si>
    <t>养老ETF</t>
  </si>
  <si>
    <t>先进制造ETF</t>
  </si>
  <si>
    <t>央企改革ETF</t>
  </si>
  <si>
    <t>农业50</t>
  </si>
  <si>
    <t>浦银创业</t>
  </si>
  <si>
    <t>有色金属</t>
  </si>
  <si>
    <t>创业板ET</t>
  </si>
  <si>
    <t>互联网ETF</t>
  </si>
  <si>
    <t>银行ETF华夏</t>
  </si>
  <si>
    <t>高端装备ETF</t>
  </si>
  <si>
    <t>新材料ETF基金</t>
  </si>
  <si>
    <t>中证800ETF</t>
  </si>
  <si>
    <t>证券行业ETF</t>
  </si>
  <si>
    <t>医疗服务ETF</t>
  </si>
  <si>
    <t>创业100</t>
  </si>
  <si>
    <t>医药健康ETF</t>
  </si>
  <si>
    <t>500ETF基</t>
  </si>
  <si>
    <t>器械ETF</t>
  </si>
  <si>
    <t>创业板RT</t>
  </si>
  <si>
    <t>医疗设备</t>
  </si>
  <si>
    <t>沪港深500ETF基金</t>
  </si>
  <si>
    <t>创蓝筹</t>
  </si>
  <si>
    <t>一带一路国企ETF</t>
  </si>
  <si>
    <t>MSCIA股ETF</t>
  </si>
  <si>
    <t>新能源50ETF</t>
  </si>
  <si>
    <t>创新药ETF易方达</t>
  </si>
  <si>
    <t>软件基金</t>
  </si>
  <si>
    <t>300ETF天弘</t>
  </si>
  <si>
    <t>1000ETF基金</t>
  </si>
  <si>
    <t>创业板BS</t>
  </si>
  <si>
    <t>智能驾驶ETF</t>
  </si>
  <si>
    <t>质量ETF</t>
  </si>
  <si>
    <t>沪港深创新药ETF</t>
  </si>
  <si>
    <t>创新ETF</t>
  </si>
  <si>
    <t>云ETF</t>
  </si>
  <si>
    <t>中小100</t>
  </si>
  <si>
    <t>化工ETF</t>
  </si>
  <si>
    <t>证券ETF易方达</t>
  </si>
  <si>
    <t>基本面50ETF</t>
  </si>
  <si>
    <t>证保ETF</t>
  </si>
  <si>
    <t>央企创新</t>
  </si>
  <si>
    <t>大宗商品ETF</t>
  </si>
  <si>
    <t>央创ETF</t>
  </si>
  <si>
    <t>MSCI中国ETF</t>
  </si>
  <si>
    <t>深100SZ</t>
  </si>
  <si>
    <t>医药50ETF</t>
  </si>
  <si>
    <t>电子ETF</t>
  </si>
  <si>
    <t>沪深300ETF博时</t>
  </si>
  <si>
    <t>高股息ETF</t>
  </si>
  <si>
    <t>平安沪深300ETF</t>
  </si>
  <si>
    <t>科技ETF150</t>
  </si>
  <si>
    <t>红利ETF</t>
  </si>
  <si>
    <t>影视ETF</t>
  </si>
  <si>
    <t>沪深300ETF基金</t>
  </si>
  <si>
    <t>消费ETF基金</t>
  </si>
  <si>
    <t>云计算沪港深ETF</t>
  </si>
  <si>
    <t>食品50ETF</t>
  </si>
  <si>
    <t>MSCIA股ETF易方达</t>
  </si>
  <si>
    <t>化工行业ETF</t>
  </si>
  <si>
    <t>物联网ETF</t>
  </si>
  <si>
    <t>中证500</t>
  </si>
  <si>
    <t>金融地产ETF</t>
  </si>
  <si>
    <t>养殖ETF</t>
  </si>
  <si>
    <t>光伏ETF平安</t>
  </si>
  <si>
    <t>中证医疗</t>
  </si>
  <si>
    <t>智能汽车50ETF</t>
  </si>
  <si>
    <t>5G50ETF</t>
  </si>
  <si>
    <t>创新药指</t>
  </si>
  <si>
    <t>光伏产业</t>
  </si>
  <si>
    <t>人工智能AIETF</t>
  </si>
  <si>
    <t>科技100ETF</t>
  </si>
  <si>
    <t>工银沪深300ETF</t>
  </si>
  <si>
    <t>资源ETF</t>
  </si>
  <si>
    <t>港股通ETF</t>
  </si>
  <si>
    <t>上投摩根MSCIAETF</t>
  </si>
  <si>
    <t>科技龙头ETF</t>
  </si>
  <si>
    <t>金科ETF</t>
  </si>
  <si>
    <t>农业ETF</t>
  </si>
  <si>
    <t>软件ETF</t>
  </si>
  <si>
    <t>中证500指数ETF</t>
  </si>
  <si>
    <t>计算机</t>
  </si>
  <si>
    <t>创大盘</t>
  </si>
  <si>
    <t>券商ETF基金</t>
  </si>
  <si>
    <t>医药龙头ETF</t>
  </si>
  <si>
    <t>机械ETF</t>
  </si>
  <si>
    <t>红利100ETF</t>
  </si>
  <si>
    <t>中证100ETF</t>
  </si>
  <si>
    <t>证券龙头ETF</t>
  </si>
  <si>
    <t>食品饮料</t>
  </si>
  <si>
    <t>低碳ETF</t>
  </si>
  <si>
    <t>医疗创新ETF</t>
  </si>
  <si>
    <t>红利低波ETF</t>
  </si>
  <si>
    <t>中证银行ETF</t>
  </si>
  <si>
    <t>银行龙头ETF</t>
  </si>
  <si>
    <t>银行ETF易方达</t>
  </si>
  <si>
    <t>互联网50ETF</t>
  </si>
  <si>
    <t>证券公司</t>
  </si>
  <si>
    <t>新能源汽车ETF</t>
  </si>
  <si>
    <t>银行业ETF</t>
  </si>
  <si>
    <t>电池ETF基金</t>
  </si>
  <si>
    <t>电子50ETF</t>
  </si>
  <si>
    <t>传媒ETF</t>
  </si>
  <si>
    <t>游戏动漫ETF</t>
  </si>
  <si>
    <t>双创50</t>
  </si>
  <si>
    <t>环保ETF</t>
  </si>
  <si>
    <t>价值100ETF</t>
  </si>
  <si>
    <t>创业大盘</t>
  </si>
  <si>
    <t>上证50ETF博时</t>
  </si>
  <si>
    <t>创业板EF</t>
  </si>
  <si>
    <t>科技50ETF</t>
  </si>
  <si>
    <t>红利ETF博时</t>
  </si>
  <si>
    <t>港股通科技ETF</t>
  </si>
  <si>
    <t>大数据ETF</t>
  </si>
  <si>
    <t>畜牧养殖ETF</t>
  </si>
  <si>
    <t>MSCI中国A股ETF</t>
  </si>
  <si>
    <t>科创创业50ETF</t>
  </si>
  <si>
    <t>民生加银300ETF</t>
  </si>
  <si>
    <t>医疗器械</t>
  </si>
  <si>
    <t>证券ETF建信</t>
  </si>
  <si>
    <t>云计算ETF</t>
  </si>
  <si>
    <t>能源ETF</t>
  </si>
  <si>
    <t>港股消费</t>
  </si>
  <si>
    <t>800ETF</t>
  </si>
  <si>
    <t>生物药</t>
  </si>
  <si>
    <t>科创50ETF基金</t>
  </si>
  <si>
    <t>必选消费ETF</t>
  </si>
  <si>
    <t>房地产ETF基金</t>
  </si>
  <si>
    <t>汽车ETF</t>
  </si>
  <si>
    <t>消费ETF</t>
  </si>
  <si>
    <t>光伏50ETF</t>
  </si>
  <si>
    <t>科创创业ETF</t>
  </si>
  <si>
    <t>有色60</t>
  </si>
  <si>
    <t>互联网50</t>
  </si>
  <si>
    <t>医药ETF</t>
  </si>
  <si>
    <t>ZZ500ETF</t>
  </si>
  <si>
    <t>科技50</t>
  </si>
  <si>
    <t>物流ETF</t>
  </si>
  <si>
    <t>50ETF基金</t>
  </si>
  <si>
    <t>计算机ETF</t>
  </si>
  <si>
    <t>创业板TH</t>
  </si>
  <si>
    <t>红利ETF易方达</t>
  </si>
  <si>
    <t>芯片基金</t>
  </si>
  <si>
    <t>券商ETF</t>
  </si>
  <si>
    <t>港股通100ETF</t>
  </si>
  <si>
    <t>上证50ETF易方达</t>
  </si>
  <si>
    <t>通信ETF</t>
  </si>
  <si>
    <t>中证500ETF易方达</t>
  </si>
  <si>
    <t>新能源ETF易方达</t>
  </si>
  <si>
    <t>食品ETF</t>
  </si>
  <si>
    <t>碳中和龙头ETF</t>
  </si>
  <si>
    <t>5GETF</t>
  </si>
  <si>
    <t>新能汽车</t>
  </si>
  <si>
    <t>上证综指ETF</t>
  </si>
  <si>
    <t>碳中和50ETF</t>
  </si>
  <si>
    <t>双创龙头ETF</t>
  </si>
  <si>
    <t>创新药ETF</t>
  </si>
  <si>
    <t>中证500ETF基金</t>
  </si>
  <si>
    <t>新能车</t>
  </si>
  <si>
    <t>军工ETF基金</t>
  </si>
  <si>
    <t>AI智能</t>
  </si>
  <si>
    <t>地产ETF</t>
  </si>
  <si>
    <t>中证1000</t>
  </si>
  <si>
    <t>医药</t>
  </si>
  <si>
    <t>华安沪深300ETF</t>
  </si>
  <si>
    <t>信息技术</t>
  </si>
  <si>
    <t>生物科技</t>
  </si>
  <si>
    <t>国防军工ETF</t>
  </si>
  <si>
    <t>医疗ETF</t>
  </si>
  <si>
    <t>豆粕ETF</t>
  </si>
  <si>
    <t>银行ETF</t>
  </si>
  <si>
    <t>游戏ETF</t>
  </si>
  <si>
    <t>中证红利ETF</t>
  </si>
  <si>
    <t>智能汽车ETF</t>
  </si>
  <si>
    <t>科技ETF</t>
  </si>
  <si>
    <t>消费50ETF</t>
  </si>
  <si>
    <t>生物医药ETF</t>
  </si>
  <si>
    <t>芯片</t>
  </si>
  <si>
    <t>畜牧ETF</t>
  </si>
  <si>
    <t>龙头券商</t>
  </si>
  <si>
    <t>建材ETF</t>
  </si>
  <si>
    <t>双创ETF</t>
  </si>
  <si>
    <t>上证180ETF</t>
  </si>
  <si>
    <t>港股科技50ETF</t>
  </si>
  <si>
    <t>深红利</t>
  </si>
  <si>
    <t>稀土ETF</t>
  </si>
  <si>
    <t>恒生高股息ETF</t>
  </si>
  <si>
    <t>稀土ETF基金</t>
  </si>
  <si>
    <t>新能汽车ETF</t>
  </si>
  <si>
    <t>证券ETF基金</t>
  </si>
  <si>
    <t>科创板ETF</t>
  </si>
  <si>
    <t>军工ETF易方达</t>
  </si>
  <si>
    <t>创业ETF</t>
  </si>
  <si>
    <t>创50ETF</t>
  </si>
  <si>
    <t>双创50ETF</t>
  </si>
  <si>
    <t>光伏ETF</t>
  </si>
  <si>
    <t>食品饮料ETF</t>
  </si>
  <si>
    <t>深100ETF</t>
  </si>
  <si>
    <t>创新药</t>
  </si>
  <si>
    <t>国防ETF</t>
  </si>
  <si>
    <t>电池ETF</t>
  </si>
  <si>
    <t>上证指数ETF</t>
  </si>
  <si>
    <t>有色金属ETF</t>
  </si>
  <si>
    <t>钢铁ETF</t>
  </si>
  <si>
    <t>国债ETF</t>
  </si>
  <si>
    <t>军工龙头ETF</t>
  </si>
  <si>
    <t>家电ETF</t>
  </si>
  <si>
    <t>证券ETF</t>
  </si>
  <si>
    <t>银行ETF天弘</t>
  </si>
  <si>
    <t>中国A50</t>
  </si>
  <si>
    <t>港股通50ETF</t>
  </si>
  <si>
    <t>银行ETF基金</t>
  </si>
  <si>
    <t>创成长</t>
  </si>
  <si>
    <t>十年国债ETF</t>
  </si>
  <si>
    <t>500ETF</t>
  </si>
  <si>
    <t>新能源ETF</t>
  </si>
  <si>
    <t>基建ETF</t>
  </si>
  <si>
    <t>科创ETF</t>
  </si>
  <si>
    <t>旅游ETF</t>
  </si>
  <si>
    <t>沪深300ETF易方达</t>
  </si>
  <si>
    <t>中证1000ETF</t>
  </si>
  <si>
    <t>证券保险ETF</t>
  </si>
  <si>
    <t>双创基金</t>
  </si>
  <si>
    <t>新能车ETF</t>
  </si>
  <si>
    <t>煤炭ETF</t>
  </si>
  <si>
    <t>芯片ETF</t>
  </si>
  <si>
    <t>500ETF基金</t>
  </si>
  <si>
    <t>科创板50ETF</t>
  </si>
  <si>
    <t>科创创业</t>
  </si>
  <si>
    <t>房地产ETF</t>
  </si>
  <si>
    <t>军工ETF</t>
  </si>
  <si>
    <t>半导体ETF</t>
  </si>
  <si>
    <t>300ETF</t>
  </si>
  <si>
    <t>香港证券ETF</t>
  </si>
  <si>
    <t>酒ETF</t>
  </si>
  <si>
    <t>基建50ETF</t>
  </si>
  <si>
    <t>300ETF基金</t>
  </si>
  <si>
    <t>300增强ETF</t>
  </si>
  <si>
    <t>新能源车ETF</t>
  </si>
  <si>
    <t>MSCI中国A50ETF</t>
  </si>
  <si>
    <t>H股ETF</t>
  </si>
  <si>
    <t>A50</t>
  </si>
  <si>
    <t>科创50ETF</t>
  </si>
  <si>
    <t>中国A50ETF</t>
  </si>
  <si>
    <t>创业板50</t>
  </si>
  <si>
    <t>创业板</t>
  </si>
  <si>
    <t>中证500ETF</t>
  </si>
  <si>
    <t>上证50ETF</t>
  </si>
  <si>
    <t>沪深300ETF</t>
  </si>
  <si>
    <t>黄金基金</t>
  </si>
  <si>
    <t>黄金ETF</t>
  </si>
  <si>
    <t>黄金9999</t>
  </si>
  <si>
    <t>上海金ETF</t>
  </si>
  <si>
    <t>黄金ETF基金</t>
  </si>
  <si>
    <t>金ETF</t>
  </si>
  <si>
    <t>黄金基金ETF</t>
  </si>
  <si>
    <t>黄金ETF9999</t>
  </si>
  <si>
    <t>黄金ETFAU</t>
  </si>
  <si>
    <t>华泰货币</t>
  </si>
  <si>
    <t>场内货币ETF</t>
  </si>
  <si>
    <t>鹏华添利</t>
  </si>
  <si>
    <t>广发添利</t>
  </si>
  <si>
    <t>华泰天金</t>
  </si>
  <si>
    <t>现金添富</t>
  </si>
  <si>
    <t>嘉实快线</t>
  </si>
  <si>
    <t>SH511970</t>
  </si>
  <si>
    <t>国寿货币</t>
  </si>
  <si>
    <t>中融日盈</t>
  </si>
  <si>
    <t>广发货币</t>
  </si>
  <si>
    <t>货币基金</t>
  </si>
  <si>
    <t>富国货币</t>
  </si>
  <si>
    <t>货币ETF</t>
  </si>
  <si>
    <t>博时货币</t>
  </si>
  <si>
    <t>添富快钱</t>
  </si>
  <si>
    <t>华夏快线</t>
  </si>
  <si>
    <t>易货币</t>
  </si>
  <si>
    <t>场内货币</t>
  </si>
  <si>
    <t>交易货币</t>
  </si>
  <si>
    <t>招商快线</t>
  </si>
  <si>
    <t>理财金H</t>
  </si>
  <si>
    <t>保证金</t>
  </si>
  <si>
    <t>建信添益</t>
  </si>
  <si>
    <t>财富宝E</t>
  </si>
  <si>
    <t>银华日利</t>
  </si>
  <si>
    <t>华宝添益</t>
  </si>
  <si>
    <t>中概互联</t>
  </si>
  <si>
    <t>欧美指数</t>
  </si>
  <si>
    <t>互联中概</t>
  </si>
  <si>
    <t>中国互联</t>
  </si>
  <si>
    <t>标普生物</t>
  </si>
  <si>
    <t>新经济</t>
  </si>
  <si>
    <t>德国30</t>
  </si>
  <si>
    <t>印度基金</t>
  </si>
  <si>
    <t>标普医药</t>
  </si>
  <si>
    <t>法国ETF</t>
  </si>
  <si>
    <t>标普500</t>
  </si>
  <si>
    <t>美国消费</t>
  </si>
  <si>
    <t>纳斯达克</t>
  </si>
  <si>
    <t>纳指ETF</t>
  </si>
  <si>
    <t>纳指LOF</t>
  </si>
  <si>
    <t>标普科技</t>
  </si>
  <si>
    <t>教育ETF</t>
  </si>
  <si>
    <t>南方原油</t>
  </si>
  <si>
    <t>商品</t>
  </si>
  <si>
    <t>添富贵金</t>
  </si>
  <si>
    <t>广发石油</t>
  </si>
  <si>
    <t>华宝油气</t>
  </si>
  <si>
    <t>原油基金</t>
  </si>
  <si>
    <t>易基黄金</t>
  </si>
  <si>
    <t>石油基金</t>
  </si>
  <si>
    <t>SH508099</t>
  </si>
  <si>
    <t>中关村</t>
  </si>
  <si>
    <t>REITs</t>
  </si>
  <si>
    <t>SH508056</t>
  </si>
  <si>
    <t>普洛斯</t>
  </si>
  <si>
    <t>SH508027</t>
  </si>
  <si>
    <t>东吴苏园</t>
  </si>
  <si>
    <t>SH508018</t>
  </si>
  <si>
    <t>中交REIT</t>
  </si>
  <si>
    <t>SH508006</t>
  </si>
  <si>
    <t>首创水务</t>
  </si>
  <si>
    <t>SH508001</t>
  </si>
  <si>
    <t>浙江杭徽</t>
  </si>
  <si>
    <t>SH508000</t>
  </si>
  <si>
    <t>张江REIT</t>
  </si>
  <si>
    <t>SZ180801</t>
  </si>
  <si>
    <t>首钢绿能</t>
  </si>
  <si>
    <t>SZ180301</t>
  </si>
  <si>
    <t>盐港REIT</t>
  </si>
  <si>
    <t>SZ180202</t>
  </si>
  <si>
    <t>华夏越秀高速REIT</t>
  </si>
  <si>
    <t>SZ180201</t>
  </si>
  <si>
    <t>广州广河</t>
  </si>
  <si>
    <t>SZ180101</t>
  </si>
  <si>
    <t>蛇口产园</t>
  </si>
  <si>
    <t>国泰估值</t>
  </si>
  <si>
    <t>股票LOF</t>
  </si>
  <si>
    <t>优选LOF</t>
  </si>
  <si>
    <t>SH501001</t>
  </si>
  <si>
    <t>财通精选</t>
  </si>
  <si>
    <t>中欧瑞丰</t>
  </si>
  <si>
    <t>SZ168101</t>
  </si>
  <si>
    <t>九泰锐智</t>
  </si>
  <si>
    <t>SZ169201</t>
  </si>
  <si>
    <t>浙商鼎盈</t>
  </si>
  <si>
    <t>SZ166011</t>
  </si>
  <si>
    <t>中欧盛世</t>
  </si>
  <si>
    <t>中银中国</t>
  </si>
  <si>
    <t>长信医疗</t>
  </si>
  <si>
    <t>大成小盘</t>
  </si>
  <si>
    <t>SZ161728</t>
  </si>
  <si>
    <t>招商优选</t>
  </si>
  <si>
    <t>东证睿华</t>
  </si>
  <si>
    <t>东证睿满</t>
  </si>
  <si>
    <t>九泰锐富</t>
  </si>
  <si>
    <t>SH501188</t>
  </si>
  <si>
    <t>添富精选</t>
  </si>
  <si>
    <t>东证睿丰</t>
  </si>
  <si>
    <t>中欧趋势</t>
  </si>
  <si>
    <t>中欧成长</t>
  </si>
  <si>
    <t>添富创新</t>
  </si>
  <si>
    <t>信诚周期</t>
  </si>
  <si>
    <t>农业精选</t>
  </si>
  <si>
    <t>华夏创新</t>
  </si>
  <si>
    <t>鹏华创新</t>
  </si>
  <si>
    <t>兴全轻资</t>
  </si>
  <si>
    <t>中欧创新</t>
  </si>
  <si>
    <t>银华鑫锐</t>
  </si>
  <si>
    <t>银华鑫盛</t>
  </si>
  <si>
    <t>易基未来</t>
  </si>
  <si>
    <t>广发小盘</t>
  </si>
  <si>
    <t>富国天惠</t>
  </si>
  <si>
    <t>兴全合宜</t>
  </si>
  <si>
    <t>环境C</t>
  </si>
  <si>
    <t>指数LOF</t>
  </si>
  <si>
    <t>SH501045</t>
  </si>
  <si>
    <t>沪深300C</t>
  </si>
  <si>
    <t>一带一路</t>
  </si>
  <si>
    <t>资源LOF</t>
  </si>
  <si>
    <t>证保LOF</t>
  </si>
  <si>
    <t>医药生物</t>
  </si>
  <si>
    <t>SH501048</t>
  </si>
  <si>
    <t>证券C</t>
  </si>
  <si>
    <t>SZ161118</t>
  </si>
  <si>
    <t>易基中小</t>
  </si>
  <si>
    <t>创业板L</t>
  </si>
  <si>
    <t>信诚有色</t>
  </si>
  <si>
    <t>银行FG</t>
  </si>
  <si>
    <t>SH502040</t>
  </si>
  <si>
    <t>上50LOF</t>
  </si>
  <si>
    <t>大宗商品</t>
  </si>
  <si>
    <t>深证100</t>
  </si>
  <si>
    <t>申万环保</t>
  </si>
  <si>
    <t>券商LOF</t>
  </si>
  <si>
    <t>SZ160807</t>
  </si>
  <si>
    <t>长盛300</t>
  </si>
  <si>
    <t>嘉实50A</t>
  </si>
  <si>
    <t>银行</t>
  </si>
  <si>
    <t>移动互联</t>
  </si>
  <si>
    <t>精准医疗</t>
  </si>
  <si>
    <t>传媒LOF</t>
  </si>
  <si>
    <t>生物科C</t>
  </si>
  <si>
    <t>50LOF</t>
  </si>
  <si>
    <t>申万深成</t>
  </si>
  <si>
    <t>医疗基金</t>
  </si>
  <si>
    <t>人工智能</t>
  </si>
  <si>
    <t>高端制造</t>
  </si>
  <si>
    <t>国企改革</t>
  </si>
  <si>
    <t>SZ160628</t>
  </si>
  <si>
    <t>地产LOF</t>
  </si>
  <si>
    <t>智能汽车</t>
  </si>
  <si>
    <t>国泰食品</t>
  </si>
  <si>
    <t>生物LOF</t>
  </si>
  <si>
    <t>50增强</t>
  </si>
  <si>
    <t>钢铁LOF</t>
  </si>
  <si>
    <t>中证500A</t>
  </si>
  <si>
    <t>军工LOF</t>
  </si>
  <si>
    <t>国泰医药</t>
  </si>
  <si>
    <t>申万证券</t>
  </si>
  <si>
    <t>创业板基</t>
  </si>
  <si>
    <t>证券LOF</t>
  </si>
  <si>
    <t>富国1000</t>
  </si>
  <si>
    <t>国泰地产</t>
  </si>
  <si>
    <t>军工基金</t>
  </si>
  <si>
    <t>银行指基</t>
  </si>
  <si>
    <t>环境治理</t>
  </si>
  <si>
    <t>沪深300A</t>
  </si>
  <si>
    <t>券商基金</t>
  </si>
  <si>
    <t>消费基金</t>
  </si>
  <si>
    <t>煤炭等权</t>
  </si>
  <si>
    <t>兴全300</t>
  </si>
  <si>
    <t>50AH</t>
  </si>
  <si>
    <t>南方500</t>
  </si>
  <si>
    <t>新汽车</t>
  </si>
  <si>
    <t>500增强</t>
  </si>
  <si>
    <t>国防LOF</t>
  </si>
  <si>
    <t>新能车C</t>
  </si>
  <si>
    <t>证券</t>
  </si>
  <si>
    <t>证券基金</t>
  </si>
  <si>
    <t>富国500</t>
  </si>
  <si>
    <t>生物医药</t>
  </si>
  <si>
    <t>酒LOF</t>
  </si>
  <si>
    <t>嘉实300A</t>
  </si>
  <si>
    <t>红利基金</t>
  </si>
  <si>
    <t>中药C</t>
  </si>
  <si>
    <t>煤炭</t>
  </si>
  <si>
    <t>军工</t>
  </si>
  <si>
    <t>新能源车</t>
  </si>
  <si>
    <t>创业</t>
  </si>
  <si>
    <t>保险主题</t>
  </si>
  <si>
    <t>基建工程</t>
  </si>
  <si>
    <t>中药基金</t>
  </si>
  <si>
    <t>白酒基金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</si>
</sst>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2"/>
      <color rgb="FFFFFF00"/>
      <name val="宋体"/>
      <family val="2"/>
      <scheme val="minor"/>
    </font>
    <font>
      <sz val="12"/>
      <color rgb="FF000000"/>
      <name val="宋体"/>
      <family val="3"/>
      <charset val="134"/>
    </font>
    <font>
      <sz val="12"/>
      <color rgb="FFFFFF00"/>
      <name val="宋体"/>
      <family val="3"/>
      <charset val="134"/>
      <scheme val="minor"/>
    </font>
    <font>
      <b/>
      <sz val="12"/>
      <color rgb="FFFFFF00"/>
      <name val="宋体"/>
      <family val="3"/>
      <charset val="134"/>
      <scheme val="minor"/>
    </font>
    <font>
      <sz val="11"/>
      <color rgb="FFFFFF00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/>
    <xf numFmtId="9" fontId="4" fillId="0" borderId="0" applyFont="0" applyFill="0" applyBorder="0" applyAlignment="0" applyProtection="0">
      <alignment vertical="center"/>
    </xf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3" fillId="0" borderId="1" xfId="0" applyFont="1" applyBorder="1" applyAlignment="1">
      <alignment horizontal="center" vertical="top"/>
    </xf>
    <xf numFmtId="0" fontId="4" fillId="0" borderId="0" xfId="1"/>
    <xf numFmtId="0" fontId="6" fillId="3" borderId="1" xfId="0" applyFont="1" applyFill="1" applyBorder="1"/>
    <xf numFmtId="0" fontId="5" fillId="4" borderId="1" xfId="0" applyFont="1" applyFill="1" applyBorder="1"/>
    <xf numFmtId="0" fontId="5" fillId="0" borderId="0" xfId="1" applyFont="1"/>
    <xf numFmtId="0" fontId="7" fillId="0" borderId="0" xfId="1" applyFont="1"/>
    <xf numFmtId="0" fontId="7" fillId="2" borderId="0" xfId="1" applyFont="1" applyFill="1"/>
    <xf numFmtId="0" fontId="0" fillId="2" borderId="0" xfId="0" applyFill="1"/>
    <xf numFmtId="49" fontId="0" fillId="0" borderId="0" xfId="0" applyNumberFormat="1"/>
    <xf numFmtId="0" fontId="8" fillId="5" borderId="0" xfId="0" applyFont="1" applyFill="1"/>
    <xf numFmtId="0" fontId="7" fillId="0" borderId="0" xfId="1" applyFont="1" applyFill="1" applyBorder="1"/>
    <xf numFmtId="0" fontId="5" fillId="0" borderId="0" xfId="0" applyFont="1" applyFill="1" applyBorder="1"/>
    <xf numFmtId="0" fontId="6" fillId="3" borderId="0" xfId="0" applyFont="1" applyFill="1" applyBorder="1"/>
    <xf numFmtId="0" fontId="5" fillId="4" borderId="0" xfId="0" applyFont="1" applyFill="1" applyBorder="1"/>
    <xf numFmtId="0" fontId="7" fillId="0" borderId="0" xfId="1" applyFont="1" applyBorder="1"/>
    <xf numFmtId="10" fontId="0" fillId="0" borderId="0" xfId="0" applyNumberFormat="1"/>
    <xf numFmtId="0" fontId="10" fillId="5" borderId="0" xfId="1" applyFont="1" applyFill="1"/>
    <xf numFmtId="0" fontId="11" fillId="5" borderId="0" xfId="1" applyFont="1" applyFill="1"/>
    <xf numFmtId="0" fontId="12" fillId="5" borderId="0" xfId="1" applyFont="1" applyFill="1"/>
  </cellXfs>
  <cellStyles count="3">
    <cellStyle name="百分比 2" xfId="2"/>
    <cellStyle name="常规" xfId="0" builtinId="0"/>
    <cellStyle name="常规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171450</xdr:colOff>
          <xdr:row>2</xdr:row>
          <xdr:rowOff>161925</xdr:rowOff>
        </xdr:from>
        <xdr:to>
          <xdr:col>15</xdr:col>
          <xdr:colOff>542925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更新LOF/ETF/封基策略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4</xdr:row>
          <xdr:rowOff>152400</xdr:rowOff>
        </xdr:from>
        <xdr:to>
          <xdr:col>15</xdr:col>
          <xdr:colOff>400050</xdr:colOff>
          <xdr:row>8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更新债券/境外策略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292"/>
  <sheetViews>
    <sheetView zoomScaleNormal="100" workbookViewId="0">
      <pane ySplit="2" topLeftCell="A45" activePane="bottomLeft" state="frozen"/>
      <selection pane="bottomLeft" activeCell="Q7" sqref="Q7"/>
    </sheetView>
  </sheetViews>
  <sheetFormatPr defaultRowHeight="14.25" x14ac:dyDescent="0.15"/>
  <cols>
    <col min="1" max="2" width="12.25" style="8" bestFit="1" customWidth="1"/>
    <col min="3" max="3" width="8.5" style="8" bestFit="1" customWidth="1"/>
    <col min="4" max="4" width="19.375" style="14" bestFit="1" customWidth="1"/>
    <col min="5" max="5" width="16" style="14" bestFit="1" customWidth="1"/>
    <col min="6" max="7" width="9" style="8"/>
    <col min="8" max="8" width="3.75" style="19" customWidth="1"/>
    <col min="9" max="10" width="12.25" style="8" bestFit="1" customWidth="1"/>
    <col min="11" max="11" width="8.5" style="8" bestFit="1" customWidth="1"/>
    <col min="12" max="12" width="10.125" style="8" bestFit="1" customWidth="1"/>
    <col min="13" max="13" width="12.25" style="8" bestFit="1" customWidth="1"/>
    <col min="14" max="15" width="9" style="8"/>
    <col min="16" max="16" width="3.75" style="19" customWidth="1"/>
    <col min="17" max="18" width="12.25" style="8" bestFit="1" customWidth="1"/>
    <col min="19" max="19" width="8.375" style="8" customWidth="1"/>
    <col min="20" max="20" width="12.25" style="8" bestFit="1" customWidth="1"/>
    <col min="21" max="16384" width="9" style="8"/>
  </cols>
  <sheetData>
    <row r="1" spans="1:20" x14ac:dyDescent="0.15">
      <c r="A1" s="9" t="s">
        <v>432</v>
      </c>
      <c r="B1" s="9"/>
      <c r="D1" s="13"/>
      <c r="E1" s="13"/>
      <c r="I1" s="9" t="s">
        <v>1205</v>
      </c>
      <c r="Q1" s="9" t="s">
        <v>1203</v>
      </c>
    </row>
    <row r="2" spans="1:20" s="7" customFormat="1" x14ac:dyDescent="0.15">
      <c r="A2" s="7" t="s">
        <v>175</v>
      </c>
      <c r="B2" s="7" t="s">
        <v>174</v>
      </c>
      <c r="C2" s="7" t="s">
        <v>173</v>
      </c>
      <c r="D2" s="5" t="s">
        <v>422</v>
      </c>
      <c r="E2" s="5" t="s">
        <v>1152</v>
      </c>
      <c r="H2" s="20"/>
      <c r="I2" s="7" t="s">
        <v>175</v>
      </c>
      <c r="J2" s="7" t="s">
        <v>174</v>
      </c>
      <c r="K2" s="7" t="s">
        <v>173</v>
      </c>
      <c r="L2" s="7" t="s">
        <v>431</v>
      </c>
      <c r="M2" s="5" t="s">
        <v>374</v>
      </c>
      <c r="P2" s="20"/>
      <c r="Q2" s="7" t="s">
        <v>175</v>
      </c>
      <c r="R2" s="7" t="s">
        <v>174</v>
      </c>
      <c r="S2" s="7" t="s">
        <v>173</v>
      </c>
      <c r="T2" s="5" t="s">
        <v>374</v>
      </c>
    </row>
    <row r="3" spans="1:20" x14ac:dyDescent="0.15">
      <c r="A3" s="1">
        <v>123012</v>
      </c>
      <c r="B3" s="1" t="s">
        <v>172</v>
      </c>
      <c r="C3" s="8">
        <f>VLOOKUP(A3,$I$1:$K$1000,3,FALSE)</f>
        <v>147.233</v>
      </c>
      <c r="D3" s="6">
        <f>MATCH(A3,$I$1:$I$1000,0)-2</f>
        <v>32</v>
      </c>
      <c r="E3" s="6">
        <f t="shared" ref="E3:E40" si="0">MATCH(A3,$Q$1:$Q$200,0)-2</f>
        <v>1</v>
      </c>
      <c r="H3" s="19">
        <v>1</v>
      </c>
      <c r="I3">
        <v>123083</v>
      </c>
      <c r="J3" t="s">
        <v>232</v>
      </c>
      <c r="K3">
        <v>150.34800000000001</v>
      </c>
      <c r="L3" s="18">
        <v>-5.1999999999999998E-3</v>
      </c>
      <c r="M3" s="6" t="str">
        <f>IF(ISNA(MATCH(I3,$A$3:$A$1000,0)),"未买","Yes")</f>
        <v>未买</v>
      </c>
      <c r="P3" s="19">
        <v>1</v>
      </c>
      <c r="Q3" s="8">
        <v>123012</v>
      </c>
      <c r="R3" s="8" t="s">
        <v>172</v>
      </c>
      <c r="S3" s="8">
        <f>VLOOKUP(Q3,$I$1:$K$1000,3,FALSE)</f>
        <v>147.233</v>
      </c>
      <c r="T3" s="6" t="str">
        <f t="shared" ref="T3:T34" si="1">IF(ISNA(MATCH(Q3,$A$2:$A$301,0)),"未买","Yes")</f>
        <v>Yes</v>
      </c>
    </row>
    <row r="4" spans="1:20" x14ac:dyDescent="0.15">
      <c r="A4" s="1">
        <v>123045</v>
      </c>
      <c r="B4" s="1" t="s">
        <v>227</v>
      </c>
      <c r="C4" s="8">
        <f t="shared" ref="C4:C40" si="2">VLOOKUP(A4,$I$1:$K$1000,3,FALSE)</f>
        <v>131.51</v>
      </c>
      <c r="D4" s="6">
        <f t="shared" ref="D4:D40" si="3">MATCH(A4,$I$1:$I$1000,0)-2</f>
        <v>81</v>
      </c>
      <c r="E4" s="6">
        <f t="shared" si="0"/>
        <v>33</v>
      </c>
      <c r="H4" s="19">
        <v>2</v>
      </c>
      <c r="I4">
        <v>113620</v>
      </c>
      <c r="J4" t="s">
        <v>1164</v>
      </c>
      <c r="K4">
        <v>170.85</v>
      </c>
      <c r="L4" s="18">
        <v>-3.7000000000000002E-3</v>
      </c>
      <c r="M4" s="6" t="str">
        <f t="shared" ref="M4:M67" si="4">IF(ISNA(MATCH(I4,$A$3:$A$1000,0)),"未买","Yes")</f>
        <v>未买</v>
      </c>
      <c r="P4" s="19">
        <v>2</v>
      </c>
      <c r="Q4" s="8">
        <v>113541</v>
      </c>
      <c r="R4" s="8" t="s">
        <v>160</v>
      </c>
      <c r="S4" s="8">
        <f t="shared" ref="S4:S42" si="5">VLOOKUP(Q4,$I$1:$K$1000,3,FALSE)</f>
        <v>155.83000000000001</v>
      </c>
      <c r="T4" s="6" t="str">
        <f t="shared" si="1"/>
        <v>Yes</v>
      </c>
    </row>
    <row r="5" spans="1:20" x14ac:dyDescent="0.15">
      <c r="A5" s="1">
        <v>123052</v>
      </c>
      <c r="B5" s="1" t="s">
        <v>1142</v>
      </c>
      <c r="C5" s="8">
        <f t="shared" si="2"/>
        <v>129.00299999999999</v>
      </c>
      <c r="D5" s="6">
        <f t="shared" si="3"/>
        <v>59</v>
      </c>
      <c r="E5" s="6">
        <f t="shared" si="0"/>
        <v>36</v>
      </c>
      <c r="H5" s="19">
        <v>3</v>
      </c>
      <c r="I5">
        <v>132018</v>
      </c>
      <c r="J5" t="s">
        <v>1165</v>
      </c>
      <c r="K5">
        <v>139.76</v>
      </c>
      <c r="L5" s="18">
        <v>-1E-4</v>
      </c>
      <c r="M5" s="6" t="str">
        <f t="shared" si="4"/>
        <v>未买</v>
      </c>
      <c r="P5" s="19">
        <v>3</v>
      </c>
      <c r="Q5" s="8">
        <v>128100</v>
      </c>
      <c r="R5" s="8" t="s">
        <v>164</v>
      </c>
      <c r="S5" s="8">
        <f t="shared" si="5"/>
        <v>100.5</v>
      </c>
      <c r="T5" s="6" t="str">
        <f t="shared" si="1"/>
        <v>Yes</v>
      </c>
    </row>
    <row r="6" spans="1:20" x14ac:dyDescent="0.15">
      <c r="A6" s="1">
        <v>123057</v>
      </c>
      <c r="B6" s="1" t="s">
        <v>1143</v>
      </c>
      <c r="C6" s="8">
        <f t="shared" si="2"/>
        <v>126</v>
      </c>
      <c r="D6" s="6">
        <f t="shared" si="3"/>
        <v>71</v>
      </c>
      <c r="E6" s="6">
        <f t="shared" si="0"/>
        <v>26</v>
      </c>
      <c r="H6" s="19">
        <v>4</v>
      </c>
      <c r="I6">
        <v>127027</v>
      </c>
      <c r="J6" t="s">
        <v>358</v>
      </c>
      <c r="K6">
        <v>126.73399999999999</v>
      </c>
      <c r="L6" s="18">
        <v>8.9999999999999998E-4</v>
      </c>
      <c r="M6" s="6" t="str">
        <f t="shared" si="4"/>
        <v>未买</v>
      </c>
      <c r="P6" s="19">
        <v>4</v>
      </c>
      <c r="Q6" s="8">
        <v>128085</v>
      </c>
      <c r="R6" s="8" t="s">
        <v>1149</v>
      </c>
      <c r="S6" s="8">
        <f t="shared" si="5"/>
        <v>113.431</v>
      </c>
      <c r="T6" s="6" t="str">
        <f t="shared" si="1"/>
        <v>Yes</v>
      </c>
    </row>
    <row r="7" spans="1:20" x14ac:dyDescent="0.15">
      <c r="A7" s="1">
        <v>123067</v>
      </c>
      <c r="B7" s="1" t="s">
        <v>1144</v>
      </c>
      <c r="C7" s="8">
        <f t="shared" si="2"/>
        <v>133</v>
      </c>
      <c r="D7" s="6">
        <f t="shared" si="3"/>
        <v>61</v>
      </c>
      <c r="E7" s="6" t="e">
        <f t="shared" si="0"/>
        <v>#N/A</v>
      </c>
      <c r="H7" s="19">
        <v>5</v>
      </c>
      <c r="I7">
        <v>128106</v>
      </c>
      <c r="J7" t="s">
        <v>1128</v>
      </c>
      <c r="K7">
        <v>167.18299999999999</v>
      </c>
      <c r="L7" s="18">
        <v>2.2000000000000001E-3</v>
      </c>
      <c r="M7" s="6" t="str">
        <f t="shared" si="4"/>
        <v>Yes</v>
      </c>
      <c r="P7" s="19">
        <v>5</v>
      </c>
      <c r="Q7" s="8">
        <v>113567</v>
      </c>
      <c r="R7" s="8" t="s">
        <v>159</v>
      </c>
      <c r="S7" s="8">
        <f t="shared" si="5"/>
        <v>129.85</v>
      </c>
      <c r="T7" s="6" t="str">
        <f t="shared" si="1"/>
        <v>Yes</v>
      </c>
    </row>
    <row r="8" spans="1:20" x14ac:dyDescent="0.15">
      <c r="A8" s="1">
        <v>123073</v>
      </c>
      <c r="B8" s="1" t="s">
        <v>1145</v>
      </c>
      <c r="C8" s="8">
        <f t="shared" si="2"/>
        <v>146.16999999999999</v>
      </c>
      <c r="D8" s="6">
        <f t="shared" si="3"/>
        <v>26</v>
      </c>
      <c r="E8" s="6">
        <f t="shared" si="0"/>
        <v>39</v>
      </c>
      <c r="H8" s="19">
        <v>6</v>
      </c>
      <c r="I8">
        <v>123092</v>
      </c>
      <c r="J8" t="s">
        <v>1136</v>
      </c>
      <c r="K8">
        <v>166.5</v>
      </c>
      <c r="L8" s="18">
        <v>2.5000000000000001E-3</v>
      </c>
      <c r="M8" s="6" t="str">
        <f t="shared" si="4"/>
        <v>未买</v>
      </c>
      <c r="P8" s="19">
        <v>6</v>
      </c>
      <c r="Q8" s="8">
        <v>113525</v>
      </c>
      <c r="R8" s="8" t="s">
        <v>252</v>
      </c>
      <c r="S8" s="8">
        <f t="shared" si="5"/>
        <v>140.41</v>
      </c>
      <c r="T8" s="6" t="str">
        <f t="shared" si="1"/>
        <v>Yes</v>
      </c>
    </row>
    <row r="9" spans="1:20" x14ac:dyDescent="0.15">
      <c r="A9" s="1">
        <v>123080</v>
      </c>
      <c r="B9" s="1" t="s">
        <v>170</v>
      </c>
      <c r="C9" s="8">
        <f t="shared" si="2"/>
        <v>121.197</v>
      </c>
      <c r="D9" s="6">
        <f t="shared" si="3"/>
        <v>70</v>
      </c>
      <c r="E9" s="6" t="e">
        <f t="shared" si="0"/>
        <v>#N/A</v>
      </c>
      <c r="H9" s="19">
        <v>7</v>
      </c>
      <c r="I9">
        <v>113027</v>
      </c>
      <c r="J9" t="s">
        <v>162</v>
      </c>
      <c r="K9">
        <v>162.04</v>
      </c>
      <c r="L9">
        <v>-1.2E-2</v>
      </c>
      <c r="M9" s="6" t="str">
        <f t="shared" si="4"/>
        <v>Yes</v>
      </c>
      <c r="P9" s="19">
        <v>7</v>
      </c>
      <c r="Q9" s="8">
        <v>113585</v>
      </c>
      <c r="R9" s="8" t="s">
        <v>1163</v>
      </c>
      <c r="S9" s="8">
        <f t="shared" si="5"/>
        <v>169.53</v>
      </c>
      <c r="T9" s="6" t="str">
        <f t="shared" si="1"/>
        <v>Yes</v>
      </c>
    </row>
    <row r="10" spans="1:20" x14ac:dyDescent="0.15">
      <c r="A10" s="1">
        <v>123089</v>
      </c>
      <c r="B10" s="1" t="s">
        <v>1146</v>
      </c>
      <c r="C10" s="8">
        <f t="shared" si="2"/>
        <v>127.417</v>
      </c>
      <c r="D10" s="6">
        <f t="shared" si="3"/>
        <v>42</v>
      </c>
      <c r="E10" s="6">
        <f t="shared" si="0"/>
        <v>40</v>
      </c>
      <c r="H10" s="19">
        <v>8</v>
      </c>
      <c r="I10">
        <v>128106</v>
      </c>
      <c r="J10" t="s">
        <v>1128</v>
      </c>
      <c r="K10">
        <v>173.57</v>
      </c>
      <c r="L10">
        <v>-1.6000000000000001E-3</v>
      </c>
      <c r="M10" s="6" t="str">
        <f t="shared" si="4"/>
        <v>Yes</v>
      </c>
      <c r="P10" s="19">
        <v>8</v>
      </c>
      <c r="Q10" s="8">
        <v>128040</v>
      </c>
      <c r="R10" s="8" t="s">
        <v>165</v>
      </c>
      <c r="S10" s="8">
        <f t="shared" si="5"/>
        <v>143.786</v>
      </c>
      <c r="T10" s="6" t="str">
        <f t="shared" si="1"/>
        <v>Yes</v>
      </c>
    </row>
    <row r="11" spans="1:20" x14ac:dyDescent="0.15">
      <c r="A11" s="1">
        <v>123137</v>
      </c>
      <c r="B11" s="1" t="s">
        <v>1116</v>
      </c>
      <c r="C11" s="8">
        <f t="shared" si="2"/>
        <v>119.52800000000001</v>
      </c>
      <c r="D11" s="6">
        <f t="shared" si="3"/>
        <v>186</v>
      </c>
      <c r="E11" s="6" t="e">
        <f t="shared" si="0"/>
        <v>#N/A</v>
      </c>
      <c r="H11" s="19">
        <v>9</v>
      </c>
      <c r="I11">
        <v>123083</v>
      </c>
      <c r="J11" t="s">
        <v>232</v>
      </c>
      <c r="K11">
        <v>145</v>
      </c>
      <c r="L11">
        <v>-1.1000000000000001E-3</v>
      </c>
      <c r="M11" s="6" t="str">
        <f t="shared" si="4"/>
        <v>未买</v>
      </c>
      <c r="P11" s="19">
        <v>9</v>
      </c>
      <c r="Q11" s="8">
        <v>113537</v>
      </c>
      <c r="R11" s="8" t="s">
        <v>1214</v>
      </c>
      <c r="S11" s="8">
        <f t="shared" si="5"/>
        <v>172.96</v>
      </c>
      <c r="T11" s="6" t="str">
        <f t="shared" si="1"/>
        <v>未买</v>
      </c>
    </row>
    <row r="12" spans="1:20" x14ac:dyDescent="0.15">
      <c r="A12" s="1">
        <v>127003</v>
      </c>
      <c r="B12" s="1" t="s">
        <v>169</v>
      </c>
      <c r="C12" s="8">
        <f t="shared" si="2"/>
        <v>110.203</v>
      </c>
      <c r="D12" s="6">
        <f t="shared" si="3"/>
        <v>56</v>
      </c>
      <c r="E12" s="6" t="e">
        <f t="shared" si="0"/>
        <v>#N/A</v>
      </c>
      <c r="H12" s="19">
        <v>10</v>
      </c>
      <c r="I12">
        <v>113548</v>
      </c>
      <c r="J12" t="s">
        <v>1125</v>
      </c>
      <c r="K12">
        <v>378.76</v>
      </c>
      <c r="L12">
        <v>2.0000000000000001E-4</v>
      </c>
      <c r="M12" s="6" t="str">
        <f t="shared" si="4"/>
        <v>未买</v>
      </c>
      <c r="P12" s="19">
        <v>10</v>
      </c>
      <c r="Q12" s="8">
        <v>113027</v>
      </c>
      <c r="R12" s="8" t="s">
        <v>162</v>
      </c>
      <c r="S12" s="8">
        <f t="shared" si="5"/>
        <v>162.04</v>
      </c>
      <c r="T12" s="6" t="str">
        <f t="shared" si="1"/>
        <v>Yes</v>
      </c>
    </row>
    <row r="13" spans="1:20" x14ac:dyDescent="0.15">
      <c r="A13" s="1">
        <v>127007</v>
      </c>
      <c r="B13" s="1" t="s">
        <v>1162</v>
      </c>
      <c r="C13" s="8">
        <f t="shared" si="2"/>
        <v>148.47999999999999</v>
      </c>
      <c r="D13" s="6">
        <f t="shared" si="3"/>
        <v>11</v>
      </c>
      <c r="E13" s="6">
        <f t="shared" si="0"/>
        <v>11</v>
      </c>
      <c r="H13" s="19">
        <v>11</v>
      </c>
      <c r="I13">
        <v>127007</v>
      </c>
      <c r="J13" t="s">
        <v>1171</v>
      </c>
      <c r="K13">
        <v>148.47999999999999</v>
      </c>
      <c r="L13">
        <v>5.9999999999999995E-4</v>
      </c>
      <c r="M13" s="6" t="str">
        <f t="shared" si="4"/>
        <v>Yes</v>
      </c>
      <c r="P13" s="19">
        <v>11</v>
      </c>
      <c r="Q13" s="8">
        <v>127007</v>
      </c>
      <c r="R13" s="8" t="s">
        <v>1162</v>
      </c>
      <c r="S13" s="8">
        <f t="shared" si="5"/>
        <v>148.47999999999999</v>
      </c>
      <c r="T13" s="6" t="str">
        <f t="shared" si="1"/>
        <v>Yes</v>
      </c>
    </row>
    <row r="14" spans="1:20" x14ac:dyDescent="0.15">
      <c r="A14" s="1">
        <v>127030</v>
      </c>
      <c r="B14" s="1" t="s">
        <v>1113</v>
      </c>
      <c r="C14" s="8" t="e">
        <f t="shared" si="2"/>
        <v>#N/A</v>
      </c>
      <c r="D14" s="6" t="e">
        <f t="shared" si="3"/>
        <v>#N/A</v>
      </c>
      <c r="E14" s="6" t="e">
        <f t="shared" si="0"/>
        <v>#N/A</v>
      </c>
      <c r="H14" s="19">
        <v>12</v>
      </c>
      <c r="I14">
        <v>113620</v>
      </c>
      <c r="J14" t="s">
        <v>1164</v>
      </c>
      <c r="K14">
        <v>139.66</v>
      </c>
      <c r="L14">
        <v>1.4E-3</v>
      </c>
      <c r="M14" s="6" t="str">
        <f t="shared" si="4"/>
        <v>未买</v>
      </c>
      <c r="P14" s="19">
        <v>12</v>
      </c>
      <c r="Q14" s="8">
        <v>113016</v>
      </c>
      <c r="R14" s="8" t="s">
        <v>247</v>
      </c>
      <c r="S14" s="8">
        <f t="shared" si="5"/>
        <v>253.76</v>
      </c>
      <c r="T14" s="6" t="str">
        <f t="shared" si="1"/>
        <v>未买</v>
      </c>
    </row>
    <row r="15" spans="1:20" x14ac:dyDescent="0.15">
      <c r="A15" s="1">
        <v>128013</v>
      </c>
      <c r="B15" s="1" t="s">
        <v>168</v>
      </c>
      <c r="C15" s="8">
        <f t="shared" si="2"/>
        <v>110.19</v>
      </c>
      <c r="D15" s="6">
        <f t="shared" si="3"/>
        <v>37</v>
      </c>
      <c r="E15" s="6">
        <f t="shared" si="0"/>
        <v>21</v>
      </c>
      <c r="H15" s="19">
        <v>13</v>
      </c>
      <c r="I15">
        <v>128046</v>
      </c>
      <c r="J15" t="s">
        <v>1168</v>
      </c>
      <c r="K15">
        <v>166.30799999999999</v>
      </c>
      <c r="L15">
        <v>5.1000000000000004E-3</v>
      </c>
      <c r="M15" s="6" t="str">
        <f t="shared" si="4"/>
        <v>Yes</v>
      </c>
      <c r="P15" s="19">
        <v>13</v>
      </c>
      <c r="Q15" s="8">
        <v>113548</v>
      </c>
      <c r="R15" s="8" t="s">
        <v>1215</v>
      </c>
      <c r="S15" s="8">
        <f t="shared" si="5"/>
        <v>378.76</v>
      </c>
      <c r="T15" s="6" t="str">
        <f t="shared" si="1"/>
        <v>未买</v>
      </c>
    </row>
    <row r="16" spans="1:20" x14ac:dyDescent="0.15">
      <c r="A16" s="1">
        <v>128025</v>
      </c>
      <c r="B16" s="1" t="s">
        <v>166</v>
      </c>
      <c r="C16" s="8">
        <f t="shared" si="2"/>
        <v>118.7</v>
      </c>
      <c r="D16" s="6">
        <f t="shared" si="3"/>
        <v>106</v>
      </c>
      <c r="E16" s="6" t="e">
        <f t="shared" si="0"/>
        <v>#N/A</v>
      </c>
      <c r="H16" s="19">
        <v>14</v>
      </c>
      <c r="I16">
        <v>113615</v>
      </c>
      <c r="J16" t="s">
        <v>1140</v>
      </c>
      <c r="K16">
        <v>174.83</v>
      </c>
      <c r="L16">
        <v>8.8999999999999999E-3</v>
      </c>
      <c r="M16" s="6" t="str">
        <f t="shared" si="4"/>
        <v>未买</v>
      </c>
      <c r="P16" s="19">
        <v>14</v>
      </c>
      <c r="Q16" s="8">
        <v>123046</v>
      </c>
      <c r="R16" s="8" t="s">
        <v>1216</v>
      </c>
      <c r="S16" s="8">
        <f t="shared" si="5"/>
        <v>259.99900000000002</v>
      </c>
      <c r="T16" s="6" t="str">
        <f t="shared" si="1"/>
        <v>未买</v>
      </c>
    </row>
    <row r="17" spans="1:20" x14ac:dyDescent="0.15">
      <c r="A17" s="1">
        <v>128029</v>
      </c>
      <c r="B17" s="1" t="s">
        <v>1147</v>
      </c>
      <c r="C17" s="8">
        <f t="shared" si="2"/>
        <v>154.834</v>
      </c>
      <c r="D17" s="6">
        <f t="shared" si="3"/>
        <v>33</v>
      </c>
      <c r="E17" s="6">
        <f t="shared" si="0"/>
        <v>18</v>
      </c>
      <c r="H17" s="19">
        <v>15</v>
      </c>
      <c r="I17">
        <v>113541</v>
      </c>
      <c r="J17" t="s">
        <v>1167</v>
      </c>
      <c r="K17">
        <v>155.83000000000001</v>
      </c>
      <c r="L17">
        <v>9.1000000000000004E-3</v>
      </c>
      <c r="M17" s="6" t="str">
        <f t="shared" si="4"/>
        <v>Yes</v>
      </c>
      <c r="P17" s="19">
        <v>15</v>
      </c>
      <c r="Q17" s="8">
        <v>113568</v>
      </c>
      <c r="R17" s="8" t="s">
        <v>250</v>
      </c>
      <c r="S17" s="8">
        <f t="shared" si="5"/>
        <v>131.01</v>
      </c>
      <c r="T17" s="6" t="str">
        <f t="shared" si="1"/>
        <v>Yes</v>
      </c>
    </row>
    <row r="18" spans="1:20" x14ac:dyDescent="0.15">
      <c r="A18" s="1">
        <v>128036</v>
      </c>
      <c r="B18" s="1" t="s">
        <v>300</v>
      </c>
      <c r="C18" s="8">
        <f t="shared" si="2"/>
        <v>140.5</v>
      </c>
      <c r="D18" s="6">
        <f t="shared" si="3"/>
        <v>112</v>
      </c>
      <c r="E18" s="6">
        <f t="shared" si="0"/>
        <v>23</v>
      </c>
      <c r="H18" s="19">
        <v>16</v>
      </c>
      <c r="I18">
        <v>123078</v>
      </c>
      <c r="J18" t="s">
        <v>217</v>
      </c>
      <c r="K18">
        <v>142.28100000000001</v>
      </c>
      <c r="L18">
        <v>1.23E-2</v>
      </c>
      <c r="M18" s="6" t="str">
        <f t="shared" si="4"/>
        <v>未买</v>
      </c>
      <c r="P18" s="19">
        <v>16</v>
      </c>
      <c r="Q18" s="8">
        <v>128106</v>
      </c>
      <c r="R18" s="8" t="s">
        <v>1151</v>
      </c>
      <c r="S18" s="8">
        <f t="shared" si="5"/>
        <v>167.18299999999999</v>
      </c>
      <c r="T18" s="6" t="str">
        <f t="shared" si="1"/>
        <v>Yes</v>
      </c>
    </row>
    <row r="19" spans="1:20" x14ac:dyDescent="0.15">
      <c r="A19" s="1">
        <v>128037</v>
      </c>
      <c r="B19" s="1" t="s">
        <v>189</v>
      </c>
      <c r="C19" s="8">
        <f t="shared" si="2"/>
        <v>112.571</v>
      </c>
      <c r="D19" s="6">
        <f t="shared" si="3"/>
        <v>91</v>
      </c>
      <c r="E19" s="6" t="e">
        <f t="shared" si="0"/>
        <v>#N/A</v>
      </c>
      <c r="H19" s="19">
        <v>17</v>
      </c>
      <c r="I19">
        <v>123086</v>
      </c>
      <c r="J19" t="s">
        <v>1166</v>
      </c>
      <c r="K19">
        <v>153.846</v>
      </c>
      <c r="L19">
        <v>2.0500000000000001E-2</v>
      </c>
      <c r="M19" s="6" t="str">
        <f t="shared" si="4"/>
        <v>未买</v>
      </c>
      <c r="P19" s="19">
        <v>17</v>
      </c>
      <c r="Q19" s="8">
        <v>128091</v>
      </c>
      <c r="R19" s="8" t="s">
        <v>1150</v>
      </c>
      <c r="S19" s="8">
        <f t="shared" si="5"/>
        <v>147.40100000000001</v>
      </c>
      <c r="T19" s="6" t="str">
        <f t="shared" si="1"/>
        <v>Yes</v>
      </c>
    </row>
    <row r="20" spans="1:20" x14ac:dyDescent="0.15">
      <c r="A20" s="1">
        <v>128040</v>
      </c>
      <c r="B20" s="1" t="s">
        <v>165</v>
      </c>
      <c r="C20" s="8">
        <f t="shared" si="2"/>
        <v>143.786</v>
      </c>
      <c r="D20" s="6">
        <f t="shared" si="3"/>
        <v>39</v>
      </c>
      <c r="E20" s="6">
        <f t="shared" si="0"/>
        <v>8</v>
      </c>
      <c r="H20" s="19">
        <v>18</v>
      </c>
      <c r="I20">
        <v>123092</v>
      </c>
      <c r="J20" t="s">
        <v>1136</v>
      </c>
      <c r="K20">
        <v>155.49</v>
      </c>
      <c r="L20">
        <v>2.1499999999999998E-2</v>
      </c>
      <c r="M20" s="6" t="str">
        <f t="shared" si="4"/>
        <v>未买</v>
      </c>
      <c r="P20" s="19">
        <v>18</v>
      </c>
      <c r="Q20" s="8">
        <v>128029</v>
      </c>
      <c r="R20" s="8" t="s">
        <v>1147</v>
      </c>
      <c r="S20" s="8">
        <f t="shared" si="5"/>
        <v>154.834</v>
      </c>
      <c r="T20" s="6" t="str">
        <f t="shared" si="1"/>
        <v>Yes</v>
      </c>
    </row>
    <row r="21" spans="1:20" x14ac:dyDescent="0.15">
      <c r="A21" s="1">
        <v>128046</v>
      </c>
      <c r="B21" s="1" t="s">
        <v>1148</v>
      </c>
      <c r="C21" s="8">
        <f t="shared" si="2"/>
        <v>166.30799999999999</v>
      </c>
      <c r="D21" s="6">
        <f t="shared" si="3"/>
        <v>13</v>
      </c>
      <c r="E21" s="6">
        <f t="shared" si="0"/>
        <v>32</v>
      </c>
      <c r="H21" s="19">
        <v>19</v>
      </c>
      <c r="I21">
        <v>128111</v>
      </c>
      <c r="J21" t="s">
        <v>1131</v>
      </c>
      <c r="K21">
        <v>479.99900000000002</v>
      </c>
      <c r="L21">
        <v>3.2300000000000002E-2</v>
      </c>
      <c r="M21" s="6" t="str">
        <f t="shared" si="4"/>
        <v>未买</v>
      </c>
      <c r="P21" s="19">
        <v>19</v>
      </c>
      <c r="Q21" s="8">
        <v>113504</v>
      </c>
      <c r="R21" s="8" t="s">
        <v>246</v>
      </c>
      <c r="S21" s="8">
        <f t="shared" si="5"/>
        <v>130.27000000000001</v>
      </c>
      <c r="T21" s="6" t="str">
        <f t="shared" si="1"/>
        <v>Yes</v>
      </c>
    </row>
    <row r="22" spans="1:20" x14ac:dyDescent="0.15">
      <c r="A22" s="1">
        <v>128053</v>
      </c>
      <c r="B22" s="1" t="s">
        <v>177</v>
      </c>
      <c r="C22" s="8">
        <f t="shared" si="2"/>
        <v>121.05</v>
      </c>
      <c r="D22" s="6">
        <f t="shared" si="3"/>
        <v>114</v>
      </c>
      <c r="E22" s="6" t="e">
        <f t="shared" si="0"/>
        <v>#N/A</v>
      </c>
      <c r="H22" s="19">
        <v>20</v>
      </c>
      <c r="I22">
        <v>113567</v>
      </c>
      <c r="J22" t="s">
        <v>1169</v>
      </c>
      <c r="K22">
        <v>129.85</v>
      </c>
      <c r="L22">
        <v>3.4500000000000003E-2</v>
      </c>
      <c r="M22" s="6" t="str">
        <f t="shared" si="4"/>
        <v>Yes</v>
      </c>
      <c r="P22" s="19">
        <v>20</v>
      </c>
      <c r="Q22" s="8">
        <v>128111</v>
      </c>
      <c r="R22" s="8" t="s">
        <v>1217</v>
      </c>
      <c r="S22" s="8">
        <f t="shared" si="5"/>
        <v>479.99900000000002</v>
      </c>
      <c r="T22" s="6" t="str">
        <f t="shared" si="1"/>
        <v>未买</v>
      </c>
    </row>
    <row r="23" spans="1:20" x14ac:dyDescent="0.15">
      <c r="A23" s="1">
        <v>128066</v>
      </c>
      <c r="B23" s="1" t="s">
        <v>215</v>
      </c>
      <c r="C23" s="8">
        <f t="shared" si="2"/>
        <v>112.27800000000001</v>
      </c>
      <c r="D23" s="6">
        <f t="shared" si="3"/>
        <v>92</v>
      </c>
      <c r="E23" s="6" t="e">
        <f t="shared" si="0"/>
        <v>#N/A</v>
      </c>
      <c r="H23" s="19">
        <v>21</v>
      </c>
      <c r="I23">
        <v>113016</v>
      </c>
      <c r="J23" t="s">
        <v>247</v>
      </c>
      <c r="K23">
        <v>253.76</v>
      </c>
      <c r="L23">
        <v>3.9800000000000002E-2</v>
      </c>
      <c r="M23" s="6" t="str">
        <f t="shared" si="4"/>
        <v>未买</v>
      </c>
      <c r="P23" s="19">
        <v>21</v>
      </c>
      <c r="Q23" s="8">
        <v>128013</v>
      </c>
      <c r="R23" s="8" t="s">
        <v>168</v>
      </c>
      <c r="S23" s="8">
        <f t="shared" si="5"/>
        <v>110.19</v>
      </c>
      <c r="T23" s="6" t="str">
        <f t="shared" si="1"/>
        <v>Yes</v>
      </c>
    </row>
    <row r="24" spans="1:20" x14ac:dyDescent="0.15">
      <c r="A24" s="1">
        <v>128076</v>
      </c>
      <c r="B24" s="1" t="s">
        <v>248</v>
      </c>
      <c r="C24" s="8">
        <f t="shared" si="2"/>
        <v>118.10599999999999</v>
      </c>
      <c r="D24" s="6">
        <f t="shared" si="3"/>
        <v>104</v>
      </c>
      <c r="E24" s="6">
        <f t="shared" si="0"/>
        <v>34</v>
      </c>
      <c r="H24" s="19">
        <v>22</v>
      </c>
      <c r="I24">
        <v>128128</v>
      </c>
      <c r="J24" t="s">
        <v>1133</v>
      </c>
      <c r="K24">
        <v>130.15799999999999</v>
      </c>
      <c r="L24">
        <v>4.5999999999999999E-2</v>
      </c>
      <c r="M24" s="6" t="str">
        <f t="shared" si="4"/>
        <v>未买</v>
      </c>
      <c r="P24" s="19">
        <v>22</v>
      </c>
      <c r="Q24" s="8">
        <v>113039</v>
      </c>
      <c r="R24" s="8" t="s">
        <v>161</v>
      </c>
      <c r="S24" s="8">
        <f t="shared" si="5"/>
        <v>126.69</v>
      </c>
      <c r="T24" s="6" t="str">
        <f t="shared" si="1"/>
        <v>Yes</v>
      </c>
    </row>
    <row r="25" spans="1:20" x14ac:dyDescent="0.15">
      <c r="A25" s="1">
        <v>128085</v>
      </c>
      <c r="B25" s="1" t="s">
        <v>1149</v>
      </c>
      <c r="C25" s="8">
        <f t="shared" si="2"/>
        <v>113.431</v>
      </c>
      <c r="D25" s="6">
        <f t="shared" si="3"/>
        <v>62</v>
      </c>
      <c r="E25" s="6">
        <f t="shared" si="0"/>
        <v>4</v>
      </c>
      <c r="H25" s="19">
        <v>23</v>
      </c>
      <c r="I25">
        <v>110071</v>
      </c>
      <c r="J25" t="s">
        <v>213</v>
      </c>
      <c r="K25">
        <v>127.47</v>
      </c>
      <c r="L25">
        <v>5.0099999999999999E-2</v>
      </c>
      <c r="M25" s="6" t="str">
        <f t="shared" si="4"/>
        <v>未买</v>
      </c>
      <c r="P25" s="19">
        <v>23</v>
      </c>
      <c r="Q25" s="8">
        <v>128036</v>
      </c>
      <c r="R25" s="8" t="s">
        <v>300</v>
      </c>
      <c r="S25" s="8">
        <f t="shared" si="5"/>
        <v>140.5</v>
      </c>
      <c r="T25" s="6" t="str">
        <f t="shared" si="1"/>
        <v>Yes</v>
      </c>
    </row>
    <row r="26" spans="1:20" x14ac:dyDescent="0.15">
      <c r="A26" s="1">
        <v>128091</v>
      </c>
      <c r="B26" s="1" t="s">
        <v>1150</v>
      </c>
      <c r="C26" s="8">
        <f t="shared" si="2"/>
        <v>147.40100000000001</v>
      </c>
      <c r="D26" s="6">
        <f t="shared" si="3"/>
        <v>66</v>
      </c>
      <c r="E26" s="6">
        <f t="shared" si="0"/>
        <v>17</v>
      </c>
      <c r="H26" s="19">
        <v>24</v>
      </c>
      <c r="I26">
        <v>113626</v>
      </c>
      <c r="J26" t="s">
        <v>1141</v>
      </c>
      <c r="K26">
        <v>158.16</v>
      </c>
      <c r="L26">
        <v>5.0799999999999998E-2</v>
      </c>
      <c r="M26" s="6" t="str">
        <f t="shared" si="4"/>
        <v>未买</v>
      </c>
      <c r="P26" s="19">
        <v>24</v>
      </c>
      <c r="Q26" s="8">
        <v>113570</v>
      </c>
      <c r="R26" s="8" t="s">
        <v>158</v>
      </c>
      <c r="S26" s="8">
        <f t="shared" si="5"/>
        <v>120.8</v>
      </c>
      <c r="T26" s="6" t="str">
        <f t="shared" si="1"/>
        <v>Yes</v>
      </c>
    </row>
    <row r="27" spans="1:20" x14ac:dyDescent="0.15">
      <c r="A27" s="1">
        <v>128100</v>
      </c>
      <c r="B27" s="1" t="s">
        <v>164</v>
      </c>
      <c r="C27" s="8">
        <f t="shared" si="2"/>
        <v>100.5</v>
      </c>
      <c r="D27" s="6">
        <f t="shared" si="3"/>
        <v>43</v>
      </c>
      <c r="E27" s="6">
        <f t="shared" si="0"/>
        <v>3</v>
      </c>
      <c r="H27" s="19">
        <v>25</v>
      </c>
      <c r="I27">
        <v>113585</v>
      </c>
      <c r="J27" t="s">
        <v>1126</v>
      </c>
      <c r="K27">
        <v>169.53</v>
      </c>
      <c r="L27">
        <v>5.21E-2</v>
      </c>
      <c r="M27" s="6" t="str">
        <f t="shared" si="4"/>
        <v>Yes</v>
      </c>
      <c r="P27" s="19">
        <v>25</v>
      </c>
      <c r="Q27" s="8">
        <v>128017</v>
      </c>
      <c r="R27" s="8" t="s">
        <v>1218</v>
      </c>
      <c r="S27" s="8">
        <f t="shared" si="5"/>
        <v>195.8</v>
      </c>
      <c r="T27" s="6" t="str">
        <f t="shared" si="1"/>
        <v>未买</v>
      </c>
    </row>
    <row r="28" spans="1:20" x14ac:dyDescent="0.15">
      <c r="A28" s="1">
        <v>128106</v>
      </c>
      <c r="B28" s="1" t="s">
        <v>1151</v>
      </c>
      <c r="C28" s="8">
        <f t="shared" si="2"/>
        <v>167.18299999999999</v>
      </c>
      <c r="D28" s="6">
        <f t="shared" si="3"/>
        <v>5</v>
      </c>
      <c r="E28" s="6">
        <f t="shared" si="0"/>
        <v>16</v>
      </c>
      <c r="H28" s="19">
        <v>26</v>
      </c>
      <c r="I28">
        <v>123073</v>
      </c>
      <c r="J28" t="s">
        <v>1172</v>
      </c>
      <c r="K28">
        <v>146.16999999999999</v>
      </c>
      <c r="L28">
        <v>6.5000000000000002E-2</v>
      </c>
      <c r="M28" s="6" t="str">
        <f t="shared" si="4"/>
        <v>Yes</v>
      </c>
      <c r="P28" s="19">
        <v>26</v>
      </c>
      <c r="Q28" s="8">
        <v>123057</v>
      </c>
      <c r="R28" s="8" t="s">
        <v>1143</v>
      </c>
      <c r="S28" s="8">
        <f t="shared" si="5"/>
        <v>126</v>
      </c>
      <c r="T28" s="6" t="str">
        <f t="shared" si="1"/>
        <v>Yes</v>
      </c>
    </row>
    <row r="29" spans="1:20" x14ac:dyDescent="0.15">
      <c r="A29" s="1">
        <v>113027</v>
      </c>
      <c r="B29" s="1" t="s">
        <v>162</v>
      </c>
      <c r="C29" s="8">
        <f t="shared" si="2"/>
        <v>162.04</v>
      </c>
      <c r="D29" s="6">
        <f t="shared" si="3"/>
        <v>7</v>
      </c>
      <c r="E29" s="6">
        <f t="shared" si="0"/>
        <v>10</v>
      </c>
      <c r="H29" s="19">
        <v>27</v>
      </c>
      <c r="I29">
        <v>113568</v>
      </c>
      <c r="J29" t="s">
        <v>250</v>
      </c>
      <c r="K29">
        <v>131.01</v>
      </c>
      <c r="L29">
        <v>6.93E-2</v>
      </c>
      <c r="M29" s="6" t="str">
        <f t="shared" si="4"/>
        <v>Yes</v>
      </c>
      <c r="P29" s="19">
        <v>27</v>
      </c>
      <c r="Q29" s="8">
        <v>113030</v>
      </c>
      <c r="R29" s="8" t="s">
        <v>212</v>
      </c>
      <c r="S29" s="8">
        <f t="shared" si="5"/>
        <v>124.82</v>
      </c>
      <c r="T29" s="6" t="str">
        <f t="shared" si="1"/>
        <v>未买</v>
      </c>
    </row>
    <row r="30" spans="1:20" x14ac:dyDescent="0.15">
      <c r="A30" s="1">
        <v>113039</v>
      </c>
      <c r="B30" s="1" t="s">
        <v>161</v>
      </c>
      <c r="C30" s="8">
        <f t="shared" si="2"/>
        <v>126.69</v>
      </c>
      <c r="D30" s="6">
        <f t="shared" si="3"/>
        <v>46</v>
      </c>
      <c r="E30" s="6">
        <f t="shared" si="0"/>
        <v>22</v>
      </c>
      <c r="H30" s="19">
        <v>28</v>
      </c>
      <c r="I30">
        <v>113525</v>
      </c>
      <c r="J30" t="s">
        <v>1206</v>
      </c>
      <c r="K30">
        <v>140.41</v>
      </c>
      <c r="L30">
        <v>7.3099999999999998E-2</v>
      </c>
      <c r="M30" s="6" t="str">
        <f t="shared" si="4"/>
        <v>Yes</v>
      </c>
      <c r="P30" s="19">
        <v>28</v>
      </c>
      <c r="Q30" s="8">
        <v>123060</v>
      </c>
      <c r="R30" s="8" t="s">
        <v>1219</v>
      </c>
      <c r="S30" s="8">
        <f t="shared" si="5"/>
        <v>150.79400000000001</v>
      </c>
      <c r="T30" s="6" t="str">
        <f t="shared" si="1"/>
        <v>未买</v>
      </c>
    </row>
    <row r="31" spans="1:20" x14ac:dyDescent="0.15">
      <c r="A31" s="1">
        <v>113504</v>
      </c>
      <c r="B31" s="1" t="s">
        <v>246</v>
      </c>
      <c r="C31" s="8">
        <f t="shared" si="2"/>
        <v>130.27000000000001</v>
      </c>
      <c r="D31" s="6">
        <f t="shared" si="3"/>
        <v>44</v>
      </c>
      <c r="E31" s="6">
        <f t="shared" si="0"/>
        <v>19</v>
      </c>
      <c r="H31" s="19">
        <v>29</v>
      </c>
      <c r="I31">
        <v>128130</v>
      </c>
      <c r="J31" t="s">
        <v>224</v>
      </c>
      <c r="K31">
        <v>120.907</v>
      </c>
      <c r="L31">
        <v>8.1799999999999998E-2</v>
      </c>
      <c r="M31" s="6" t="str">
        <f t="shared" si="4"/>
        <v>未买</v>
      </c>
      <c r="P31" s="19">
        <v>29</v>
      </c>
      <c r="Q31" s="8">
        <v>123083</v>
      </c>
      <c r="R31" s="8" t="s">
        <v>232</v>
      </c>
      <c r="S31" s="8">
        <f t="shared" si="5"/>
        <v>150.34800000000001</v>
      </c>
      <c r="T31" s="6" t="str">
        <f t="shared" si="1"/>
        <v>未买</v>
      </c>
    </row>
    <row r="32" spans="1:20" x14ac:dyDescent="0.15">
      <c r="A32" s="1">
        <v>113525</v>
      </c>
      <c r="B32" s="1" t="s">
        <v>252</v>
      </c>
      <c r="C32" s="8">
        <f t="shared" si="2"/>
        <v>140.41</v>
      </c>
      <c r="D32" s="6">
        <f t="shared" si="3"/>
        <v>28</v>
      </c>
      <c r="E32" s="6">
        <f t="shared" si="0"/>
        <v>6</v>
      </c>
      <c r="H32" s="19">
        <v>30</v>
      </c>
      <c r="I32">
        <v>123085</v>
      </c>
      <c r="J32" t="s">
        <v>1170</v>
      </c>
      <c r="K32">
        <v>124.789</v>
      </c>
      <c r="L32">
        <v>8.2100000000000006E-2</v>
      </c>
      <c r="M32" s="6" t="str">
        <f t="shared" si="4"/>
        <v>未买</v>
      </c>
      <c r="P32" s="19">
        <v>30</v>
      </c>
      <c r="Q32" s="8">
        <v>113534</v>
      </c>
      <c r="R32" s="8" t="s">
        <v>1220</v>
      </c>
      <c r="S32" s="8">
        <f t="shared" si="5"/>
        <v>200.9</v>
      </c>
      <c r="T32" s="6" t="str">
        <f t="shared" si="1"/>
        <v>未买</v>
      </c>
    </row>
    <row r="33" spans="1:20" x14ac:dyDescent="0.15">
      <c r="A33" s="1">
        <v>113526</v>
      </c>
      <c r="B33" s="1" t="s">
        <v>262</v>
      </c>
      <c r="C33" s="8">
        <f t="shared" si="2"/>
        <v>128.13</v>
      </c>
      <c r="D33" s="6">
        <f t="shared" si="3"/>
        <v>99</v>
      </c>
      <c r="E33" s="6" t="e">
        <f t="shared" si="0"/>
        <v>#N/A</v>
      </c>
      <c r="H33" s="19">
        <v>31</v>
      </c>
      <c r="I33">
        <v>113537</v>
      </c>
      <c r="J33" t="s">
        <v>1173</v>
      </c>
      <c r="K33">
        <v>172.96</v>
      </c>
      <c r="L33">
        <v>8.4099999999999994E-2</v>
      </c>
      <c r="M33" s="6" t="str">
        <f t="shared" si="4"/>
        <v>未买</v>
      </c>
      <c r="P33" s="19">
        <v>31</v>
      </c>
      <c r="Q33" s="8">
        <v>128128</v>
      </c>
      <c r="R33" s="8" t="s">
        <v>1221</v>
      </c>
      <c r="S33" s="8">
        <f t="shared" si="5"/>
        <v>130.15799999999999</v>
      </c>
      <c r="T33" s="6" t="str">
        <f t="shared" si="1"/>
        <v>未买</v>
      </c>
    </row>
    <row r="34" spans="1:20" x14ac:dyDescent="0.15">
      <c r="A34" s="1">
        <v>113541</v>
      </c>
      <c r="B34" s="1" t="s">
        <v>160</v>
      </c>
      <c r="C34" s="8">
        <f t="shared" si="2"/>
        <v>155.83000000000001</v>
      </c>
      <c r="D34" s="6">
        <f t="shared" si="3"/>
        <v>15</v>
      </c>
      <c r="E34" s="6">
        <f t="shared" si="0"/>
        <v>2</v>
      </c>
      <c r="H34" s="19">
        <v>32</v>
      </c>
      <c r="I34">
        <v>123012</v>
      </c>
      <c r="J34" t="s">
        <v>1124</v>
      </c>
      <c r="K34">
        <v>147.233</v>
      </c>
      <c r="L34">
        <v>8.5199999999999998E-2</v>
      </c>
      <c r="M34" s="6" t="str">
        <f t="shared" si="4"/>
        <v>Yes</v>
      </c>
      <c r="P34" s="19">
        <v>32</v>
      </c>
      <c r="Q34" s="8">
        <v>128046</v>
      </c>
      <c r="R34" s="8" t="s">
        <v>1148</v>
      </c>
      <c r="S34" s="8">
        <f t="shared" si="5"/>
        <v>166.30799999999999</v>
      </c>
      <c r="T34" s="6" t="str">
        <f t="shared" si="1"/>
        <v>Yes</v>
      </c>
    </row>
    <row r="35" spans="1:20" x14ac:dyDescent="0.15">
      <c r="A35" s="1">
        <v>113565</v>
      </c>
      <c r="B35" s="1" t="s">
        <v>241</v>
      </c>
      <c r="C35" s="8">
        <f t="shared" si="2"/>
        <v>118.15</v>
      </c>
      <c r="D35" s="6">
        <f t="shared" si="3"/>
        <v>111</v>
      </c>
      <c r="E35" s="6" t="e">
        <f t="shared" si="0"/>
        <v>#N/A</v>
      </c>
      <c r="H35" s="19">
        <v>33</v>
      </c>
      <c r="I35">
        <v>128029</v>
      </c>
      <c r="J35" t="s">
        <v>1180</v>
      </c>
      <c r="K35">
        <v>154.834</v>
      </c>
      <c r="L35">
        <v>9.2999999999999999E-2</v>
      </c>
      <c r="M35" s="6" t="str">
        <f t="shared" si="4"/>
        <v>Yes</v>
      </c>
      <c r="P35" s="19">
        <v>33</v>
      </c>
      <c r="Q35" s="8">
        <v>123045</v>
      </c>
      <c r="R35" s="8" t="s">
        <v>227</v>
      </c>
      <c r="S35" s="8">
        <f t="shared" si="5"/>
        <v>131.51</v>
      </c>
      <c r="T35" s="6" t="str">
        <f t="shared" ref="T35:T42" si="6">IF(ISNA(MATCH(Q35,$A$2:$A$301,0)),"未买","Yes")</f>
        <v>Yes</v>
      </c>
    </row>
    <row r="36" spans="1:20" x14ac:dyDescent="0.15">
      <c r="A36" s="1">
        <v>113567</v>
      </c>
      <c r="B36" s="1" t="s">
        <v>159</v>
      </c>
      <c r="C36" s="8">
        <f t="shared" si="2"/>
        <v>129.85</v>
      </c>
      <c r="D36" s="6">
        <f t="shared" si="3"/>
        <v>20</v>
      </c>
      <c r="E36" s="6">
        <f t="shared" si="0"/>
        <v>5</v>
      </c>
      <c r="H36" s="19">
        <v>34</v>
      </c>
      <c r="I36">
        <v>123046</v>
      </c>
      <c r="J36" t="s">
        <v>1129</v>
      </c>
      <c r="K36">
        <v>259.99900000000002</v>
      </c>
      <c r="L36">
        <v>9.4600000000000004E-2</v>
      </c>
      <c r="M36" s="6" t="str">
        <f t="shared" si="4"/>
        <v>未买</v>
      </c>
      <c r="P36" s="19">
        <v>34</v>
      </c>
      <c r="Q36" s="8">
        <v>128076</v>
      </c>
      <c r="R36" s="8" t="s">
        <v>248</v>
      </c>
      <c r="S36" s="8">
        <f t="shared" si="5"/>
        <v>118.10599999999999</v>
      </c>
      <c r="T36" s="6" t="str">
        <f t="shared" si="6"/>
        <v>Yes</v>
      </c>
    </row>
    <row r="37" spans="1:20" x14ac:dyDescent="0.15">
      <c r="A37" s="1">
        <v>113568</v>
      </c>
      <c r="B37" s="1" t="s">
        <v>250</v>
      </c>
      <c r="C37" s="8">
        <f t="shared" si="2"/>
        <v>131.01</v>
      </c>
      <c r="D37" s="6">
        <f t="shared" si="3"/>
        <v>27</v>
      </c>
      <c r="E37" s="6">
        <f t="shared" si="0"/>
        <v>15</v>
      </c>
      <c r="H37" s="19">
        <v>35</v>
      </c>
      <c r="I37">
        <v>113534</v>
      </c>
      <c r="J37" t="s">
        <v>1179</v>
      </c>
      <c r="K37">
        <v>200.9</v>
      </c>
      <c r="L37">
        <v>9.5799999999999996E-2</v>
      </c>
      <c r="M37" s="6" t="str">
        <f t="shared" si="4"/>
        <v>未买</v>
      </c>
      <c r="P37" s="19">
        <v>35</v>
      </c>
      <c r="Q37" s="8">
        <v>110055</v>
      </c>
      <c r="R37" s="8" t="s">
        <v>1222</v>
      </c>
      <c r="S37" s="8">
        <f t="shared" si="5"/>
        <v>201.95</v>
      </c>
      <c r="T37" s="6" t="str">
        <f t="shared" si="6"/>
        <v>未买</v>
      </c>
    </row>
    <row r="38" spans="1:20" x14ac:dyDescent="0.15">
      <c r="A38" s="1">
        <v>113570</v>
      </c>
      <c r="B38" s="1" t="s">
        <v>158</v>
      </c>
      <c r="C38" s="8">
        <f t="shared" si="2"/>
        <v>120.8</v>
      </c>
      <c r="D38" s="6">
        <f t="shared" si="3"/>
        <v>68</v>
      </c>
      <c r="E38" s="6">
        <f t="shared" si="0"/>
        <v>24</v>
      </c>
      <c r="H38" s="19">
        <v>36</v>
      </c>
      <c r="I38">
        <v>123070</v>
      </c>
      <c r="J38" t="s">
        <v>222</v>
      </c>
      <c r="K38">
        <v>202.50899999999999</v>
      </c>
      <c r="L38">
        <v>9.8699999999999996E-2</v>
      </c>
      <c r="M38" s="6" t="str">
        <f t="shared" si="4"/>
        <v>未买</v>
      </c>
      <c r="P38" s="19">
        <v>36</v>
      </c>
      <c r="Q38" s="8">
        <v>123052</v>
      </c>
      <c r="R38" s="8" t="s">
        <v>1142</v>
      </c>
      <c r="S38" s="8">
        <f t="shared" si="5"/>
        <v>129.00299999999999</v>
      </c>
      <c r="T38" s="6" t="str">
        <f t="shared" si="6"/>
        <v>Yes</v>
      </c>
    </row>
    <row r="39" spans="1:20" x14ac:dyDescent="0.15">
      <c r="A39" s="1">
        <v>113585</v>
      </c>
      <c r="B39" s="1" t="s">
        <v>1163</v>
      </c>
      <c r="C39" s="8">
        <f t="shared" si="2"/>
        <v>169.53</v>
      </c>
      <c r="D39" s="6">
        <f t="shared" si="3"/>
        <v>25</v>
      </c>
      <c r="E39" s="6">
        <f t="shared" si="0"/>
        <v>7</v>
      </c>
      <c r="H39" s="19">
        <v>37</v>
      </c>
      <c r="I39">
        <v>128013</v>
      </c>
      <c r="J39" t="s">
        <v>168</v>
      </c>
      <c r="K39">
        <v>110.19</v>
      </c>
      <c r="L39">
        <v>0.1019</v>
      </c>
      <c r="M39" s="6" t="str">
        <f t="shared" si="4"/>
        <v>Yes</v>
      </c>
      <c r="P39" s="19">
        <v>37</v>
      </c>
      <c r="Q39" s="8">
        <v>113591</v>
      </c>
      <c r="R39" s="8" t="s">
        <v>157</v>
      </c>
      <c r="S39" s="8">
        <f t="shared" si="5"/>
        <v>114.29</v>
      </c>
      <c r="T39" s="6" t="str">
        <f t="shared" si="6"/>
        <v>Yes</v>
      </c>
    </row>
    <row r="40" spans="1:20" x14ac:dyDescent="0.15">
      <c r="A40" s="1">
        <v>113591</v>
      </c>
      <c r="B40" s="1" t="s">
        <v>157</v>
      </c>
      <c r="C40" s="8">
        <f t="shared" si="2"/>
        <v>114.29</v>
      </c>
      <c r="D40" s="6">
        <f t="shared" si="3"/>
        <v>55</v>
      </c>
      <c r="E40" s="6">
        <f t="shared" si="0"/>
        <v>37</v>
      </c>
      <c r="H40" s="19">
        <v>38</v>
      </c>
      <c r="I40">
        <v>123060</v>
      </c>
      <c r="J40" t="s">
        <v>1135</v>
      </c>
      <c r="K40">
        <v>150.79400000000001</v>
      </c>
      <c r="L40">
        <v>0.1036</v>
      </c>
      <c r="M40" s="6" t="str">
        <f t="shared" si="4"/>
        <v>未买</v>
      </c>
      <c r="P40" s="19">
        <v>38</v>
      </c>
      <c r="Q40" s="8">
        <v>128087</v>
      </c>
      <c r="R40" s="8" t="s">
        <v>239</v>
      </c>
      <c r="S40" s="8">
        <f t="shared" si="5"/>
        <v>115.19</v>
      </c>
      <c r="T40" s="6" t="str">
        <f t="shared" si="6"/>
        <v>未买</v>
      </c>
    </row>
    <row r="41" spans="1:20" x14ac:dyDescent="0.15">
      <c r="D41" s="6"/>
      <c r="E41" s="6"/>
      <c r="H41" s="19">
        <v>39</v>
      </c>
      <c r="I41">
        <v>128040</v>
      </c>
      <c r="J41" t="s">
        <v>1178</v>
      </c>
      <c r="K41">
        <v>143.786</v>
      </c>
      <c r="L41">
        <v>0.1043</v>
      </c>
      <c r="M41" s="6" t="str">
        <f t="shared" si="4"/>
        <v>Yes</v>
      </c>
      <c r="P41" s="19">
        <v>39</v>
      </c>
      <c r="Q41" s="8">
        <v>123073</v>
      </c>
      <c r="R41" s="8" t="s">
        <v>1145</v>
      </c>
      <c r="S41" s="8">
        <f t="shared" si="5"/>
        <v>146.16999999999999</v>
      </c>
      <c r="T41" s="6" t="str">
        <f t="shared" si="6"/>
        <v>Yes</v>
      </c>
    </row>
    <row r="42" spans="1:20" x14ac:dyDescent="0.15">
      <c r="D42" s="6"/>
      <c r="E42" s="6"/>
      <c r="H42" s="19">
        <v>40</v>
      </c>
      <c r="I42">
        <v>128017</v>
      </c>
      <c r="J42" t="s">
        <v>1174</v>
      </c>
      <c r="K42">
        <v>195.8</v>
      </c>
      <c r="L42">
        <v>0.107</v>
      </c>
      <c r="M42" s="6" t="str">
        <f t="shared" si="4"/>
        <v>未买</v>
      </c>
      <c r="P42" s="19">
        <v>40</v>
      </c>
      <c r="Q42" s="8">
        <v>123089</v>
      </c>
      <c r="R42" s="8" t="s">
        <v>1146</v>
      </c>
      <c r="S42" s="8">
        <f t="shared" si="5"/>
        <v>127.417</v>
      </c>
      <c r="T42" s="6" t="str">
        <f t="shared" si="6"/>
        <v>Yes</v>
      </c>
    </row>
    <row r="43" spans="1:20" x14ac:dyDescent="0.15">
      <c r="D43" s="6"/>
      <c r="E43" s="6"/>
      <c r="H43" s="19">
        <v>41</v>
      </c>
      <c r="I43">
        <v>123071</v>
      </c>
      <c r="J43" t="s">
        <v>1177</v>
      </c>
      <c r="K43">
        <v>132.20099999999999</v>
      </c>
      <c r="L43">
        <v>0.1172</v>
      </c>
      <c r="M43" s="6" t="str">
        <f t="shared" si="4"/>
        <v>未买</v>
      </c>
      <c r="P43" s="19">
        <v>41</v>
      </c>
    </row>
    <row r="44" spans="1:20" x14ac:dyDescent="0.15">
      <c r="D44" s="6"/>
      <c r="E44" s="6"/>
      <c r="H44" s="19">
        <v>42</v>
      </c>
      <c r="I44">
        <v>123089</v>
      </c>
      <c r="J44" t="s">
        <v>1175</v>
      </c>
      <c r="K44">
        <v>127.417</v>
      </c>
      <c r="L44">
        <v>0.1186</v>
      </c>
      <c r="M44" s="6" t="str">
        <f t="shared" si="4"/>
        <v>Yes</v>
      </c>
      <c r="P44" s="19">
        <v>42</v>
      </c>
    </row>
    <row r="45" spans="1:20" x14ac:dyDescent="0.15">
      <c r="D45" s="6"/>
      <c r="E45" s="6"/>
      <c r="H45" s="19">
        <v>43</v>
      </c>
      <c r="I45">
        <v>128100</v>
      </c>
      <c r="J45" t="s">
        <v>164</v>
      </c>
      <c r="K45">
        <v>100.5</v>
      </c>
      <c r="L45">
        <v>0.12280000000000001</v>
      </c>
      <c r="M45" s="6" t="str">
        <f t="shared" si="4"/>
        <v>Yes</v>
      </c>
      <c r="P45" s="19">
        <v>43</v>
      </c>
    </row>
    <row r="46" spans="1:20" x14ac:dyDescent="0.15">
      <c r="D46" s="6"/>
      <c r="E46" s="6"/>
      <c r="H46" s="19">
        <v>44</v>
      </c>
      <c r="I46">
        <v>113504</v>
      </c>
      <c r="J46" t="s">
        <v>246</v>
      </c>
      <c r="K46">
        <v>130.27000000000001</v>
      </c>
      <c r="L46">
        <v>0.12720000000000001</v>
      </c>
      <c r="M46" s="6" t="str">
        <f t="shared" si="4"/>
        <v>Yes</v>
      </c>
      <c r="P46" s="19">
        <v>44</v>
      </c>
    </row>
    <row r="47" spans="1:20" x14ac:dyDescent="0.15">
      <c r="D47" s="6"/>
      <c r="E47" s="6"/>
      <c r="H47" s="19">
        <v>45</v>
      </c>
      <c r="I47">
        <v>128095</v>
      </c>
      <c r="J47" t="s">
        <v>1184</v>
      </c>
      <c r="K47">
        <v>318</v>
      </c>
      <c r="L47">
        <v>0.13</v>
      </c>
      <c r="M47" s="6" t="str">
        <f t="shared" si="4"/>
        <v>未买</v>
      </c>
      <c r="P47" s="19">
        <v>45</v>
      </c>
    </row>
    <row r="48" spans="1:20" x14ac:dyDescent="0.15">
      <c r="D48" s="6"/>
      <c r="E48" s="6"/>
      <c r="H48" s="19">
        <v>46</v>
      </c>
      <c r="I48">
        <v>113039</v>
      </c>
      <c r="J48" t="s">
        <v>161</v>
      </c>
      <c r="K48">
        <v>126.69</v>
      </c>
      <c r="L48">
        <v>0.13270000000000001</v>
      </c>
      <c r="M48" s="6" t="str">
        <f t="shared" si="4"/>
        <v>Yes</v>
      </c>
      <c r="P48" s="19">
        <v>46</v>
      </c>
    </row>
    <row r="49" spans="4:16" x14ac:dyDescent="0.15">
      <c r="D49" s="6"/>
      <c r="E49" s="6"/>
      <c r="H49" s="19">
        <v>47</v>
      </c>
      <c r="I49">
        <v>113582</v>
      </c>
      <c r="J49" t="s">
        <v>1134</v>
      </c>
      <c r="K49">
        <v>174.5</v>
      </c>
      <c r="L49">
        <v>0.1341</v>
      </c>
      <c r="M49" s="6" t="str">
        <f t="shared" si="4"/>
        <v>未买</v>
      </c>
      <c r="P49" s="19">
        <v>47</v>
      </c>
    </row>
    <row r="50" spans="4:16" x14ac:dyDescent="0.15">
      <c r="D50" s="6"/>
      <c r="E50" s="6"/>
      <c r="H50" s="19">
        <v>48</v>
      </c>
      <c r="I50">
        <v>110074</v>
      </c>
      <c r="J50" t="s">
        <v>1181</v>
      </c>
      <c r="K50">
        <v>134.63</v>
      </c>
      <c r="L50">
        <v>0.1361</v>
      </c>
      <c r="M50" s="6" t="str">
        <f t="shared" si="4"/>
        <v>未买</v>
      </c>
      <c r="P50" s="19">
        <v>48</v>
      </c>
    </row>
    <row r="51" spans="4:16" x14ac:dyDescent="0.15">
      <c r="D51" s="6"/>
      <c r="E51" s="6"/>
      <c r="H51" s="19">
        <v>49</v>
      </c>
      <c r="I51">
        <v>127013</v>
      </c>
      <c r="J51" t="s">
        <v>311</v>
      </c>
      <c r="K51">
        <v>125.06</v>
      </c>
      <c r="L51">
        <v>0.13869999999999999</v>
      </c>
      <c r="M51" s="6" t="str">
        <f t="shared" si="4"/>
        <v>未买</v>
      </c>
      <c r="P51" s="19">
        <v>49</v>
      </c>
    </row>
    <row r="52" spans="4:16" x14ac:dyDescent="0.15">
      <c r="D52" s="6"/>
      <c r="E52" s="6"/>
      <c r="H52" s="19">
        <v>50</v>
      </c>
      <c r="I52">
        <v>113630</v>
      </c>
      <c r="J52" t="s">
        <v>306</v>
      </c>
      <c r="K52">
        <v>123.9</v>
      </c>
      <c r="L52">
        <v>0.15029999999999999</v>
      </c>
      <c r="M52" s="6" t="str">
        <f t="shared" si="4"/>
        <v>未买</v>
      </c>
      <c r="P52" s="19">
        <v>50</v>
      </c>
    </row>
    <row r="53" spans="4:16" x14ac:dyDescent="0.15">
      <c r="D53" s="6"/>
      <c r="E53" s="6"/>
      <c r="H53" s="19">
        <v>51</v>
      </c>
      <c r="I53">
        <v>113637</v>
      </c>
      <c r="J53" t="s">
        <v>423</v>
      </c>
      <c r="K53">
        <v>125.52</v>
      </c>
      <c r="L53">
        <v>0.1507</v>
      </c>
      <c r="M53" s="6" t="str">
        <f t="shared" si="4"/>
        <v>未买</v>
      </c>
      <c r="P53" s="19">
        <v>51</v>
      </c>
    </row>
    <row r="54" spans="4:16" x14ac:dyDescent="0.15">
      <c r="D54" s="6"/>
      <c r="E54" s="6"/>
      <c r="H54" s="19">
        <v>52</v>
      </c>
      <c r="I54">
        <v>123063</v>
      </c>
      <c r="J54" t="s">
        <v>207</v>
      </c>
      <c r="K54">
        <v>123.5</v>
      </c>
      <c r="L54">
        <v>0.15190000000000001</v>
      </c>
      <c r="M54" s="6" t="str">
        <f t="shared" si="4"/>
        <v>未买</v>
      </c>
      <c r="P54" s="19">
        <v>52</v>
      </c>
    </row>
    <row r="55" spans="4:16" x14ac:dyDescent="0.15">
      <c r="D55" s="6"/>
      <c r="E55" s="6"/>
      <c r="H55" s="19">
        <v>53</v>
      </c>
      <c r="I55">
        <v>128087</v>
      </c>
      <c r="J55" t="s">
        <v>239</v>
      </c>
      <c r="K55">
        <v>115.19</v>
      </c>
      <c r="L55">
        <v>0.15190000000000001</v>
      </c>
      <c r="M55" s="6" t="str">
        <f t="shared" si="4"/>
        <v>未买</v>
      </c>
      <c r="P55" s="19">
        <v>53</v>
      </c>
    </row>
    <row r="56" spans="4:16" x14ac:dyDescent="0.15">
      <c r="D56" s="6"/>
      <c r="E56" s="6"/>
      <c r="H56" s="19">
        <v>54</v>
      </c>
      <c r="I56">
        <v>113030</v>
      </c>
      <c r="J56" t="s">
        <v>212</v>
      </c>
      <c r="K56">
        <v>124.82</v>
      </c>
      <c r="L56">
        <v>0.1696</v>
      </c>
      <c r="M56" s="6" t="str">
        <f t="shared" si="4"/>
        <v>未买</v>
      </c>
      <c r="P56" s="19">
        <v>54</v>
      </c>
    </row>
    <row r="57" spans="4:16" x14ac:dyDescent="0.15">
      <c r="D57" s="6"/>
      <c r="E57" s="6"/>
      <c r="H57" s="19">
        <v>55</v>
      </c>
      <c r="I57">
        <v>113591</v>
      </c>
      <c r="J57" t="s">
        <v>157</v>
      </c>
      <c r="K57">
        <v>114.29</v>
      </c>
      <c r="L57">
        <v>0.1696</v>
      </c>
      <c r="M57" s="6" t="str">
        <f t="shared" si="4"/>
        <v>Yes</v>
      </c>
      <c r="P57" s="19">
        <v>55</v>
      </c>
    </row>
    <row r="58" spans="4:16" x14ac:dyDescent="0.15">
      <c r="D58" s="6"/>
      <c r="E58" s="6"/>
      <c r="H58" s="19">
        <v>56</v>
      </c>
      <c r="I58">
        <v>127003</v>
      </c>
      <c r="J58" t="s">
        <v>169</v>
      </c>
      <c r="K58">
        <v>110.203</v>
      </c>
      <c r="L58">
        <v>0.1726</v>
      </c>
      <c r="M58" s="6" t="str">
        <f t="shared" si="4"/>
        <v>Yes</v>
      </c>
      <c r="P58" s="19">
        <v>56</v>
      </c>
    </row>
    <row r="59" spans="4:16" x14ac:dyDescent="0.15">
      <c r="D59" s="6"/>
      <c r="E59" s="6"/>
      <c r="H59" s="19">
        <v>57</v>
      </c>
      <c r="I59">
        <v>113545</v>
      </c>
      <c r="J59" t="s">
        <v>201</v>
      </c>
      <c r="K59">
        <v>121.32</v>
      </c>
      <c r="L59">
        <v>0.17269999999999999</v>
      </c>
      <c r="M59" s="6" t="str">
        <f t="shared" si="4"/>
        <v>未买</v>
      </c>
      <c r="P59" s="19">
        <v>57</v>
      </c>
    </row>
    <row r="60" spans="4:16" x14ac:dyDescent="0.15">
      <c r="D60" s="6"/>
      <c r="E60" s="6"/>
      <c r="H60" s="19">
        <v>58</v>
      </c>
      <c r="I60">
        <v>123098</v>
      </c>
      <c r="J60" t="s">
        <v>1138</v>
      </c>
      <c r="K60">
        <v>121.999</v>
      </c>
      <c r="L60">
        <v>0.1739</v>
      </c>
      <c r="M60" s="6" t="str">
        <f t="shared" si="4"/>
        <v>未买</v>
      </c>
      <c r="P60" s="19">
        <v>58</v>
      </c>
    </row>
    <row r="61" spans="4:16" x14ac:dyDescent="0.15">
      <c r="D61" s="6"/>
      <c r="E61" s="6"/>
      <c r="H61" s="19">
        <v>59</v>
      </c>
      <c r="I61">
        <v>123052</v>
      </c>
      <c r="J61" t="s">
        <v>1130</v>
      </c>
      <c r="K61">
        <v>129.00299999999999</v>
      </c>
      <c r="L61">
        <v>0.1827</v>
      </c>
      <c r="M61" s="6" t="str">
        <f t="shared" si="4"/>
        <v>Yes</v>
      </c>
      <c r="P61" s="19">
        <v>59</v>
      </c>
    </row>
    <row r="62" spans="4:16" x14ac:dyDescent="0.15">
      <c r="D62" s="6"/>
      <c r="E62" s="6"/>
      <c r="H62" s="19">
        <v>60</v>
      </c>
      <c r="I62">
        <v>128119</v>
      </c>
      <c r="J62" t="s">
        <v>364</v>
      </c>
      <c r="K62">
        <v>121.77800000000001</v>
      </c>
      <c r="L62">
        <v>0.18340000000000001</v>
      </c>
      <c r="M62" s="6" t="str">
        <f t="shared" si="4"/>
        <v>未买</v>
      </c>
      <c r="P62" s="19">
        <v>60</v>
      </c>
    </row>
    <row r="63" spans="4:16" x14ac:dyDescent="0.15">
      <c r="D63" s="6"/>
      <c r="E63" s="6"/>
      <c r="H63" s="19">
        <v>61</v>
      </c>
      <c r="I63">
        <v>123067</v>
      </c>
      <c r="J63" t="s">
        <v>1132</v>
      </c>
      <c r="K63">
        <v>133</v>
      </c>
      <c r="L63">
        <v>0.18559999999999999</v>
      </c>
      <c r="M63" s="6" t="str">
        <f t="shared" si="4"/>
        <v>Yes</v>
      </c>
      <c r="P63" s="19">
        <v>61</v>
      </c>
    </row>
    <row r="64" spans="4:16" x14ac:dyDescent="0.15">
      <c r="D64" s="6"/>
      <c r="E64" s="6"/>
      <c r="H64" s="19">
        <v>62</v>
      </c>
      <c r="I64">
        <v>128085</v>
      </c>
      <c r="J64" t="s">
        <v>1176</v>
      </c>
      <c r="K64">
        <v>113.431</v>
      </c>
      <c r="L64">
        <v>0.18590000000000001</v>
      </c>
      <c r="M64" s="6" t="str">
        <f t="shared" si="4"/>
        <v>Yes</v>
      </c>
      <c r="P64" s="19">
        <v>62</v>
      </c>
    </row>
    <row r="65" spans="4:16" x14ac:dyDescent="0.15">
      <c r="D65" s="6"/>
      <c r="E65" s="6"/>
      <c r="H65" s="19">
        <v>63</v>
      </c>
      <c r="I65">
        <v>113618</v>
      </c>
      <c r="J65" t="s">
        <v>1186</v>
      </c>
      <c r="K65">
        <v>158.5</v>
      </c>
      <c r="L65">
        <v>0.19189999999999999</v>
      </c>
      <c r="M65" s="6" t="str">
        <f t="shared" si="4"/>
        <v>未买</v>
      </c>
      <c r="P65" s="19">
        <v>63</v>
      </c>
    </row>
    <row r="66" spans="4:16" x14ac:dyDescent="0.15">
      <c r="D66" s="6"/>
      <c r="E66" s="6"/>
      <c r="H66" s="19">
        <v>64</v>
      </c>
      <c r="I66">
        <v>123105</v>
      </c>
      <c r="J66" t="s">
        <v>352</v>
      </c>
      <c r="K66">
        <v>123.53</v>
      </c>
      <c r="L66">
        <v>0.19220000000000001</v>
      </c>
      <c r="M66" s="6" t="str">
        <f t="shared" si="4"/>
        <v>未买</v>
      </c>
      <c r="P66" s="19">
        <v>64</v>
      </c>
    </row>
    <row r="67" spans="4:16" x14ac:dyDescent="0.15">
      <c r="D67" s="6"/>
      <c r="E67" s="6"/>
      <c r="H67" s="19">
        <v>65</v>
      </c>
      <c r="I67">
        <v>110055</v>
      </c>
      <c r="J67" t="s">
        <v>1183</v>
      </c>
      <c r="K67">
        <v>201.95</v>
      </c>
      <c r="L67">
        <v>0.19339999999999999</v>
      </c>
      <c r="M67" s="6" t="str">
        <f t="shared" si="4"/>
        <v>未买</v>
      </c>
      <c r="P67" s="19">
        <v>65</v>
      </c>
    </row>
    <row r="68" spans="4:16" x14ac:dyDescent="0.15">
      <c r="D68" s="6"/>
      <c r="E68" s="6"/>
      <c r="H68" s="19">
        <v>66</v>
      </c>
      <c r="I68">
        <v>128091</v>
      </c>
      <c r="J68" t="s">
        <v>1127</v>
      </c>
      <c r="K68">
        <v>147.40100000000001</v>
      </c>
      <c r="L68">
        <v>0.19439999999999999</v>
      </c>
      <c r="M68" s="6" t="str">
        <f t="shared" ref="M68:M131" si="7">IF(ISNA(MATCH(I68,$A$3:$A$1000,0)),"未买","Yes")</f>
        <v>Yes</v>
      </c>
      <c r="P68" s="19">
        <v>66</v>
      </c>
    </row>
    <row r="69" spans="4:16" x14ac:dyDescent="0.15">
      <c r="D69" s="6"/>
      <c r="E69" s="6"/>
      <c r="H69" s="19">
        <v>67</v>
      </c>
      <c r="I69">
        <v>128021</v>
      </c>
      <c r="J69" t="s">
        <v>167</v>
      </c>
      <c r="K69">
        <v>122.524</v>
      </c>
      <c r="L69">
        <v>0.19980000000000001</v>
      </c>
      <c r="M69" s="6" t="str">
        <f t="shared" si="7"/>
        <v>未买</v>
      </c>
      <c r="P69" s="19">
        <v>67</v>
      </c>
    </row>
    <row r="70" spans="4:16" x14ac:dyDescent="0.15">
      <c r="D70" s="6"/>
      <c r="E70" s="6"/>
      <c r="H70" s="19">
        <v>68</v>
      </c>
      <c r="I70">
        <v>113570</v>
      </c>
      <c r="J70" t="s">
        <v>158</v>
      </c>
      <c r="K70">
        <v>120.8</v>
      </c>
      <c r="L70">
        <v>0.2016</v>
      </c>
      <c r="M70" s="6" t="str">
        <f t="shared" si="7"/>
        <v>Yes</v>
      </c>
      <c r="P70" s="19">
        <v>68</v>
      </c>
    </row>
    <row r="71" spans="4:16" x14ac:dyDescent="0.15">
      <c r="D71" s="6"/>
      <c r="E71" s="6"/>
      <c r="H71" s="19">
        <v>69</v>
      </c>
      <c r="I71">
        <v>123114</v>
      </c>
      <c r="J71" t="s">
        <v>1187</v>
      </c>
      <c r="K71">
        <v>133.29400000000001</v>
      </c>
      <c r="L71">
        <v>0.2084</v>
      </c>
      <c r="M71" s="6" t="str">
        <f t="shared" si="7"/>
        <v>未买</v>
      </c>
      <c r="P71" s="19">
        <v>69</v>
      </c>
    </row>
    <row r="72" spans="4:16" x14ac:dyDescent="0.15">
      <c r="D72" s="6"/>
      <c r="E72" s="6"/>
      <c r="H72" s="19">
        <v>70</v>
      </c>
      <c r="I72">
        <v>123080</v>
      </c>
      <c r="J72" t="s">
        <v>170</v>
      </c>
      <c r="K72">
        <v>121.197</v>
      </c>
      <c r="L72">
        <v>0.2099</v>
      </c>
      <c r="M72" s="6" t="str">
        <f t="shared" si="7"/>
        <v>Yes</v>
      </c>
      <c r="P72" s="19">
        <v>70</v>
      </c>
    </row>
    <row r="73" spans="4:16" x14ac:dyDescent="0.15">
      <c r="D73" s="6"/>
      <c r="E73" s="6"/>
      <c r="H73" s="19">
        <v>71</v>
      </c>
      <c r="I73">
        <v>123057</v>
      </c>
      <c r="J73" t="s">
        <v>1182</v>
      </c>
      <c r="K73">
        <v>126</v>
      </c>
      <c r="L73">
        <v>0.21029999999999999</v>
      </c>
      <c r="M73" s="6" t="str">
        <f t="shared" si="7"/>
        <v>Yes</v>
      </c>
      <c r="P73" s="19">
        <v>71</v>
      </c>
    </row>
    <row r="74" spans="4:16" x14ac:dyDescent="0.15">
      <c r="D74" s="6"/>
      <c r="E74" s="6"/>
      <c r="H74" s="19">
        <v>72</v>
      </c>
      <c r="I74">
        <v>128075</v>
      </c>
      <c r="J74" t="s">
        <v>243</v>
      </c>
      <c r="K74">
        <v>118.259</v>
      </c>
      <c r="L74">
        <v>0.21240000000000001</v>
      </c>
      <c r="M74" s="6" t="str">
        <f t="shared" si="7"/>
        <v>未买</v>
      </c>
      <c r="P74" s="19">
        <v>72</v>
      </c>
    </row>
    <row r="75" spans="4:16" x14ac:dyDescent="0.15">
      <c r="D75" s="6"/>
      <c r="E75" s="6"/>
      <c r="H75" s="19">
        <v>73</v>
      </c>
      <c r="I75">
        <v>113598</v>
      </c>
      <c r="J75" t="s">
        <v>218</v>
      </c>
      <c r="K75">
        <v>122.25</v>
      </c>
      <c r="L75">
        <v>0.21249999999999999</v>
      </c>
      <c r="M75" s="6" t="str">
        <f t="shared" si="7"/>
        <v>未买</v>
      </c>
      <c r="P75" s="19">
        <v>73</v>
      </c>
    </row>
    <row r="76" spans="4:16" x14ac:dyDescent="0.15">
      <c r="D76" s="6"/>
      <c r="E76" s="6"/>
      <c r="H76" s="19">
        <v>74</v>
      </c>
      <c r="I76">
        <v>127029</v>
      </c>
      <c r="J76" t="s">
        <v>1139</v>
      </c>
      <c r="K76">
        <v>120</v>
      </c>
      <c r="L76">
        <v>0.21260000000000001</v>
      </c>
      <c r="M76" s="6" t="str">
        <f t="shared" si="7"/>
        <v>未买</v>
      </c>
      <c r="P76" s="19">
        <v>74</v>
      </c>
    </row>
    <row r="77" spans="4:16" x14ac:dyDescent="0.15">
      <c r="D77" s="6"/>
      <c r="E77" s="6"/>
      <c r="H77" s="19">
        <v>75</v>
      </c>
      <c r="I77">
        <v>113599</v>
      </c>
      <c r="J77" t="s">
        <v>179</v>
      </c>
      <c r="K77">
        <v>121.69</v>
      </c>
      <c r="L77">
        <v>0.2162</v>
      </c>
      <c r="M77" s="6" t="str">
        <f t="shared" si="7"/>
        <v>未买</v>
      </c>
      <c r="P77" s="19">
        <v>75</v>
      </c>
    </row>
    <row r="78" spans="4:16" x14ac:dyDescent="0.15">
      <c r="D78" s="6"/>
      <c r="E78" s="6"/>
      <c r="H78" s="19">
        <v>76</v>
      </c>
      <c r="I78">
        <v>123027</v>
      </c>
      <c r="J78" t="s">
        <v>1137</v>
      </c>
      <c r="K78">
        <v>266.39999999999998</v>
      </c>
      <c r="L78">
        <v>0.22409999999999999</v>
      </c>
      <c r="M78" s="6" t="str">
        <f t="shared" si="7"/>
        <v>未买</v>
      </c>
      <c r="P78" s="19">
        <v>76</v>
      </c>
    </row>
    <row r="79" spans="4:16" x14ac:dyDescent="0.15">
      <c r="D79" s="6"/>
      <c r="E79" s="6"/>
      <c r="H79" s="19">
        <v>77</v>
      </c>
      <c r="I79">
        <v>111004</v>
      </c>
      <c r="J79" t="s">
        <v>1207</v>
      </c>
      <c r="K79">
        <v>100</v>
      </c>
      <c r="L79">
        <v>0.22639999999999999</v>
      </c>
      <c r="M79" s="6" t="str">
        <f t="shared" si="7"/>
        <v>未买</v>
      </c>
      <c r="P79" s="19">
        <v>77</v>
      </c>
    </row>
    <row r="80" spans="4:16" x14ac:dyDescent="0.15">
      <c r="D80" s="6"/>
      <c r="E80" s="6"/>
      <c r="H80" s="19">
        <v>78</v>
      </c>
      <c r="I80">
        <v>123130</v>
      </c>
      <c r="J80" t="s">
        <v>187</v>
      </c>
      <c r="K80">
        <v>137.93600000000001</v>
      </c>
      <c r="L80">
        <v>0.23119999999999999</v>
      </c>
      <c r="M80" s="6" t="str">
        <f t="shared" si="7"/>
        <v>未买</v>
      </c>
      <c r="P80" s="19">
        <v>78</v>
      </c>
    </row>
    <row r="81" spans="4:16" x14ac:dyDescent="0.15">
      <c r="D81" s="6"/>
      <c r="E81" s="6"/>
      <c r="H81" s="19">
        <v>79</v>
      </c>
      <c r="I81">
        <v>123022</v>
      </c>
      <c r="J81" t="s">
        <v>1185</v>
      </c>
      <c r="K81">
        <v>133.14599999999999</v>
      </c>
      <c r="L81">
        <v>0.23930000000000001</v>
      </c>
      <c r="M81" s="6" t="str">
        <f t="shared" si="7"/>
        <v>未买</v>
      </c>
      <c r="P81" s="19">
        <v>79</v>
      </c>
    </row>
    <row r="82" spans="4:16" x14ac:dyDescent="0.15">
      <c r="D82" s="6"/>
      <c r="E82" s="6"/>
      <c r="H82" s="19">
        <v>80</v>
      </c>
      <c r="I82">
        <v>111000</v>
      </c>
      <c r="J82" t="s">
        <v>200</v>
      </c>
      <c r="K82">
        <v>116.66</v>
      </c>
      <c r="L82">
        <v>0.24329999999999999</v>
      </c>
      <c r="M82" s="6" t="str">
        <f t="shared" si="7"/>
        <v>未买</v>
      </c>
      <c r="P82" s="19">
        <v>80</v>
      </c>
    </row>
    <row r="83" spans="4:16" x14ac:dyDescent="0.15">
      <c r="D83" s="6"/>
      <c r="E83" s="6"/>
      <c r="H83" s="19">
        <v>81</v>
      </c>
      <c r="I83">
        <v>123045</v>
      </c>
      <c r="J83" t="s">
        <v>227</v>
      </c>
      <c r="K83">
        <v>131.51</v>
      </c>
      <c r="L83">
        <v>0.24529999999999999</v>
      </c>
      <c r="M83" s="6" t="str">
        <f t="shared" si="7"/>
        <v>Yes</v>
      </c>
      <c r="P83" s="19">
        <v>81</v>
      </c>
    </row>
    <row r="84" spans="4:16" x14ac:dyDescent="0.15">
      <c r="D84" s="6"/>
      <c r="E84" s="6"/>
      <c r="H84" s="19">
        <v>82</v>
      </c>
      <c r="I84">
        <v>123097</v>
      </c>
      <c r="J84" t="s">
        <v>244</v>
      </c>
      <c r="K84">
        <v>116.63</v>
      </c>
      <c r="L84">
        <v>0.2455</v>
      </c>
      <c r="M84" s="6" t="str">
        <f t="shared" si="7"/>
        <v>未买</v>
      </c>
      <c r="P84" s="19">
        <v>82</v>
      </c>
    </row>
    <row r="85" spans="4:16" x14ac:dyDescent="0.15">
      <c r="D85" s="6"/>
      <c r="E85" s="6"/>
      <c r="H85" s="19">
        <v>83</v>
      </c>
      <c r="I85">
        <v>127042</v>
      </c>
      <c r="J85" t="s">
        <v>209</v>
      </c>
      <c r="K85">
        <v>111.49</v>
      </c>
      <c r="L85">
        <v>0.2482</v>
      </c>
      <c r="M85" s="6" t="str">
        <f t="shared" si="7"/>
        <v>未买</v>
      </c>
      <c r="P85" s="19">
        <v>83</v>
      </c>
    </row>
    <row r="86" spans="4:16" x14ac:dyDescent="0.15">
      <c r="D86" s="6"/>
      <c r="E86" s="6"/>
      <c r="H86" s="19">
        <v>84</v>
      </c>
      <c r="I86">
        <v>123112</v>
      </c>
      <c r="J86" t="s">
        <v>245</v>
      </c>
      <c r="K86">
        <v>118.976</v>
      </c>
      <c r="L86">
        <v>0.25440000000000002</v>
      </c>
      <c r="M86" s="6" t="str">
        <f t="shared" si="7"/>
        <v>未买</v>
      </c>
      <c r="P86" s="19">
        <v>84</v>
      </c>
    </row>
    <row r="87" spans="4:16" x14ac:dyDescent="0.15">
      <c r="D87" s="6"/>
      <c r="E87" s="6"/>
      <c r="H87" s="19">
        <v>85</v>
      </c>
      <c r="I87">
        <v>123127</v>
      </c>
      <c r="J87" t="s">
        <v>233</v>
      </c>
      <c r="K87">
        <v>119.01600000000001</v>
      </c>
      <c r="L87">
        <v>0.25530000000000003</v>
      </c>
      <c r="M87" s="6" t="str">
        <f t="shared" si="7"/>
        <v>未买</v>
      </c>
      <c r="P87" s="19">
        <v>85</v>
      </c>
    </row>
    <row r="88" spans="4:16" x14ac:dyDescent="0.15">
      <c r="D88" s="6"/>
      <c r="E88" s="6"/>
      <c r="H88" s="19">
        <v>86</v>
      </c>
      <c r="I88">
        <v>110038</v>
      </c>
      <c r="J88" t="s">
        <v>219</v>
      </c>
      <c r="K88">
        <v>122.64</v>
      </c>
      <c r="L88">
        <v>0.2576</v>
      </c>
      <c r="M88" s="6" t="str">
        <f t="shared" si="7"/>
        <v>未买</v>
      </c>
      <c r="P88" s="19">
        <v>86</v>
      </c>
    </row>
    <row r="89" spans="4:16" x14ac:dyDescent="0.15">
      <c r="D89" s="6"/>
      <c r="E89" s="6"/>
      <c r="H89" s="19">
        <v>87</v>
      </c>
      <c r="I89">
        <v>128044</v>
      </c>
      <c r="J89" t="s">
        <v>249</v>
      </c>
      <c r="K89">
        <v>113.934</v>
      </c>
      <c r="L89">
        <v>0.2606</v>
      </c>
      <c r="M89" s="6" t="str">
        <f t="shared" si="7"/>
        <v>未买</v>
      </c>
      <c r="P89" s="19">
        <v>87</v>
      </c>
    </row>
    <row r="90" spans="4:16" x14ac:dyDescent="0.15">
      <c r="D90" s="6"/>
      <c r="E90" s="6"/>
      <c r="H90" s="19">
        <v>88</v>
      </c>
      <c r="I90">
        <v>128082</v>
      </c>
      <c r="J90" t="s">
        <v>1188</v>
      </c>
      <c r="K90">
        <v>141</v>
      </c>
      <c r="L90">
        <v>0.26090000000000002</v>
      </c>
      <c r="M90" s="6" t="str">
        <f t="shared" si="7"/>
        <v>未买</v>
      </c>
      <c r="P90" s="19">
        <v>88</v>
      </c>
    </row>
    <row r="91" spans="4:16" x14ac:dyDescent="0.15">
      <c r="D91" s="6"/>
      <c r="E91" s="6"/>
      <c r="H91" s="19">
        <v>89</v>
      </c>
      <c r="I91">
        <v>113634</v>
      </c>
      <c r="J91" t="s">
        <v>370</v>
      </c>
      <c r="K91">
        <v>124.83</v>
      </c>
      <c r="L91">
        <v>0.26250000000000001</v>
      </c>
      <c r="M91" s="6" t="str">
        <f t="shared" si="7"/>
        <v>未买</v>
      </c>
      <c r="P91" s="19">
        <v>89</v>
      </c>
    </row>
    <row r="92" spans="4:16" x14ac:dyDescent="0.15">
      <c r="D92" s="6"/>
      <c r="E92" s="6"/>
      <c r="H92" s="19">
        <v>90</v>
      </c>
      <c r="I92">
        <v>110070</v>
      </c>
      <c r="J92" t="s">
        <v>205</v>
      </c>
      <c r="K92">
        <v>122.53</v>
      </c>
      <c r="L92">
        <v>0.26290000000000002</v>
      </c>
      <c r="M92" s="6" t="str">
        <f t="shared" si="7"/>
        <v>未买</v>
      </c>
      <c r="P92" s="19">
        <v>90</v>
      </c>
    </row>
    <row r="93" spans="4:16" x14ac:dyDescent="0.15">
      <c r="D93" s="6"/>
      <c r="E93" s="6"/>
      <c r="H93" s="19">
        <v>91</v>
      </c>
      <c r="I93">
        <v>128037</v>
      </c>
      <c r="J93" t="s">
        <v>189</v>
      </c>
      <c r="K93">
        <v>112.571</v>
      </c>
      <c r="L93">
        <v>0.26440000000000002</v>
      </c>
      <c r="M93" s="6" t="str">
        <f t="shared" si="7"/>
        <v>Yes</v>
      </c>
      <c r="P93" s="19">
        <v>91</v>
      </c>
    </row>
    <row r="94" spans="4:16" x14ac:dyDescent="0.15">
      <c r="D94" s="6"/>
      <c r="E94" s="6"/>
      <c r="H94" s="19">
        <v>92</v>
      </c>
      <c r="I94">
        <v>128066</v>
      </c>
      <c r="J94" t="s">
        <v>215</v>
      </c>
      <c r="K94">
        <v>112.27800000000001</v>
      </c>
      <c r="L94">
        <v>0.26469999999999999</v>
      </c>
      <c r="M94" s="6" t="str">
        <f t="shared" si="7"/>
        <v>Yes</v>
      </c>
      <c r="P94" s="19">
        <v>92</v>
      </c>
    </row>
    <row r="95" spans="4:16" x14ac:dyDescent="0.15">
      <c r="D95" s="6"/>
      <c r="E95" s="6"/>
      <c r="H95" s="19">
        <v>93</v>
      </c>
      <c r="I95">
        <v>128121</v>
      </c>
      <c r="J95" t="s">
        <v>163</v>
      </c>
      <c r="K95">
        <v>116.73</v>
      </c>
      <c r="L95">
        <v>0.27579999999999999</v>
      </c>
      <c r="M95" s="6" t="str">
        <f t="shared" si="7"/>
        <v>未买</v>
      </c>
      <c r="P95" s="19">
        <v>93</v>
      </c>
    </row>
    <row r="96" spans="4:16" x14ac:dyDescent="0.15">
      <c r="D96" s="6"/>
      <c r="E96" s="6"/>
      <c r="H96" s="19">
        <v>94</v>
      </c>
      <c r="I96">
        <v>113631</v>
      </c>
      <c r="J96" t="s">
        <v>342</v>
      </c>
      <c r="K96">
        <v>112.88</v>
      </c>
      <c r="L96">
        <v>0.27689999999999998</v>
      </c>
      <c r="M96" s="6" t="str">
        <f t="shared" si="7"/>
        <v>未买</v>
      </c>
      <c r="P96" s="19">
        <v>94</v>
      </c>
    </row>
    <row r="97" spans="4:16" x14ac:dyDescent="0.15">
      <c r="D97" s="6"/>
      <c r="E97" s="6"/>
      <c r="H97" s="19">
        <v>95</v>
      </c>
      <c r="I97">
        <v>128144</v>
      </c>
      <c r="J97" t="s">
        <v>345</v>
      </c>
      <c r="K97">
        <v>118.7</v>
      </c>
      <c r="L97">
        <v>0.27689999999999998</v>
      </c>
      <c r="M97" s="6" t="str">
        <f t="shared" si="7"/>
        <v>未买</v>
      </c>
      <c r="P97" s="19">
        <v>95</v>
      </c>
    </row>
    <row r="98" spans="4:16" x14ac:dyDescent="0.15">
      <c r="D98" s="6"/>
      <c r="E98" s="6"/>
      <c r="H98" s="19">
        <v>96</v>
      </c>
      <c r="I98">
        <v>127028</v>
      </c>
      <c r="J98" t="s">
        <v>178</v>
      </c>
      <c r="K98">
        <v>115</v>
      </c>
      <c r="L98">
        <v>0.27760000000000001</v>
      </c>
      <c r="M98" s="6" t="str">
        <f t="shared" si="7"/>
        <v>未买</v>
      </c>
      <c r="P98" s="19">
        <v>96</v>
      </c>
    </row>
    <row r="99" spans="4:16" x14ac:dyDescent="0.15">
      <c r="D99" s="6"/>
      <c r="E99" s="6"/>
      <c r="H99" s="19">
        <v>97</v>
      </c>
      <c r="I99">
        <v>123084</v>
      </c>
      <c r="J99" t="s">
        <v>231</v>
      </c>
      <c r="K99">
        <v>126.1</v>
      </c>
      <c r="L99">
        <v>0.27800000000000002</v>
      </c>
      <c r="M99" s="6" t="str">
        <f t="shared" si="7"/>
        <v>未买</v>
      </c>
      <c r="P99" s="19">
        <v>97</v>
      </c>
    </row>
    <row r="100" spans="4:16" x14ac:dyDescent="0.15">
      <c r="D100" s="6"/>
      <c r="E100" s="6"/>
      <c r="H100" s="19">
        <v>98</v>
      </c>
      <c r="I100">
        <v>128073</v>
      </c>
      <c r="J100" t="s">
        <v>214</v>
      </c>
      <c r="K100">
        <v>117.3</v>
      </c>
      <c r="L100">
        <v>0.27839999999999998</v>
      </c>
      <c r="M100" s="6" t="str">
        <f t="shared" si="7"/>
        <v>未买</v>
      </c>
      <c r="P100" s="19">
        <v>98</v>
      </c>
    </row>
    <row r="101" spans="4:16" x14ac:dyDescent="0.15">
      <c r="D101" s="6"/>
      <c r="E101" s="6"/>
      <c r="H101" s="19">
        <v>99</v>
      </c>
      <c r="I101">
        <v>113526</v>
      </c>
      <c r="J101" t="s">
        <v>262</v>
      </c>
      <c r="K101">
        <v>128.13</v>
      </c>
      <c r="L101">
        <v>0.28129999999999999</v>
      </c>
      <c r="M101" s="6" t="str">
        <f t="shared" si="7"/>
        <v>Yes</v>
      </c>
      <c r="P101" s="19">
        <v>99</v>
      </c>
    </row>
    <row r="102" spans="4:16" x14ac:dyDescent="0.15">
      <c r="H102" s="19">
        <v>100</v>
      </c>
      <c r="I102">
        <v>123048</v>
      </c>
      <c r="J102" t="s">
        <v>354</v>
      </c>
      <c r="K102">
        <v>123.678</v>
      </c>
      <c r="L102">
        <v>0.28599999999999998</v>
      </c>
      <c r="M102" s="6" t="str">
        <f t="shared" si="7"/>
        <v>未买</v>
      </c>
      <c r="P102" s="19">
        <v>100</v>
      </c>
    </row>
    <row r="103" spans="4:16" x14ac:dyDescent="0.15">
      <c r="H103" s="19">
        <v>101</v>
      </c>
      <c r="I103">
        <v>113527</v>
      </c>
      <c r="J103" t="s">
        <v>237</v>
      </c>
      <c r="K103">
        <v>123.52</v>
      </c>
      <c r="L103">
        <v>0.28799999999999998</v>
      </c>
      <c r="M103" s="6" t="str">
        <f t="shared" si="7"/>
        <v>未买</v>
      </c>
      <c r="P103" s="19">
        <v>101</v>
      </c>
    </row>
    <row r="104" spans="4:16" x14ac:dyDescent="0.15">
      <c r="H104" s="19">
        <v>102</v>
      </c>
      <c r="I104">
        <v>127014</v>
      </c>
      <c r="J104" t="s">
        <v>349</v>
      </c>
      <c r="K104">
        <v>120.521</v>
      </c>
      <c r="L104">
        <v>0.2888</v>
      </c>
      <c r="M104" s="6" t="str">
        <f t="shared" si="7"/>
        <v>未买</v>
      </c>
      <c r="P104" s="19">
        <v>102</v>
      </c>
    </row>
    <row r="105" spans="4:16" x14ac:dyDescent="0.15">
      <c r="H105" s="19">
        <v>103</v>
      </c>
      <c r="I105">
        <v>128127</v>
      </c>
      <c r="J105" t="s">
        <v>336</v>
      </c>
      <c r="K105">
        <v>107.652</v>
      </c>
      <c r="L105">
        <v>0.29389999999999999</v>
      </c>
      <c r="M105" s="6" t="str">
        <f t="shared" si="7"/>
        <v>未买</v>
      </c>
      <c r="P105" s="19">
        <v>103</v>
      </c>
    </row>
    <row r="106" spans="4:16" x14ac:dyDescent="0.15">
      <c r="H106" s="19">
        <v>104</v>
      </c>
      <c r="I106">
        <v>128076</v>
      </c>
      <c r="J106" t="s">
        <v>248</v>
      </c>
      <c r="K106">
        <v>118.10599999999999</v>
      </c>
      <c r="L106">
        <v>0.29699999999999999</v>
      </c>
      <c r="M106" s="6" t="str">
        <f t="shared" si="7"/>
        <v>Yes</v>
      </c>
      <c r="P106" s="19">
        <v>104</v>
      </c>
    </row>
    <row r="107" spans="4:16" x14ac:dyDescent="0.15">
      <c r="H107" s="19">
        <v>105</v>
      </c>
      <c r="I107">
        <v>123123</v>
      </c>
      <c r="J107" t="s">
        <v>314</v>
      </c>
      <c r="K107">
        <v>125.372</v>
      </c>
      <c r="L107">
        <v>0.3</v>
      </c>
      <c r="M107" s="6" t="str">
        <f t="shared" si="7"/>
        <v>未买</v>
      </c>
      <c r="P107" s="19">
        <v>105</v>
      </c>
    </row>
    <row r="108" spans="4:16" x14ac:dyDescent="0.15">
      <c r="H108" s="19">
        <v>106</v>
      </c>
      <c r="I108">
        <v>128025</v>
      </c>
      <c r="J108" t="s">
        <v>166</v>
      </c>
      <c r="K108">
        <v>118.7</v>
      </c>
      <c r="L108">
        <v>0.30630000000000002</v>
      </c>
      <c r="M108" s="6" t="str">
        <f t="shared" si="7"/>
        <v>Yes</v>
      </c>
      <c r="P108" s="19">
        <v>106</v>
      </c>
    </row>
    <row r="109" spans="4:16" x14ac:dyDescent="0.15">
      <c r="H109" s="19">
        <v>107</v>
      </c>
      <c r="I109">
        <v>128145</v>
      </c>
      <c r="J109" t="s">
        <v>223</v>
      </c>
      <c r="K109">
        <v>118.26</v>
      </c>
      <c r="L109">
        <v>0.31759999999999999</v>
      </c>
      <c r="M109" s="6" t="str">
        <f t="shared" si="7"/>
        <v>未买</v>
      </c>
      <c r="P109" s="19">
        <v>107</v>
      </c>
    </row>
    <row r="110" spans="4:16" x14ac:dyDescent="0.15">
      <c r="H110" s="19">
        <v>108</v>
      </c>
      <c r="I110">
        <v>113640</v>
      </c>
      <c r="J110" t="s">
        <v>1114</v>
      </c>
      <c r="K110">
        <v>113.1</v>
      </c>
      <c r="L110">
        <v>0.31780000000000003</v>
      </c>
      <c r="M110" s="6" t="str">
        <f t="shared" si="7"/>
        <v>未买</v>
      </c>
      <c r="P110" s="19">
        <v>108</v>
      </c>
    </row>
    <row r="111" spans="4:16" x14ac:dyDescent="0.15">
      <c r="H111" s="19">
        <v>109</v>
      </c>
      <c r="I111">
        <v>123035</v>
      </c>
      <c r="J111" t="s">
        <v>242</v>
      </c>
      <c r="K111">
        <v>118.383</v>
      </c>
      <c r="L111">
        <v>0.32040000000000002</v>
      </c>
      <c r="M111" s="6" t="str">
        <f t="shared" si="7"/>
        <v>未买</v>
      </c>
      <c r="P111" s="19">
        <v>109</v>
      </c>
    </row>
    <row r="112" spans="4:16" x14ac:dyDescent="0.15">
      <c r="H112" s="19">
        <v>110</v>
      </c>
      <c r="I112">
        <v>128097</v>
      </c>
      <c r="J112" t="s">
        <v>229</v>
      </c>
      <c r="K112">
        <v>116.875</v>
      </c>
      <c r="L112">
        <v>0.32279999999999998</v>
      </c>
      <c r="M112" s="6" t="str">
        <f t="shared" si="7"/>
        <v>未买</v>
      </c>
      <c r="P112" s="19">
        <v>110</v>
      </c>
    </row>
    <row r="113" spans="8:16" x14ac:dyDescent="0.15">
      <c r="H113" s="19">
        <v>111</v>
      </c>
      <c r="I113">
        <v>113565</v>
      </c>
      <c r="J113" t="s">
        <v>241</v>
      </c>
      <c r="K113">
        <v>118.15</v>
      </c>
      <c r="L113">
        <v>0.3236</v>
      </c>
      <c r="M113" s="6" t="str">
        <f t="shared" si="7"/>
        <v>Yes</v>
      </c>
      <c r="P113" s="19">
        <v>111</v>
      </c>
    </row>
    <row r="114" spans="8:16" x14ac:dyDescent="0.15">
      <c r="H114" s="19">
        <v>112</v>
      </c>
      <c r="I114">
        <v>128036</v>
      </c>
      <c r="J114" t="s">
        <v>300</v>
      </c>
      <c r="K114">
        <v>140.5</v>
      </c>
      <c r="L114">
        <v>0.32469999999999999</v>
      </c>
      <c r="M114" s="6" t="str">
        <f t="shared" si="7"/>
        <v>Yes</v>
      </c>
      <c r="P114" s="19">
        <v>112</v>
      </c>
    </row>
    <row r="115" spans="8:16" x14ac:dyDescent="0.15">
      <c r="H115" s="19">
        <v>113</v>
      </c>
      <c r="I115">
        <v>128071</v>
      </c>
      <c r="J115" t="s">
        <v>204</v>
      </c>
      <c r="K115">
        <v>113.56</v>
      </c>
      <c r="L115">
        <v>0.32590000000000002</v>
      </c>
      <c r="M115" s="6" t="str">
        <f t="shared" si="7"/>
        <v>未买</v>
      </c>
      <c r="P115" s="19">
        <v>113</v>
      </c>
    </row>
    <row r="116" spans="8:16" x14ac:dyDescent="0.15">
      <c r="H116" s="19">
        <v>114</v>
      </c>
      <c r="I116">
        <v>128053</v>
      </c>
      <c r="J116" t="s">
        <v>177</v>
      </c>
      <c r="K116">
        <v>121.05</v>
      </c>
      <c r="L116">
        <v>0.33050000000000002</v>
      </c>
      <c r="M116" s="6" t="str">
        <f t="shared" si="7"/>
        <v>Yes</v>
      </c>
      <c r="P116" s="19">
        <v>114</v>
      </c>
    </row>
    <row r="117" spans="8:16" x14ac:dyDescent="0.15">
      <c r="H117" s="19">
        <v>115</v>
      </c>
      <c r="I117">
        <v>123002</v>
      </c>
      <c r="J117" t="s">
        <v>197</v>
      </c>
      <c r="K117">
        <v>114.505</v>
      </c>
      <c r="L117">
        <v>0.33139999999999997</v>
      </c>
      <c r="M117" s="6" t="str">
        <f t="shared" si="7"/>
        <v>未买</v>
      </c>
      <c r="P117" s="19">
        <v>115</v>
      </c>
    </row>
    <row r="118" spans="8:16" x14ac:dyDescent="0.15">
      <c r="H118" s="19">
        <v>116</v>
      </c>
      <c r="I118">
        <v>127035</v>
      </c>
      <c r="J118" t="s">
        <v>346</v>
      </c>
      <c r="K118">
        <v>110.71</v>
      </c>
      <c r="L118">
        <v>0.33639999999999998</v>
      </c>
      <c r="M118" s="6" t="str">
        <f t="shared" si="7"/>
        <v>未买</v>
      </c>
      <c r="P118" s="19">
        <v>116</v>
      </c>
    </row>
    <row r="119" spans="8:16" x14ac:dyDescent="0.15">
      <c r="H119" s="19">
        <v>117</v>
      </c>
      <c r="I119">
        <v>113628</v>
      </c>
      <c r="J119" t="s">
        <v>347</v>
      </c>
      <c r="K119">
        <v>108.22</v>
      </c>
      <c r="L119">
        <v>0.33710000000000001</v>
      </c>
      <c r="M119" s="6" t="str">
        <f t="shared" si="7"/>
        <v>未买</v>
      </c>
      <c r="P119" s="19">
        <v>117</v>
      </c>
    </row>
    <row r="120" spans="8:16" x14ac:dyDescent="0.15">
      <c r="H120" s="19">
        <v>118</v>
      </c>
      <c r="I120">
        <v>113549</v>
      </c>
      <c r="J120" t="s">
        <v>216</v>
      </c>
      <c r="K120">
        <v>111.48</v>
      </c>
      <c r="L120">
        <v>0.34489999999999998</v>
      </c>
      <c r="M120" s="6" t="str">
        <f t="shared" si="7"/>
        <v>未买</v>
      </c>
      <c r="P120" s="19">
        <v>118</v>
      </c>
    </row>
    <row r="121" spans="8:16" x14ac:dyDescent="0.15">
      <c r="H121" s="19">
        <v>119</v>
      </c>
      <c r="I121">
        <v>123100</v>
      </c>
      <c r="J121" t="s">
        <v>221</v>
      </c>
      <c r="K121">
        <v>115.164</v>
      </c>
      <c r="L121">
        <v>0.34510000000000002</v>
      </c>
      <c r="M121" s="6" t="str">
        <f t="shared" si="7"/>
        <v>未买</v>
      </c>
      <c r="P121" s="19">
        <v>119</v>
      </c>
    </row>
    <row r="122" spans="8:16" x14ac:dyDescent="0.15">
      <c r="H122" s="19">
        <v>120</v>
      </c>
      <c r="I122">
        <v>123121</v>
      </c>
      <c r="J122" t="s">
        <v>355</v>
      </c>
      <c r="K122">
        <v>129.4</v>
      </c>
      <c r="L122">
        <v>0.3468</v>
      </c>
      <c r="M122" s="6" t="str">
        <f t="shared" si="7"/>
        <v>未买</v>
      </c>
      <c r="P122" s="19">
        <v>120</v>
      </c>
    </row>
    <row r="123" spans="8:16" x14ac:dyDescent="0.15">
      <c r="H123" s="19">
        <v>121</v>
      </c>
      <c r="I123">
        <v>111001</v>
      </c>
      <c r="J123" t="s">
        <v>341</v>
      </c>
      <c r="K123">
        <v>115.42</v>
      </c>
      <c r="L123">
        <v>0.34689999999999999</v>
      </c>
      <c r="M123" s="6" t="str">
        <f t="shared" si="7"/>
        <v>未买</v>
      </c>
      <c r="P123" s="19">
        <v>121</v>
      </c>
    </row>
    <row r="124" spans="8:16" x14ac:dyDescent="0.15">
      <c r="H124" s="19">
        <v>122</v>
      </c>
      <c r="I124">
        <v>110060</v>
      </c>
      <c r="J124" t="s">
        <v>333</v>
      </c>
      <c r="K124">
        <v>111.37</v>
      </c>
      <c r="L124">
        <v>0.35249999999999998</v>
      </c>
      <c r="M124" s="6" t="str">
        <f t="shared" si="7"/>
        <v>未买</v>
      </c>
      <c r="P124" s="19">
        <v>122</v>
      </c>
    </row>
    <row r="125" spans="8:16" x14ac:dyDescent="0.15">
      <c r="H125" s="19">
        <v>123</v>
      </c>
      <c r="I125">
        <v>127031</v>
      </c>
      <c r="J125" t="s">
        <v>305</v>
      </c>
      <c r="K125">
        <v>123.929</v>
      </c>
      <c r="L125">
        <v>0.35360000000000003</v>
      </c>
      <c r="M125" s="6" t="str">
        <f t="shared" si="7"/>
        <v>未买</v>
      </c>
      <c r="P125" s="19">
        <v>123</v>
      </c>
    </row>
    <row r="126" spans="8:16" x14ac:dyDescent="0.15">
      <c r="H126" s="19">
        <v>124</v>
      </c>
      <c r="I126">
        <v>123082</v>
      </c>
      <c r="J126" t="s">
        <v>191</v>
      </c>
      <c r="K126">
        <v>112.693</v>
      </c>
      <c r="L126">
        <v>0.35630000000000001</v>
      </c>
      <c r="M126" s="6" t="str">
        <f t="shared" si="7"/>
        <v>未买</v>
      </c>
      <c r="P126" s="19">
        <v>124</v>
      </c>
    </row>
    <row r="127" spans="8:16" x14ac:dyDescent="0.15">
      <c r="H127" s="19">
        <v>125</v>
      </c>
      <c r="I127">
        <v>123091</v>
      </c>
      <c r="J127" t="s">
        <v>362</v>
      </c>
      <c r="K127">
        <v>119</v>
      </c>
      <c r="L127">
        <v>0.3574</v>
      </c>
      <c r="M127" s="6" t="str">
        <f t="shared" si="7"/>
        <v>未买</v>
      </c>
      <c r="P127" s="19">
        <v>125</v>
      </c>
    </row>
    <row r="128" spans="8:16" x14ac:dyDescent="0.15">
      <c r="H128" s="19">
        <v>126</v>
      </c>
      <c r="I128">
        <v>128030</v>
      </c>
      <c r="J128" t="s">
        <v>1189</v>
      </c>
      <c r="K128">
        <v>195.55500000000001</v>
      </c>
      <c r="L128">
        <v>0.35749999999999998</v>
      </c>
      <c r="M128" s="6" t="str">
        <f t="shared" si="7"/>
        <v>未买</v>
      </c>
      <c r="P128" s="19">
        <v>126</v>
      </c>
    </row>
    <row r="129" spans="8:16" x14ac:dyDescent="0.15">
      <c r="H129" s="19">
        <v>127</v>
      </c>
      <c r="I129">
        <v>123120</v>
      </c>
      <c r="J129" t="s">
        <v>357</v>
      </c>
      <c r="K129">
        <v>116.658</v>
      </c>
      <c r="L129">
        <v>0.3634</v>
      </c>
      <c r="M129" s="6" t="str">
        <f t="shared" si="7"/>
        <v>未买</v>
      </c>
      <c r="P129" s="19">
        <v>127</v>
      </c>
    </row>
    <row r="130" spans="8:16" x14ac:dyDescent="0.15">
      <c r="H130" s="19">
        <v>128</v>
      </c>
      <c r="I130">
        <v>113532</v>
      </c>
      <c r="J130" t="s">
        <v>320</v>
      </c>
      <c r="K130">
        <v>111.53</v>
      </c>
      <c r="L130">
        <v>0.3659</v>
      </c>
      <c r="M130" s="6" t="str">
        <f t="shared" si="7"/>
        <v>未买</v>
      </c>
      <c r="P130" s="19">
        <v>128</v>
      </c>
    </row>
    <row r="131" spans="8:16" x14ac:dyDescent="0.15">
      <c r="H131" s="19">
        <v>129</v>
      </c>
      <c r="I131">
        <v>118000</v>
      </c>
      <c r="J131" t="s">
        <v>1191</v>
      </c>
      <c r="K131">
        <v>123.57</v>
      </c>
      <c r="L131">
        <v>0.37269999999999998</v>
      </c>
      <c r="M131" s="6" t="str">
        <f t="shared" si="7"/>
        <v>未买</v>
      </c>
      <c r="P131" s="19">
        <v>129</v>
      </c>
    </row>
    <row r="132" spans="8:16" x14ac:dyDescent="0.15">
      <c r="H132" s="19">
        <v>130</v>
      </c>
      <c r="I132">
        <v>127017</v>
      </c>
      <c r="J132" t="s">
        <v>315</v>
      </c>
      <c r="K132">
        <v>119.6</v>
      </c>
      <c r="L132">
        <v>0.37709999999999999</v>
      </c>
      <c r="M132" s="6" t="str">
        <f t="shared" ref="M132:M195" si="8">IF(ISNA(MATCH(I132,$A$3:$A$1000,0)),"未买","Yes")</f>
        <v>未买</v>
      </c>
      <c r="P132" s="19">
        <v>130</v>
      </c>
    </row>
    <row r="133" spans="8:16" x14ac:dyDescent="0.15">
      <c r="H133" s="19">
        <v>131</v>
      </c>
      <c r="I133">
        <v>128133</v>
      </c>
      <c r="J133" t="s">
        <v>344</v>
      </c>
      <c r="K133">
        <v>111.852</v>
      </c>
      <c r="L133">
        <v>0.38030000000000003</v>
      </c>
      <c r="M133" s="6" t="str">
        <f t="shared" si="8"/>
        <v>未买</v>
      </c>
      <c r="P133" s="19">
        <v>131</v>
      </c>
    </row>
    <row r="134" spans="8:16" x14ac:dyDescent="0.15">
      <c r="H134" s="19">
        <v>132</v>
      </c>
      <c r="I134">
        <v>128042</v>
      </c>
      <c r="J134" t="s">
        <v>325</v>
      </c>
      <c r="K134">
        <v>114.301</v>
      </c>
      <c r="L134">
        <v>0.38450000000000001</v>
      </c>
      <c r="M134" s="6" t="str">
        <f t="shared" si="8"/>
        <v>未买</v>
      </c>
      <c r="P134" s="19">
        <v>132</v>
      </c>
    </row>
    <row r="135" spans="8:16" x14ac:dyDescent="0.15">
      <c r="H135" s="19">
        <v>133</v>
      </c>
      <c r="I135">
        <v>113546</v>
      </c>
      <c r="J135" t="s">
        <v>203</v>
      </c>
      <c r="K135">
        <v>116.56</v>
      </c>
      <c r="L135">
        <v>0.39</v>
      </c>
      <c r="M135" s="6" t="str">
        <f t="shared" si="8"/>
        <v>未买</v>
      </c>
      <c r="P135" s="19">
        <v>133</v>
      </c>
    </row>
    <row r="136" spans="8:16" x14ac:dyDescent="0.15">
      <c r="H136" s="19">
        <v>134</v>
      </c>
      <c r="I136">
        <v>113636</v>
      </c>
      <c r="J136" t="s">
        <v>369</v>
      </c>
      <c r="K136">
        <v>120.11</v>
      </c>
      <c r="L136">
        <v>0.39240000000000003</v>
      </c>
      <c r="M136" s="6" t="str">
        <f t="shared" si="8"/>
        <v>未买</v>
      </c>
      <c r="P136" s="19">
        <v>134</v>
      </c>
    </row>
    <row r="137" spans="8:16" x14ac:dyDescent="0.15">
      <c r="H137" s="19">
        <v>135</v>
      </c>
      <c r="I137">
        <v>128078</v>
      </c>
      <c r="J137" t="s">
        <v>1190</v>
      </c>
      <c r="K137">
        <v>117.09</v>
      </c>
      <c r="L137">
        <v>0.3982</v>
      </c>
      <c r="M137" s="6" t="str">
        <f t="shared" si="8"/>
        <v>未买</v>
      </c>
      <c r="P137" s="19">
        <v>135</v>
      </c>
    </row>
    <row r="138" spans="8:16" x14ac:dyDescent="0.15">
      <c r="H138" s="19">
        <v>136</v>
      </c>
      <c r="I138">
        <v>128143</v>
      </c>
      <c r="J138" t="s">
        <v>236</v>
      </c>
      <c r="K138">
        <v>114.152</v>
      </c>
      <c r="L138">
        <v>0.4</v>
      </c>
      <c r="M138" s="6" t="str">
        <f t="shared" si="8"/>
        <v>未买</v>
      </c>
      <c r="P138" s="19">
        <v>136</v>
      </c>
    </row>
    <row r="139" spans="8:16" x14ac:dyDescent="0.15">
      <c r="H139" s="19">
        <v>137</v>
      </c>
      <c r="I139">
        <v>113609</v>
      </c>
      <c r="J139" t="s">
        <v>199</v>
      </c>
      <c r="K139">
        <v>109.06</v>
      </c>
      <c r="L139">
        <v>0.40089999999999998</v>
      </c>
      <c r="M139" s="6" t="str">
        <f t="shared" si="8"/>
        <v>未买</v>
      </c>
      <c r="P139" s="19">
        <v>137</v>
      </c>
    </row>
    <row r="140" spans="8:16" x14ac:dyDescent="0.15">
      <c r="H140" s="19">
        <v>138</v>
      </c>
      <c r="I140">
        <v>123064</v>
      </c>
      <c r="J140" t="s">
        <v>260</v>
      </c>
      <c r="K140">
        <v>125.5</v>
      </c>
      <c r="L140">
        <v>0.40100000000000002</v>
      </c>
      <c r="M140" s="6" t="str">
        <f t="shared" si="8"/>
        <v>未买</v>
      </c>
      <c r="P140" s="19">
        <v>138</v>
      </c>
    </row>
    <row r="141" spans="8:16" x14ac:dyDescent="0.15">
      <c r="H141" s="19">
        <v>139</v>
      </c>
      <c r="I141">
        <v>128132</v>
      </c>
      <c r="J141" t="s">
        <v>278</v>
      </c>
      <c r="K141">
        <v>114.928</v>
      </c>
      <c r="L141">
        <v>0.40289999999999998</v>
      </c>
      <c r="M141" s="6" t="str">
        <f t="shared" si="8"/>
        <v>未买</v>
      </c>
      <c r="P141" s="19">
        <v>139</v>
      </c>
    </row>
    <row r="142" spans="8:16" x14ac:dyDescent="0.15">
      <c r="H142" s="19">
        <v>140</v>
      </c>
      <c r="I142">
        <v>123129</v>
      </c>
      <c r="J142" t="s">
        <v>365</v>
      </c>
      <c r="K142">
        <v>108.86</v>
      </c>
      <c r="L142">
        <v>0.40760000000000002</v>
      </c>
      <c r="M142" s="6" t="str">
        <f t="shared" si="8"/>
        <v>未买</v>
      </c>
      <c r="P142" s="19">
        <v>140</v>
      </c>
    </row>
    <row r="143" spans="8:16" x14ac:dyDescent="0.15">
      <c r="H143" s="19">
        <v>141</v>
      </c>
      <c r="I143">
        <v>128137</v>
      </c>
      <c r="J143" t="s">
        <v>1194</v>
      </c>
      <c r="K143">
        <v>117.688</v>
      </c>
      <c r="L143">
        <v>0.40949999999999998</v>
      </c>
      <c r="M143" s="6" t="str">
        <f t="shared" si="8"/>
        <v>未买</v>
      </c>
      <c r="P143" s="19">
        <v>141</v>
      </c>
    </row>
    <row r="144" spans="8:16" x14ac:dyDescent="0.15">
      <c r="H144" s="19">
        <v>142</v>
      </c>
      <c r="I144">
        <v>113643</v>
      </c>
      <c r="J144" t="s">
        <v>1208</v>
      </c>
      <c r="K144">
        <v>116.04</v>
      </c>
      <c r="L144">
        <v>0.41070000000000001</v>
      </c>
      <c r="M144" s="6" t="str">
        <f t="shared" si="8"/>
        <v>未买</v>
      </c>
      <c r="P144" s="19">
        <v>142</v>
      </c>
    </row>
    <row r="145" spans="8:16" x14ac:dyDescent="0.15">
      <c r="H145" s="19">
        <v>143</v>
      </c>
      <c r="I145">
        <v>123087</v>
      </c>
      <c r="J145" t="s">
        <v>188</v>
      </c>
      <c r="K145">
        <v>114.12</v>
      </c>
      <c r="L145">
        <v>0.41089999999999999</v>
      </c>
      <c r="M145" s="6" t="str">
        <f t="shared" si="8"/>
        <v>未买</v>
      </c>
      <c r="P145" s="19">
        <v>143</v>
      </c>
    </row>
    <row r="146" spans="8:16" x14ac:dyDescent="0.15">
      <c r="H146" s="19">
        <v>144</v>
      </c>
      <c r="I146">
        <v>113629</v>
      </c>
      <c r="J146" t="s">
        <v>196</v>
      </c>
      <c r="K146">
        <v>119.3</v>
      </c>
      <c r="L146">
        <v>0.41399999999999998</v>
      </c>
      <c r="M146" s="6" t="str">
        <f t="shared" si="8"/>
        <v>未买</v>
      </c>
      <c r="P146" s="19">
        <v>144</v>
      </c>
    </row>
    <row r="147" spans="8:16" x14ac:dyDescent="0.15">
      <c r="H147" s="19">
        <v>145</v>
      </c>
      <c r="I147">
        <v>128139</v>
      </c>
      <c r="J147" t="s">
        <v>282</v>
      </c>
      <c r="K147">
        <v>114.67400000000001</v>
      </c>
      <c r="L147">
        <v>0.41620000000000001</v>
      </c>
      <c r="M147" s="6" t="str">
        <f t="shared" si="8"/>
        <v>未买</v>
      </c>
      <c r="P147" s="19">
        <v>145</v>
      </c>
    </row>
    <row r="148" spans="8:16" x14ac:dyDescent="0.15">
      <c r="H148" s="19">
        <v>146</v>
      </c>
      <c r="I148">
        <v>123118</v>
      </c>
      <c r="J148" t="s">
        <v>359</v>
      </c>
      <c r="K148">
        <v>111.66500000000001</v>
      </c>
      <c r="L148">
        <v>0.41949999999999998</v>
      </c>
      <c r="M148" s="6" t="str">
        <f t="shared" si="8"/>
        <v>未买</v>
      </c>
      <c r="P148" s="19">
        <v>146</v>
      </c>
    </row>
    <row r="149" spans="8:16" x14ac:dyDescent="0.15">
      <c r="H149" s="19">
        <v>147</v>
      </c>
      <c r="I149">
        <v>128039</v>
      </c>
      <c r="J149" t="s">
        <v>238</v>
      </c>
      <c r="K149">
        <v>116.4</v>
      </c>
      <c r="L149">
        <v>0.42180000000000001</v>
      </c>
      <c r="M149" s="6" t="str">
        <f t="shared" si="8"/>
        <v>未买</v>
      </c>
      <c r="P149" s="19">
        <v>147</v>
      </c>
    </row>
    <row r="150" spans="8:16" x14ac:dyDescent="0.15">
      <c r="H150" s="19">
        <v>148</v>
      </c>
      <c r="I150">
        <v>128090</v>
      </c>
      <c r="J150" t="s">
        <v>240</v>
      </c>
      <c r="K150">
        <v>112.5</v>
      </c>
      <c r="L150">
        <v>0.42909999999999998</v>
      </c>
      <c r="M150" s="6" t="str">
        <f t="shared" si="8"/>
        <v>未买</v>
      </c>
      <c r="P150" s="19">
        <v>148</v>
      </c>
    </row>
    <row r="151" spans="8:16" x14ac:dyDescent="0.15">
      <c r="H151" s="19">
        <v>149</v>
      </c>
      <c r="I151">
        <v>127026</v>
      </c>
      <c r="J151" t="s">
        <v>353</v>
      </c>
      <c r="K151">
        <v>110.71</v>
      </c>
      <c r="L151">
        <v>0.434</v>
      </c>
      <c r="M151" s="6" t="str">
        <f t="shared" si="8"/>
        <v>未买</v>
      </c>
      <c r="P151" s="19">
        <v>149</v>
      </c>
    </row>
    <row r="152" spans="8:16" x14ac:dyDescent="0.15">
      <c r="H152" s="19">
        <v>150</v>
      </c>
      <c r="I152">
        <v>123103</v>
      </c>
      <c r="J152" t="s">
        <v>1209</v>
      </c>
      <c r="K152">
        <v>124.5</v>
      </c>
      <c r="L152">
        <v>0.43430000000000002</v>
      </c>
      <c r="M152" s="6" t="str">
        <f t="shared" si="8"/>
        <v>未买</v>
      </c>
      <c r="P152" s="19">
        <v>150</v>
      </c>
    </row>
    <row r="153" spans="8:16" x14ac:dyDescent="0.15">
      <c r="H153" s="19">
        <v>151</v>
      </c>
      <c r="I153">
        <v>127054</v>
      </c>
      <c r="J153" t="s">
        <v>1115</v>
      </c>
      <c r="K153">
        <v>114.04</v>
      </c>
      <c r="L153">
        <v>0.43869999999999998</v>
      </c>
      <c r="M153" s="6" t="str">
        <f t="shared" si="8"/>
        <v>未买</v>
      </c>
      <c r="P153" s="19">
        <v>151</v>
      </c>
    </row>
    <row r="154" spans="8:16" x14ac:dyDescent="0.15">
      <c r="H154" s="19">
        <v>152</v>
      </c>
      <c r="I154">
        <v>113579</v>
      </c>
      <c r="J154" t="s">
        <v>226</v>
      </c>
      <c r="K154">
        <v>119.4</v>
      </c>
      <c r="L154">
        <v>0.44</v>
      </c>
      <c r="M154" s="6" t="str">
        <f t="shared" si="8"/>
        <v>未买</v>
      </c>
      <c r="P154" s="19">
        <v>152</v>
      </c>
    </row>
    <row r="155" spans="8:16" x14ac:dyDescent="0.15">
      <c r="H155" s="19">
        <v>153</v>
      </c>
      <c r="I155">
        <v>113577</v>
      </c>
      <c r="J155" t="s">
        <v>234</v>
      </c>
      <c r="K155">
        <v>122.26</v>
      </c>
      <c r="L155">
        <v>0.44500000000000001</v>
      </c>
      <c r="M155" s="6" t="str">
        <f t="shared" si="8"/>
        <v>未买</v>
      </c>
      <c r="P155" s="19">
        <v>153</v>
      </c>
    </row>
    <row r="156" spans="8:16" x14ac:dyDescent="0.15">
      <c r="H156" s="19">
        <v>154</v>
      </c>
      <c r="I156">
        <v>113524</v>
      </c>
      <c r="J156" t="s">
        <v>340</v>
      </c>
      <c r="K156">
        <v>113.66</v>
      </c>
      <c r="L156">
        <v>0.4511</v>
      </c>
      <c r="M156" s="6" t="str">
        <f t="shared" si="8"/>
        <v>未买</v>
      </c>
      <c r="P156" s="19">
        <v>154</v>
      </c>
    </row>
    <row r="157" spans="8:16" x14ac:dyDescent="0.15">
      <c r="H157" s="19">
        <v>155</v>
      </c>
      <c r="I157">
        <v>123110</v>
      </c>
      <c r="J157" t="s">
        <v>225</v>
      </c>
      <c r="K157">
        <v>116.79</v>
      </c>
      <c r="L157">
        <v>0.4531</v>
      </c>
      <c r="M157" s="6" t="str">
        <f t="shared" si="8"/>
        <v>未买</v>
      </c>
      <c r="P157" s="19">
        <v>155</v>
      </c>
    </row>
    <row r="158" spans="8:16" x14ac:dyDescent="0.15">
      <c r="H158" s="19">
        <v>156</v>
      </c>
      <c r="I158">
        <v>128120</v>
      </c>
      <c r="J158" t="s">
        <v>235</v>
      </c>
      <c r="K158">
        <v>113.398</v>
      </c>
      <c r="L158">
        <v>0.45529999999999998</v>
      </c>
      <c r="M158" s="6" t="str">
        <f t="shared" si="8"/>
        <v>未买</v>
      </c>
      <c r="P158" s="19">
        <v>156</v>
      </c>
    </row>
    <row r="159" spans="8:16" x14ac:dyDescent="0.15">
      <c r="H159" s="19">
        <v>157</v>
      </c>
      <c r="I159">
        <v>113561</v>
      </c>
      <c r="J159" t="s">
        <v>202</v>
      </c>
      <c r="K159">
        <v>117.18</v>
      </c>
      <c r="L159">
        <v>0.4582</v>
      </c>
      <c r="M159" s="6" t="str">
        <f t="shared" si="8"/>
        <v>未买</v>
      </c>
      <c r="P159" s="19">
        <v>157</v>
      </c>
    </row>
    <row r="160" spans="8:16" x14ac:dyDescent="0.15">
      <c r="H160" s="19">
        <v>158</v>
      </c>
      <c r="I160">
        <v>132022</v>
      </c>
      <c r="J160" t="s">
        <v>1193</v>
      </c>
      <c r="K160">
        <v>104.72</v>
      </c>
      <c r="L160">
        <v>0.46210000000000001</v>
      </c>
      <c r="M160" s="6" t="str">
        <f t="shared" si="8"/>
        <v>未买</v>
      </c>
      <c r="P160" s="19">
        <v>158</v>
      </c>
    </row>
    <row r="161" spans="8:16" x14ac:dyDescent="0.15">
      <c r="H161" s="19">
        <v>159</v>
      </c>
      <c r="I161">
        <v>123054</v>
      </c>
      <c r="J161" t="s">
        <v>198</v>
      </c>
      <c r="K161">
        <v>124.559</v>
      </c>
      <c r="L161">
        <v>0.47599999999999998</v>
      </c>
      <c r="M161" s="6" t="str">
        <f t="shared" si="8"/>
        <v>未买</v>
      </c>
      <c r="P161" s="19">
        <v>159</v>
      </c>
    </row>
    <row r="162" spans="8:16" x14ac:dyDescent="0.15">
      <c r="H162" s="19">
        <v>160</v>
      </c>
      <c r="I162">
        <v>113519</v>
      </c>
      <c r="J162" t="s">
        <v>292</v>
      </c>
      <c r="K162">
        <v>113.16</v>
      </c>
      <c r="L162">
        <v>0.47670000000000001</v>
      </c>
      <c r="M162" s="6" t="str">
        <f t="shared" si="8"/>
        <v>未买</v>
      </c>
      <c r="P162" s="19">
        <v>160</v>
      </c>
    </row>
    <row r="163" spans="8:16" x14ac:dyDescent="0.15">
      <c r="H163" s="19">
        <v>161</v>
      </c>
      <c r="I163">
        <v>110084</v>
      </c>
      <c r="J163" t="s">
        <v>426</v>
      </c>
      <c r="K163">
        <v>107.97</v>
      </c>
      <c r="L163">
        <v>0.47789999999999999</v>
      </c>
      <c r="M163" s="6" t="str">
        <f t="shared" si="8"/>
        <v>未买</v>
      </c>
      <c r="P163" s="19">
        <v>161</v>
      </c>
    </row>
    <row r="164" spans="8:16" x14ac:dyDescent="0.15">
      <c r="H164" s="19">
        <v>162</v>
      </c>
      <c r="I164">
        <v>127048</v>
      </c>
      <c r="J164" t="s">
        <v>339</v>
      </c>
      <c r="K164">
        <v>118</v>
      </c>
      <c r="L164">
        <v>0.48</v>
      </c>
      <c r="M164" s="6" t="str">
        <f t="shared" si="8"/>
        <v>未买</v>
      </c>
      <c r="P164" s="19">
        <v>162</v>
      </c>
    </row>
    <row r="165" spans="8:16" x14ac:dyDescent="0.15">
      <c r="H165" s="19">
        <v>163</v>
      </c>
      <c r="I165">
        <v>113606</v>
      </c>
      <c r="J165" t="s">
        <v>330</v>
      </c>
      <c r="K165">
        <v>112.34</v>
      </c>
      <c r="L165">
        <v>0.48120000000000002</v>
      </c>
      <c r="M165" s="6" t="str">
        <f t="shared" si="8"/>
        <v>未买</v>
      </c>
      <c r="P165" s="19">
        <v>163</v>
      </c>
    </row>
    <row r="166" spans="8:16" x14ac:dyDescent="0.15">
      <c r="H166" s="19">
        <v>164</v>
      </c>
      <c r="I166">
        <v>123050</v>
      </c>
      <c r="J166" t="s">
        <v>184</v>
      </c>
      <c r="K166">
        <v>118.84399999999999</v>
      </c>
      <c r="L166">
        <v>0.4834</v>
      </c>
      <c r="M166" s="6" t="str">
        <f t="shared" si="8"/>
        <v>未买</v>
      </c>
      <c r="P166" s="19">
        <v>164</v>
      </c>
    </row>
    <row r="167" spans="8:16" x14ac:dyDescent="0.15">
      <c r="H167" s="19">
        <v>165</v>
      </c>
      <c r="I167">
        <v>113601</v>
      </c>
      <c r="J167" t="s">
        <v>181</v>
      </c>
      <c r="K167">
        <v>108.28</v>
      </c>
      <c r="L167">
        <v>0.4839</v>
      </c>
      <c r="M167" s="6" t="str">
        <f t="shared" si="8"/>
        <v>未买</v>
      </c>
      <c r="P167" s="19">
        <v>165</v>
      </c>
    </row>
    <row r="168" spans="8:16" x14ac:dyDescent="0.15">
      <c r="H168" s="19">
        <v>166</v>
      </c>
      <c r="I168">
        <v>123059</v>
      </c>
      <c r="J168" t="s">
        <v>329</v>
      </c>
      <c r="K168">
        <v>112.099</v>
      </c>
      <c r="L168">
        <v>0.48649999999999999</v>
      </c>
      <c r="M168" s="6" t="str">
        <f t="shared" si="8"/>
        <v>未买</v>
      </c>
      <c r="P168" s="19">
        <v>166</v>
      </c>
    </row>
    <row r="169" spans="8:16" x14ac:dyDescent="0.15">
      <c r="H169" s="19">
        <v>167</v>
      </c>
      <c r="I169">
        <v>123014</v>
      </c>
      <c r="J169" t="s">
        <v>171</v>
      </c>
      <c r="K169">
        <v>131.9</v>
      </c>
      <c r="L169">
        <v>0.48709999999999998</v>
      </c>
      <c r="M169" s="6" t="str">
        <f t="shared" si="8"/>
        <v>未买</v>
      </c>
      <c r="P169" s="19">
        <v>167</v>
      </c>
    </row>
    <row r="170" spans="8:16" x14ac:dyDescent="0.15">
      <c r="H170" s="19">
        <v>168</v>
      </c>
      <c r="I170">
        <v>113502</v>
      </c>
      <c r="J170" t="s">
        <v>251</v>
      </c>
      <c r="K170">
        <v>123.53</v>
      </c>
      <c r="L170">
        <v>0.48720000000000002</v>
      </c>
      <c r="M170" s="6" t="str">
        <f t="shared" si="8"/>
        <v>未买</v>
      </c>
      <c r="P170" s="19">
        <v>168</v>
      </c>
    </row>
    <row r="171" spans="8:16" x14ac:dyDescent="0.15">
      <c r="H171" s="19">
        <v>169</v>
      </c>
      <c r="I171">
        <v>113588</v>
      </c>
      <c r="J171" t="s">
        <v>337</v>
      </c>
      <c r="K171">
        <v>110.45</v>
      </c>
      <c r="L171">
        <v>0.48730000000000001</v>
      </c>
      <c r="M171" s="6" t="str">
        <f t="shared" si="8"/>
        <v>未买</v>
      </c>
      <c r="P171" s="19">
        <v>169</v>
      </c>
    </row>
    <row r="172" spans="8:16" x14ac:dyDescent="0.15">
      <c r="H172" s="19">
        <v>170</v>
      </c>
      <c r="I172">
        <v>123062</v>
      </c>
      <c r="J172" t="s">
        <v>220</v>
      </c>
      <c r="K172">
        <v>120.15</v>
      </c>
      <c r="L172">
        <v>0.48930000000000001</v>
      </c>
      <c r="M172" s="6" t="str">
        <f t="shared" si="8"/>
        <v>未买</v>
      </c>
      <c r="P172" s="19">
        <v>170</v>
      </c>
    </row>
    <row r="173" spans="8:16" x14ac:dyDescent="0.15">
      <c r="H173" s="19">
        <v>171</v>
      </c>
      <c r="I173">
        <v>128049</v>
      </c>
      <c r="J173" t="s">
        <v>323</v>
      </c>
      <c r="K173">
        <v>109.062</v>
      </c>
      <c r="L173">
        <v>0.49130000000000001</v>
      </c>
      <c r="M173" s="6" t="str">
        <f t="shared" si="8"/>
        <v>未买</v>
      </c>
      <c r="P173" s="19">
        <v>171</v>
      </c>
    </row>
    <row r="174" spans="8:16" x14ac:dyDescent="0.15">
      <c r="H174" s="19">
        <v>172</v>
      </c>
      <c r="I174">
        <v>127019</v>
      </c>
      <c r="J174" t="s">
        <v>294</v>
      </c>
      <c r="K174">
        <v>108.24</v>
      </c>
      <c r="L174">
        <v>0.49180000000000001</v>
      </c>
      <c r="M174" s="6" t="str">
        <f t="shared" si="8"/>
        <v>未买</v>
      </c>
      <c r="P174" s="19">
        <v>172</v>
      </c>
    </row>
    <row r="175" spans="8:16" x14ac:dyDescent="0.15">
      <c r="H175" s="19">
        <v>173</v>
      </c>
      <c r="I175">
        <v>123131</v>
      </c>
      <c r="J175" t="s">
        <v>368</v>
      </c>
      <c r="K175">
        <v>119.795</v>
      </c>
      <c r="L175">
        <v>0.50219999999999998</v>
      </c>
      <c r="M175" s="6" t="str">
        <f t="shared" si="8"/>
        <v>未买</v>
      </c>
      <c r="P175" s="19">
        <v>173</v>
      </c>
    </row>
    <row r="176" spans="8:16" x14ac:dyDescent="0.15">
      <c r="H176" s="19">
        <v>174</v>
      </c>
      <c r="I176">
        <v>127037</v>
      </c>
      <c r="J176" t="s">
        <v>351</v>
      </c>
      <c r="K176">
        <v>115.01</v>
      </c>
      <c r="L176">
        <v>0.50509999999999999</v>
      </c>
      <c r="M176" s="6" t="str">
        <f t="shared" si="8"/>
        <v>未买</v>
      </c>
      <c r="P176" s="19">
        <v>174</v>
      </c>
    </row>
    <row r="177" spans="8:16" x14ac:dyDescent="0.15">
      <c r="H177" s="19">
        <v>175</v>
      </c>
      <c r="I177">
        <v>128101</v>
      </c>
      <c r="J177" t="s">
        <v>1195</v>
      </c>
      <c r="K177">
        <v>130.5</v>
      </c>
      <c r="L177">
        <v>0.50590000000000002</v>
      </c>
      <c r="M177" s="6" t="str">
        <f t="shared" si="8"/>
        <v>未买</v>
      </c>
      <c r="P177" s="19">
        <v>175</v>
      </c>
    </row>
    <row r="178" spans="8:16" x14ac:dyDescent="0.15">
      <c r="H178" s="19">
        <v>176</v>
      </c>
      <c r="I178">
        <v>113505</v>
      </c>
      <c r="J178" t="s">
        <v>360</v>
      </c>
      <c r="K178">
        <v>111.65</v>
      </c>
      <c r="L178">
        <v>0.50860000000000005</v>
      </c>
      <c r="M178" s="6" t="str">
        <f t="shared" si="8"/>
        <v>未买</v>
      </c>
      <c r="P178" s="19">
        <v>176</v>
      </c>
    </row>
    <row r="179" spans="8:16" x14ac:dyDescent="0.15">
      <c r="H179" s="19">
        <v>177</v>
      </c>
      <c r="I179">
        <v>123141</v>
      </c>
      <c r="J179" t="s">
        <v>1120</v>
      </c>
      <c r="K179">
        <v>124.724</v>
      </c>
      <c r="L179">
        <v>0.51690000000000003</v>
      </c>
      <c r="M179" s="6" t="str">
        <f t="shared" si="8"/>
        <v>未买</v>
      </c>
      <c r="P179" s="19">
        <v>177</v>
      </c>
    </row>
    <row r="180" spans="8:16" x14ac:dyDescent="0.15">
      <c r="H180" s="19">
        <v>178</v>
      </c>
      <c r="I180">
        <v>123106</v>
      </c>
      <c r="J180" t="s">
        <v>180</v>
      </c>
      <c r="K180">
        <v>110.295</v>
      </c>
      <c r="L180">
        <v>0.51780000000000004</v>
      </c>
      <c r="M180" s="6" t="str">
        <f t="shared" si="8"/>
        <v>未买</v>
      </c>
      <c r="P180" s="19">
        <v>178</v>
      </c>
    </row>
    <row r="181" spans="8:16" x14ac:dyDescent="0.15">
      <c r="H181" s="19">
        <v>179</v>
      </c>
      <c r="I181">
        <v>123133</v>
      </c>
      <c r="J181" t="s">
        <v>428</v>
      </c>
      <c r="K181">
        <v>118.31399999999999</v>
      </c>
      <c r="L181">
        <v>0.51859999999999995</v>
      </c>
      <c r="M181" s="6" t="str">
        <f t="shared" si="8"/>
        <v>未买</v>
      </c>
      <c r="P181" s="19">
        <v>179</v>
      </c>
    </row>
    <row r="182" spans="8:16" x14ac:dyDescent="0.15">
      <c r="H182" s="19">
        <v>180</v>
      </c>
      <c r="I182">
        <v>128022</v>
      </c>
      <c r="J182" t="s">
        <v>277</v>
      </c>
      <c r="K182">
        <v>115.501</v>
      </c>
      <c r="L182">
        <v>0.52459999999999996</v>
      </c>
      <c r="M182" s="6" t="str">
        <f t="shared" si="8"/>
        <v>未买</v>
      </c>
      <c r="P182" s="19">
        <v>180</v>
      </c>
    </row>
    <row r="183" spans="8:16" x14ac:dyDescent="0.15">
      <c r="H183" s="19">
        <v>181</v>
      </c>
      <c r="I183">
        <v>123125</v>
      </c>
      <c r="J183" t="s">
        <v>343</v>
      </c>
      <c r="K183">
        <v>112.6</v>
      </c>
      <c r="L183">
        <v>0.52649999999999997</v>
      </c>
      <c r="M183" s="6" t="str">
        <f t="shared" si="8"/>
        <v>未买</v>
      </c>
      <c r="P183" s="19">
        <v>181</v>
      </c>
    </row>
    <row r="184" spans="8:16" x14ac:dyDescent="0.15">
      <c r="H184" s="19">
        <v>182</v>
      </c>
      <c r="I184">
        <v>128033</v>
      </c>
      <c r="J184" t="s">
        <v>185</v>
      </c>
      <c r="K184">
        <v>111.67</v>
      </c>
      <c r="L184">
        <v>0.52939999999999998</v>
      </c>
      <c r="M184" s="6" t="str">
        <f t="shared" si="8"/>
        <v>未买</v>
      </c>
      <c r="P184" s="19">
        <v>182</v>
      </c>
    </row>
    <row r="185" spans="8:16" x14ac:dyDescent="0.15">
      <c r="H185" s="19">
        <v>183</v>
      </c>
      <c r="I185">
        <v>127015</v>
      </c>
      <c r="J185" t="s">
        <v>287</v>
      </c>
      <c r="K185">
        <v>117.746</v>
      </c>
      <c r="L185">
        <v>0.52990000000000004</v>
      </c>
      <c r="M185" s="6" t="str">
        <f t="shared" si="8"/>
        <v>未买</v>
      </c>
      <c r="P185" s="19">
        <v>183</v>
      </c>
    </row>
    <row r="186" spans="8:16" x14ac:dyDescent="0.15">
      <c r="H186" s="19">
        <v>184</v>
      </c>
      <c r="I186">
        <v>128070</v>
      </c>
      <c r="J186" t="s">
        <v>284</v>
      </c>
      <c r="K186">
        <v>122.8</v>
      </c>
      <c r="L186">
        <v>0.53220000000000001</v>
      </c>
      <c r="M186" s="6" t="str">
        <f t="shared" si="8"/>
        <v>未买</v>
      </c>
      <c r="P186" s="19">
        <v>184</v>
      </c>
    </row>
    <row r="187" spans="8:16" x14ac:dyDescent="0.15">
      <c r="H187" s="19">
        <v>185</v>
      </c>
      <c r="I187">
        <v>113610</v>
      </c>
      <c r="J187" t="s">
        <v>230</v>
      </c>
      <c r="K187">
        <v>110.19</v>
      </c>
      <c r="L187">
        <v>0.53520000000000001</v>
      </c>
      <c r="M187" s="6" t="str">
        <f t="shared" si="8"/>
        <v>未买</v>
      </c>
      <c r="P187" s="19">
        <v>185</v>
      </c>
    </row>
    <row r="188" spans="8:16" x14ac:dyDescent="0.15">
      <c r="H188" s="19">
        <v>186</v>
      </c>
      <c r="I188">
        <v>123137</v>
      </c>
      <c r="J188" t="s">
        <v>1116</v>
      </c>
      <c r="K188">
        <v>119.52800000000001</v>
      </c>
      <c r="L188">
        <v>0.54079999999999995</v>
      </c>
      <c r="M188" s="6" t="str">
        <f t="shared" si="8"/>
        <v>Yes</v>
      </c>
      <c r="P188" s="19">
        <v>186</v>
      </c>
    </row>
    <row r="189" spans="8:16" x14ac:dyDescent="0.15">
      <c r="H189" s="19">
        <v>187</v>
      </c>
      <c r="I189">
        <v>123023</v>
      </c>
      <c r="J189" t="s">
        <v>327</v>
      </c>
      <c r="K189">
        <v>106.658</v>
      </c>
      <c r="L189">
        <v>0.54390000000000005</v>
      </c>
      <c r="M189" s="6" t="str">
        <f t="shared" si="8"/>
        <v>未买</v>
      </c>
      <c r="P189" s="19">
        <v>187</v>
      </c>
    </row>
    <row r="190" spans="8:16" x14ac:dyDescent="0.15">
      <c r="H190" s="19">
        <v>188</v>
      </c>
      <c r="I190">
        <v>113621</v>
      </c>
      <c r="J190" t="s">
        <v>366</v>
      </c>
      <c r="K190">
        <v>128.63999999999999</v>
      </c>
      <c r="L190">
        <v>0.55420000000000003</v>
      </c>
      <c r="M190" s="6" t="str">
        <f t="shared" si="8"/>
        <v>未买</v>
      </c>
      <c r="P190" s="19">
        <v>188</v>
      </c>
    </row>
    <row r="191" spans="8:16" x14ac:dyDescent="0.15">
      <c r="H191" s="19">
        <v>189</v>
      </c>
      <c r="I191">
        <v>123044</v>
      </c>
      <c r="J191" t="s">
        <v>288</v>
      </c>
      <c r="K191">
        <v>112.9</v>
      </c>
      <c r="L191">
        <v>0.55789999999999995</v>
      </c>
      <c r="M191" s="6" t="str">
        <f t="shared" si="8"/>
        <v>未买</v>
      </c>
      <c r="P191" s="19">
        <v>189</v>
      </c>
    </row>
    <row r="192" spans="8:16" x14ac:dyDescent="0.15">
      <c r="H192" s="19">
        <v>190</v>
      </c>
      <c r="I192">
        <v>128056</v>
      </c>
      <c r="J192" t="s">
        <v>195</v>
      </c>
      <c r="K192">
        <v>117.2</v>
      </c>
      <c r="L192">
        <v>0.55879999999999996</v>
      </c>
      <c r="M192" s="6" t="str">
        <f t="shared" si="8"/>
        <v>未买</v>
      </c>
      <c r="P192" s="19">
        <v>190</v>
      </c>
    </row>
    <row r="193" spans="8:16" x14ac:dyDescent="0.15">
      <c r="H193" s="19">
        <v>191</v>
      </c>
      <c r="I193">
        <v>127034</v>
      </c>
      <c r="J193" t="s">
        <v>322</v>
      </c>
      <c r="K193">
        <v>104.16200000000001</v>
      </c>
      <c r="L193">
        <v>0.55930000000000002</v>
      </c>
      <c r="M193" s="6" t="str">
        <f t="shared" si="8"/>
        <v>未买</v>
      </c>
      <c r="P193" s="19">
        <v>191</v>
      </c>
    </row>
    <row r="194" spans="8:16" x14ac:dyDescent="0.15">
      <c r="H194" s="19">
        <v>192</v>
      </c>
      <c r="I194">
        <v>113619</v>
      </c>
      <c r="J194" t="s">
        <v>348</v>
      </c>
      <c r="K194">
        <v>111.98</v>
      </c>
      <c r="L194">
        <v>0.55989999999999995</v>
      </c>
      <c r="M194" s="6" t="str">
        <f t="shared" si="8"/>
        <v>未买</v>
      </c>
      <c r="P194" s="19">
        <v>192</v>
      </c>
    </row>
    <row r="195" spans="8:16" x14ac:dyDescent="0.15">
      <c r="H195" s="19">
        <v>193</v>
      </c>
      <c r="I195">
        <v>113600</v>
      </c>
      <c r="J195" t="s">
        <v>425</v>
      </c>
      <c r="K195">
        <v>116.09</v>
      </c>
      <c r="L195">
        <v>0.56159999999999999</v>
      </c>
      <c r="M195" s="6" t="str">
        <f t="shared" si="8"/>
        <v>未买</v>
      </c>
      <c r="P195" s="19">
        <v>193</v>
      </c>
    </row>
    <row r="196" spans="8:16" x14ac:dyDescent="0.15">
      <c r="H196" s="19">
        <v>194</v>
      </c>
      <c r="I196">
        <v>111002</v>
      </c>
      <c r="J196" t="s">
        <v>367</v>
      </c>
      <c r="K196">
        <v>125.57</v>
      </c>
      <c r="L196">
        <v>0.57069999999999999</v>
      </c>
      <c r="M196" s="6" t="str">
        <f t="shared" ref="M196:M259" si="9">IF(ISNA(MATCH(I196,$A$3:$A$1000,0)),"未买","Yes")</f>
        <v>未买</v>
      </c>
      <c r="P196" s="19">
        <v>194</v>
      </c>
    </row>
    <row r="197" spans="8:16" x14ac:dyDescent="0.15">
      <c r="H197" s="19">
        <v>195</v>
      </c>
      <c r="I197">
        <v>123061</v>
      </c>
      <c r="J197" t="s">
        <v>211</v>
      </c>
      <c r="K197">
        <v>115.5</v>
      </c>
      <c r="L197">
        <v>0.57789999999999997</v>
      </c>
      <c r="M197" s="6" t="str">
        <f t="shared" si="9"/>
        <v>未买</v>
      </c>
      <c r="P197" s="19">
        <v>195</v>
      </c>
    </row>
    <row r="198" spans="8:16" x14ac:dyDescent="0.15">
      <c r="H198" s="19">
        <v>196</v>
      </c>
      <c r="I198">
        <v>123031</v>
      </c>
      <c r="J198" t="s">
        <v>1210</v>
      </c>
      <c r="K198">
        <v>362.08</v>
      </c>
      <c r="L198">
        <v>0.58320000000000005</v>
      </c>
      <c r="M198" s="6" t="str">
        <f t="shared" si="9"/>
        <v>未买</v>
      </c>
      <c r="P198" s="19">
        <v>196</v>
      </c>
    </row>
    <row r="199" spans="8:16" x14ac:dyDescent="0.15">
      <c r="H199" s="19">
        <v>197</v>
      </c>
      <c r="I199">
        <v>127055</v>
      </c>
      <c r="J199" t="s">
        <v>1111</v>
      </c>
      <c r="K199">
        <v>112.19</v>
      </c>
      <c r="L199">
        <v>0.58389999999999997</v>
      </c>
      <c r="M199" s="6" t="str">
        <f t="shared" si="9"/>
        <v>未买</v>
      </c>
      <c r="P199" s="19">
        <v>197</v>
      </c>
    </row>
    <row r="200" spans="8:16" x14ac:dyDescent="0.15">
      <c r="H200" s="19">
        <v>198</v>
      </c>
      <c r="I200">
        <v>113535</v>
      </c>
      <c r="J200" t="s">
        <v>335</v>
      </c>
      <c r="K200">
        <v>111.72</v>
      </c>
      <c r="L200">
        <v>0.58730000000000004</v>
      </c>
      <c r="M200" s="6" t="str">
        <f t="shared" si="9"/>
        <v>未买</v>
      </c>
      <c r="P200" s="19">
        <v>198</v>
      </c>
    </row>
    <row r="201" spans="8:16" x14ac:dyDescent="0.15">
      <c r="H201" s="19">
        <v>199</v>
      </c>
      <c r="I201">
        <v>113530</v>
      </c>
      <c r="J201" t="s">
        <v>309</v>
      </c>
      <c r="K201">
        <v>112.09</v>
      </c>
      <c r="L201">
        <v>0.58740000000000003</v>
      </c>
      <c r="M201" s="6" t="str">
        <f t="shared" si="9"/>
        <v>未买</v>
      </c>
      <c r="P201" s="19">
        <v>199</v>
      </c>
    </row>
    <row r="202" spans="8:16" x14ac:dyDescent="0.15">
      <c r="H202" s="19">
        <v>200</v>
      </c>
      <c r="I202">
        <v>128123</v>
      </c>
      <c r="J202" t="s">
        <v>283</v>
      </c>
      <c r="K202">
        <v>110.33</v>
      </c>
      <c r="L202">
        <v>0.59009999999999996</v>
      </c>
      <c r="M202" s="6" t="str">
        <f t="shared" si="9"/>
        <v>未买</v>
      </c>
      <c r="P202" s="19">
        <v>200</v>
      </c>
    </row>
    <row r="203" spans="8:16" x14ac:dyDescent="0.15">
      <c r="H203" s="19">
        <v>201</v>
      </c>
      <c r="I203">
        <v>123142</v>
      </c>
      <c r="J203" t="s">
        <v>1112</v>
      </c>
      <c r="K203">
        <v>113.12</v>
      </c>
      <c r="L203">
        <v>0.59140000000000004</v>
      </c>
      <c r="M203" s="6" t="str">
        <f t="shared" si="9"/>
        <v>未买</v>
      </c>
      <c r="P203" s="19">
        <v>201</v>
      </c>
    </row>
    <row r="204" spans="8:16" x14ac:dyDescent="0.15">
      <c r="H204" s="19">
        <v>202</v>
      </c>
      <c r="I204">
        <v>118005</v>
      </c>
      <c r="J204" t="s">
        <v>1117</v>
      </c>
      <c r="K204">
        <v>116.64</v>
      </c>
      <c r="L204">
        <v>0.59609999999999996</v>
      </c>
      <c r="M204" s="6" t="str">
        <f t="shared" si="9"/>
        <v>未买</v>
      </c>
      <c r="P204" s="19">
        <v>202</v>
      </c>
    </row>
    <row r="205" spans="8:16" x14ac:dyDescent="0.15">
      <c r="H205" s="19">
        <v>203</v>
      </c>
      <c r="I205">
        <v>123025</v>
      </c>
      <c r="J205" t="s">
        <v>183</v>
      </c>
      <c r="K205">
        <v>118.55</v>
      </c>
      <c r="L205">
        <v>0.59870000000000001</v>
      </c>
      <c r="M205" s="6" t="str">
        <f t="shared" si="9"/>
        <v>未买</v>
      </c>
      <c r="P205" s="19">
        <v>203</v>
      </c>
    </row>
    <row r="206" spans="8:16" x14ac:dyDescent="0.15">
      <c r="H206" s="19">
        <v>204</v>
      </c>
      <c r="I206">
        <v>118006</v>
      </c>
      <c r="J206" t="s">
        <v>1192</v>
      </c>
      <c r="K206">
        <v>129.6</v>
      </c>
      <c r="L206">
        <v>0.60980000000000001</v>
      </c>
      <c r="M206" s="6" t="str">
        <f t="shared" si="9"/>
        <v>未买</v>
      </c>
      <c r="P206" s="19">
        <v>204</v>
      </c>
    </row>
    <row r="207" spans="8:16" x14ac:dyDescent="0.15">
      <c r="H207" s="19">
        <v>205</v>
      </c>
      <c r="I207">
        <v>118001</v>
      </c>
      <c r="J207" t="s">
        <v>361</v>
      </c>
      <c r="K207">
        <v>117.67</v>
      </c>
      <c r="L207">
        <v>0.61450000000000005</v>
      </c>
      <c r="M207" s="6" t="str">
        <f t="shared" si="9"/>
        <v>未买</v>
      </c>
      <c r="P207" s="19">
        <v>205</v>
      </c>
    </row>
    <row r="208" spans="8:16" x14ac:dyDescent="0.15">
      <c r="H208" s="19">
        <v>206</v>
      </c>
      <c r="I208">
        <v>128079</v>
      </c>
      <c r="J208" t="s">
        <v>210</v>
      </c>
      <c r="K208">
        <v>119.99</v>
      </c>
      <c r="L208">
        <v>0.62009999999999998</v>
      </c>
      <c r="M208" s="6" t="str">
        <f t="shared" si="9"/>
        <v>未买</v>
      </c>
      <c r="P208" s="19">
        <v>206</v>
      </c>
    </row>
    <row r="209" spans="8:16" x14ac:dyDescent="0.15">
      <c r="H209" s="19">
        <v>207</v>
      </c>
      <c r="I209">
        <v>123075</v>
      </c>
      <c r="J209" t="s">
        <v>186</v>
      </c>
      <c r="K209">
        <v>106.9</v>
      </c>
      <c r="L209">
        <v>0.62890000000000001</v>
      </c>
      <c r="M209" s="6" t="str">
        <f t="shared" si="9"/>
        <v>未买</v>
      </c>
      <c r="P209" s="19">
        <v>207</v>
      </c>
    </row>
    <row r="210" spans="8:16" x14ac:dyDescent="0.15">
      <c r="H210" s="19">
        <v>208</v>
      </c>
      <c r="I210">
        <v>127057</v>
      </c>
      <c r="J210" t="s">
        <v>1110</v>
      </c>
      <c r="K210">
        <v>228</v>
      </c>
      <c r="L210">
        <v>0.63060000000000005</v>
      </c>
      <c r="M210" s="6" t="str">
        <f t="shared" si="9"/>
        <v>未买</v>
      </c>
      <c r="P210" s="19">
        <v>208</v>
      </c>
    </row>
    <row r="211" spans="8:16" x14ac:dyDescent="0.15">
      <c r="H211" s="19">
        <v>209</v>
      </c>
      <c r="I211">
        <v>110058</v>
      </c>
      <c r="J211" t="s">
        <v>194</v>
      </c>
      <c r="K211">
        <v>111.01</v>
      </c>
      <c r="L211">
        <v>0.65529999999999999</v>
      </c>
      <c r="M211" s="6" t="str">
        <f t="shared" si="9"/>
        <v>未买</v>
      </c>
      <c r="P211" s="19">
        <v>209</v>
      </c>
    </row>
    <row r="212" spans="8:16" x14ac:dyDescent="0.15">
      <c r="H212" s="19">
        <v>210</v>
      </c>
      <c r="I212">
        <v>113578</v>
      </c>
      <c r="J212" t="s">
        <v>293</v>
      </c>
      <c r="K212">
        <v>106.47</v>
      </c>
      <c r="L212">
        <v>0.65869999999999995</v>
      </c>
      <c r="M212" s="6" t="str">
        <f t="shared" si="9"/>
        <v>未买</v>
      </c>
      <c r="P212" s="19">
        <v>210</v>
      </c>
    </row>
    <row r="213" spans="8:16" x14ac:dyDescent="0.15">
      <c r="H213" s="19">
        <v>211</v>
      </c>
      <c r="I213">
        <v>123139</v>
      </c>
      <c r="J213" t="s">
        <v>1118</v>
      </c>
      <c r="K213">
        <v>127.7</v>
      </c>
      <c r="L213">
        <v>0.66080000000000005</v>
      </c>
      <c r="M213" s="6" t="str">
        <f t="shared" si="9"/>
        <v>未买</v>
      </c>
      <c r="P213" s="19">
        <v>211</v>
      </c>
    </row>
    <row r="214" spans="8:16" x14ac:dyDescent="0.15">
      <c r="H214" s="19">
        <v>212</v>
      </c>
      <c r="I214">
        <v>128105</v>
      </c>
      <c r="J214" t="s">
        <v>304</v>
      </c>
      <c r="K214">
        <v>102.35299999999999</v>
      </c>
      <c r="L214">
        <v>0.66239999999999999</v>
      </c>
      <c r="M214" s="6" t="str">
        <f t="shared" si="9"/>
        <v>未买</v>
      </c>
      <c r="P214" s="19">
        <v>212</v>
      </c>
    </row>
    <row r="215" spans="8:16" x14ac:dyDescent="0.15">
      <c r="H215" s="19">
        <v>213</v>
      </c>
      <c r="I215">
        <v>128026</v>
      </c>
      <c r="J215" t="s">
        <v>310</v>
      </c>
      <c r="K215">
        <v>107.339</v>
      </c>
      <c r="L215">
        <v>0.66810000000000003</v>
      </c>
      <c r="M215" s="6" t="str">
        <f t="shared" si="9"/>
        <v>未买</v>
      </c>
      <c r="P215" s="19">
        <v>213</v>
      </c>
    </row>
    <row r="216" spans="8:16" x14ac:dyDescent="0.15">
      <c r="H216" s="19">
        <v>214</v>
      </c>
      <c r="I216">
        <v>118007</v>
      </c>
      <c r="J216" t="s">
        <v>1211</v>
      </c>
      <c r="K216">
        <v>132.36000000000001</v>
      </c>
      <c r="L216">
        <v>0.66890000000000005</v>
      </c>
      <c r="M216" s="6" t="str">
        <f t="shared" si="9"/>
        <v>未买</v>
      </c>
      <c r="P216" s="19">
        <v>214</v>
      </c>
    </row>
    <row r="217" spans="8:16" x14ac:dyDescent="0.15">
      <c r="H217" s="19">
        <v>215</v>
      </c>
      <c r="I217">
        <v>128063</v>
      </c>
      <c r="J217" t="s">
        <v>324</v>
      </c>
      <c r="K217">
        <v>114.268</v>
      </c>
      <c r="L217">
        <v>0.67049999999999998</v>
      </c>
      <c r="M217" s="6" t="str">
        <f t="shared" si="9"/>
        <v>未买</v>
      </c>
      <c r="P217" s="19">
        <v>215</v>
      </c>
    </row>
    <row r="218" spans="8:16" x14ac:dyDescent="0.15">
      <c r="H218" s="19">
        <v>216</v>
      </c>
      <c r="I218">
        <v>127021</v>
      </c>
      <c r="J218" t="s">
        <v>338</v>
      </c>
      <c r="K218">
        <v>112.21</v>
      </c>
      <c r="L218">
        <v>0.67169999999999996</v>
      </c>
      <c r="M218" s="6" t="str">
        <f t="shared" si="9"/>
        <v>未买</v>
      </c>
      <c r="P218" s="19">
        <v>216</v>
      </c>
    </row>
    <row r="219" spans="8:16" x14ac:dyDescent="0.15">
      <c r="H219" s="19">
        <v>217</v>
      </c>
      <c r="I219">
        <v>128069</v>
      </c>
      <c r="J219" t="s">
        <v>291</v>
      </c>
      <c r="K219">
        <v>112.101</v>
      </c>
      <c r="L219">
        <v>0.67689999999999995</v>
      </c>
      <c r="M219" s="6" t="str">
        <f t="shared" si="9"/>
        <v>未买</v>
      </c>
      <c r="P219" s="19">
        <v>217</v>
      </c>
    </row>
    <row r="220" spans="8:16" x14ac:dyDescent="0.15">
      <c r="H220" s="19">
        <v>218</v>
      </c>
      <c r="I220">
        <v>123049</v>
      </c>
      <c r="J220" t="s">
        <v>312</v>
      </c>
      <c r="K220">
        <v>109.07</v>
      </c>
      <c r="L220">
        <v>0.67700000000000005</v>
      </c>
      <c r="M220" s="6" t="str">
        <f t="shared" si="9"/>
        <v>未买</v>
      </c>
      <c r="P220" s="19">
        <v>218</v>
      </c>
    </row>
    <row r="221" spans="8:16" x14ac:dyDescent="0.15">
      <c r="H221" s="19">
        <v>219</v>
      </c>
      <c r="I221">
        <v>123004</v>
      </c>
      <c r="J221" t="s">
        <v>299</v>
      </c>
      <c r="K221">
        <v>106.345</v>
      </c>
      <c r="L221">
        <v>0.67869999999999997</v>
      </c>
      <c r="M221" s="6" t="str">
        <f t="shared" si="9"/>
        <v>未买</v>
      </c>
      <c r="P221" s="19">
        <v>219</v>
      </c>
    </row>
    <row r="222" spans="8:16" x14ac:dyDescent="0.15">
      <c r="H222" s="19">
        <v>220</v>
      </c>
      <c r="I222">
        <v>128023</v>
      </c>
      <c r="J222" t="s">
        <v>332</v>
      </c>
      <c r="K222">
        <v>108.955</v>
      </c>
      <c r="L222">
        <v>0.68400000000000005</v>
      </c>
      <c r="M222" s="6" t="str">
        <f t="shared" si="9"/>
        <v>未买</v>
      </c>
      <c r="P222" s="19">
        <v>220</v>
      </c>
    </row>
    <row r="223" spans="8:16" x14ac:dyDescent="0.15">
      <c r="H223" s="19">
        <v>221</v>
      </c>
      <c r="I223">
        <v>128118</v>
      </c>
      <c r="J223" t="s">
        <v>272</v>
      </c>
      <c r="K223">
        <v>109</v>
      </c>
      <c r="L223">
        <v>0.70240000000000002</v>
      </c>
      <c r="M223" s="6" t="str">
        <f t="shared" si="9"/>
        <v>未买</v>
      </c>
      <c r="P223" s="19">
        <v>221</v>
      </c>
    </row>
    <row r="224" spans="8:16" x14ac:dyDescent="0.15">
      <c r="H224" s="19">
        <v>222</v>
      </c>
      <c r="I224">
        <v>123077</v>
      </c>
      <c r="J224" t="s">
        <v>334</v>
      </c>
      <c r="K224">
        <v>113.5</v>
      </c>
      <c r="L224">
        <v>0.72119999999999995</v>
      </c>
      <c r="M224" s="6" t="str">
        <f t="shared" si="9"/>
        <v>未买</v>
      </c>
      <c r="P224" s="19">
        <v>222</v>
      </c>
    </row>
    <row r="225" spans="8:16" x14ac:dyDescent="0.15">
      <c r="H225" s="19">
        <v>223</v>
      </c>
      <c r="I225">
        <v>113563</v>
      </c>
      <c r="J225" t="s">
        <v>285</v>
      </c>
      <c r="K225">
        <v>108.42</v>
      </c>
      <c r="L225">
        <v>0.7369</v>
      </c>
      <c r="M225" s="6" t="str">
        <f t="shared" si="9"/>
        <v>未买</v>
      </c>
      <c r="P225" s="19">
        <v>223</v>
      </c>
    </row>
    <row r="226" spans="8:16" x14ac:dyDescent="0.15">
      <c r="H226" s="19">
        <v>224</v>
      </c>
      <c r="I226">
        <v>123034</v>
      </c>
      <c r="J226" t="s">
        <v>1197</v>
      </c>
      <c r="K226">
        <v>176.2</v>
      </c>
      <c r="L226">
        <v>0.74009999999999998</v>
      </c>
      <c r="M226" s="6" t="str">
        <f t="shared" si="9"/>
        <v>未买</v>
      </c>
      <c r="P226" s="19">
        <v>224</v>
      </c>
    </row>
    <row r="227" spans="8:16" x14ac:dyDescent="0.15">
      <c r="H227" s="19">
        <v>225</v>
      </c>
      <c r="I227">
        <v>123138</v>
      </c>
      <c r="J227" t="s">
        <v>1119</v>
      </c>
      <c r="K227">
        <v>134.1</v>
      </c>
      <c r="L227">
        <v>0.74419999999999997</v>
      </c>
      <c r="M227" s="6" t="str">
        <f t="shared" si="9"/>
        <v>未买</v>
      </c>
      <c r="P227" s="19">
        <v>225</v>
      </c>
    </row>
    <row r="228" spans="8:16" x14ac:dyDescent="0.15">
      <c r="H228" s="19">
        <v>226</v>
      </c>
      <c r="I228">
        <v>123132</v>
      </c>
      <c r="J228" t="s">
        <v>372</v>
      </c>
      <c r="K228">
        <v>113.893</v>
      </c>
      <c r="L228">
        <v>0.74490000000000001</v>
      </c>
      <c r="M228" s="6" t="str">
        <f t="shared" si="9"/>
        <v>未买</v>
      </c>
      <c r="P228" s="19">
        <v>226</v>
      </c>
    </row>
    <row r="229" spans="8:16" x14ac:dyDescent="0.15">
      <c r="H229" s="19">
        <v>227</v>
      </c>
      <c r="I229">
        <v>128014</v>
      </c>
      <c r="J229" t="s">
        <v>307</v>
      </c>
      <c r="K229">
        <v>109.959</v>
      </c>
      <c r="L229">
        <v>0.74490000000000001</v>
      </c>
      <c r="M229" s="6" t="str">
        <f t="shared" si="9"/>
        <v>未买</v>
      </c>
      <c r="P229" s="19">
        <v>227</v>
      </c>
    </row>
    <row r="230" spans="8:16" x14ac:dyDescent="0.15">
      <c r="H230" s="19">
        <v>228</v>
      </c>
      <c r="I230">
        <v>123136</v>
      </c>
      <c r="J230" t="s">
        <v>424</v>
      </c>
      <c r="K230">
        <v>132.69999999999999</v>
      </c>
      <c r="L230">
        <v>0.75549999999999995</v>
      </c>
      <c r="M230" s="6" t="str">
        <f t="shared" si="9"/>
        <v>未买</v>
      </c>
      <c r="P230" s="19">
        <v>228</v>
      </c>
    </row>
    <row r="231" spans="8:16" x14ac:dyDescent="0.15">
      <c r="H231" s="19">
        <v>229</v>
      </c>
      <c r="I231">
        <v>113566</v>
      </c>
      <c r="J231" t="s">
        <v>313</v>
      </c>
      <c r="K231">
        <v>115.76</v>
      </c>
      <c r="L231">
        <v>0.76839999999999997</v>
      </c>
      <c r="M231" s="6" t="str">
        <f t="shared" si="9"/>
        <v>未买</v>
      </c>
      <c r="P231" s="19">
        <v>229</v>
      </c>
    </row>
    <row r="232" spans="8:16" x14ac:dyDescent="0.15">
      <c r="H232" s="19">
        <v>230</v>
      </c>
      <c r="I232">
        <v>123096</v>
      </c>
      <c r="J232" t="s">
        <v>328</v>
      </c>
      <c r="K232">
        <v>108.357</v>
      </c>
      <c r="L232">
        <v>0.77449999999999997</v>
      </c>
      <c r="M232" s="6" t="str">
        <f t="shared" si="9"/>
        <v>未买</v>
      </c>
      <c r="P232" s="19">
        <v>230</v>
      </c>
    </row>
    <row r="233" spans="8:16" x14ac:dyDescent="0.15">
      <c r="H233" s="19">
        <v>231</v>
      </c>
      <c r="I233">
        <v>128142</v>
      </c>
      <c r="J233" t="s">
        <v>319</v>
      </c>
      <c r="K233">
        <v>112.878</v>
      </c>
      <c r="L233">
        <v>0.77890000000000004</v>
      </c>
      <c r="M233" s="6" t="str">
        <f t="shared" si="9"/>
        <v>未买</v>
      </c>
      <c r="P233" s="19">
        <v>231</v>
      </c>
    </row>
    <row r="234" spans="8:16" x14ac:dyDescent="0.15">
      <c r="H234" s="19">
        <v>232</v>
      </c>
      <c r="I234">
        <v>113594</v>
      </c>
      <c r="J234" t="s">
        <v>192</v>
      </c>
      <c r="K234">
        <v>112.92</v>
      </c>
      <c r="L234">
        <v>0.79159999999999997</v>
      </c>
      <c r="M234" s="6" t="str">
        <f t="shared" si="9"/>
        <v>未买</v>
      </c>
      <c r="P234" s="19">
        <v>232</v>
      </c>
    </row>
    <row r="235" spans="8:16" x14ac:dyDescent="0.15">
      <c r="H235" s="19">
        <v>233</v>
      </c>
      <c r="I235">
        <v>128015</v>
      </c>
      <c r="J235" t="s">
        <v>281</v>
      </c>
      <c r="K235">
        <v>111.3</v>
      </c>
      <c r="L235">
        <v>0.79159999999999997</v>
      </c>
      <c r="M235" s="6" t="str">
        <f t="shared" si="9"/>
        <v>未买</v>
      </c>
      <c r="P235" s="19">
        <v>233</v>
      </c>
    </row>
    <row r="236" spans="8:16" x14ac:dyDescent="0.15">
      <c r="H236" s="19">
        <v>234</v>
      </c>
      <c r="I236">
        <v>128116</v>
      </c>
      <c r="J236" t="s">
        <v>303</v>
      </c>
      <c r="K236">
        <v>105.98699999999999</v>
      </c>
      <c r="L236">
        <v>0.79479999999999995</v>
      </c>
      <c r="M236" s="6" t="str">
        <f t="shared" si="9"/>
        <v>未买</v>
      </c>
      <c r="P236" s="19">
        <v>234</v>
      </c>
    </row>
    <row r="237" spans="8:16" x14ac:dyDescent="0.15">
      <c r="H237" s="19">
        <v>235</v>
      </c>
      <c r="I237">
        <v>128122</v>
      </c>
      <c r="J237" t="s">
        <v>321</v>
      </c>
      <c r="K237">
        <v>112.2</v>
      </c>
      <c r="L237">
        <v>0.80600000000000005</v>
      </c>
      <c r="M237" s="6" t="str">
        <f t="shared" si="9"/>
        <v>未买</v>
      </c>
      <c r="P237" s="19">
        <v>235</v>
      </c>
    </row>
    <row r="238" spans="8:16" x14ac:dyDescent="0.15">
      <c r="H238" s="19">
        <v>236</v>
      </c>
      <c r="I238">
        <v>113604</v>
      </c>
      <c r="J238" t="s">
        <v>280</v>
      </c>
      <c r="K238">
        <v>104.89</v>
      </c>
      <c r="L238">
        <v>0.81510000000000005</v>
      </c>
      <c r="M238" s="6" t="str">
        <f t="shared" si="9"/>
        <v>未买</v>
      </c>
      <c r="P238" s="19">
        <v>236</v>
      </c>
    </row>
    <row r="239" spans="8:16" x14ac:dyDescent="0.15">
      <c r="H239" s="19">
        <v>237</v>
      </c>
      <c r="I239">
        <v>123018</v>
      </c>
      <c r="J239" t="s">
        <v>193</v>
      </c>
      <c r="K239">
        <v>194.298</v>
      </c>
      <c r="L239">
        <v>0.82150000000000001</v>
      </c>
      <c r="M239" s="6" t="str">
        <f t="shared" si="9"/>
        <v>未买</v>
      </c>
      <c r="P239" s="19">
        <v>237</v>
      </c>
    </row>
    <row r="240" spans="8:16" x14ac:dyDescent="0.15">
      <c r="H240" s="19">
        <v>238</v>
      </c>
      <c r="I240">
        <v>113625</v>
      </c>
      <c r="J240" t="s">
        <v>269</v>
      </c>
      <c r="K240">
        <v>111.85</v>
      </c>
      <c r="L240">
        <v>0.82620000000000005</v>
      </c>
      <c r="M240" s="6" t="str">
        <f t="shared" si="9"/>
        <v>未买</v>
      </c>
      <c r="P240" s="19">
        <v>238</v>
      </c>
    </row>
    <row r="241" spans="8:16" x14ac:dyDescent="0.15">
      <c r="H241" s="19">
        <v>239</v>
      </c>
      <c r="I241">
        <v>113608</v>
      </c>
      <c r="J241" t="s">
        <v>182</v>
      </c>
      <c r="K241">
        <v>108.92</v>
      </c>
      <c r="L241">
        <v>0.83420000000000005</v>
      </c>
      <c r="M241" s="6" t="str">
        <f t="shared" si="9"/>
        <v>未买</v>
      </c>
      <c r="P241" s="19">
        <v>239</v>
      </c>
    </row>
    <row r="242" spans="8:16" x14ac:dyDescent="0.15">
      <c r="H242" s="19">
        <v>240</v>
      </c>
      <c r="I242">
        <v>123088</v>
      </c>
      <c r="J242" t="s">
        <v>356</v>
      </c>
      <c r="K242">
        <v>109.39</v>
      </c>
      <c r="L242">
        <v>0.83530000000000004</v>
      </c>
      <c r="M242" s="6" t="str">
        <f t="shared" si="9"/>
        <v>未买</v>
      </c>
      <c r="P242" s="19">
        <v>240</v>
      </c>
    </row>
    <row r="243" spans="8:16" x14ac:dyDescent="0.15">
      <c r="H243" s="19">
        <v>241</v>
      </c>
      <c r="I243">
        <v>123056</v>
      </c>
      <c r="J243" t="s">
        <v>276</v>
      </c>
      <c r="K243">
        <v>107.741</v>
      </c>
      <c r="L243">
        <v>0.83679999999999999</v>
      </c>
      <c r="M243" s="6" t="str">
        <f t="shared" si="9"/>
        <v>未买</v>
      </c>
      <c r="P243" s="19">
        <v>241</v>
      </c>
    </row>
    <row r="244" spans="8:16" x14ac:dyDescent="0.15">
      <c r="H244" s="19">
        <v>242</v>
      </c>
      <c r="I244">
        <v>113638</v>
      </c>
      <c r="J244" t="s">
        <v>427</v>
      </c>
      <c r="K244">
        <v>111.95</v>
      </c>
      <c r="L244">
        <v>0.85519999999999996</v>
      </c>
      <c r="M244" s="6" t="str">
        <f t="shared" si="9"/>
        <v>未买</v>
      </c>
      <c r="P244" s="19">
        <v>242</v>
      </c>
    </row>
    <row r="245" spans="8:16" x14ac:dyDescent="0.15">
      <c r="H245" s="19">
        <v>243</v>
      </c>
      <c r="I245">
        <v>113593</v>
      </c>
      <c r="J245" t="s">
        <v>176</v>
      </c>
      <c r="K245">
        <v>111.37</v>
      </c>
      <c r="L245">
        <v>0.86229999999999996</v>
      </c>
      <c r="M245" s="6" t="str">
        <f t="shared" si="9"/>
        <v>未买</v>
      </c>
      <c r="P245" s="19">
        <v>243</v>
      </c>
    </row>
    <row r="246" spans="8:16" x14ac:dyDescent="0.15">
      <c r="H246" s="19">
        <v>244</v>
      </c>
      <c r="I246">
        <v>128083</v>
      </c>
      <c r="J246" t="s">
        <v>308</v>
      </c>
      <c r="K246">
        <v>111.917</v>
      </c>
      <c r="L246">
        <v>0.87070000000000003</v>
      </c>
      <c r="M246" s="6" t="str">
        <f t="shared" si="9"/>
        <v>未买</v>
      </c>
      <c r="P246" s="19">
        <v>244</v>
      </c>
    </row>
    <row r="247" spans="8:16" x14ac:dyDescent="0.15">
      <c r="H247" s="19">
        <v>245</v>
      </c>
      <c r="I247">
        <v>123116</v>
      </c>
      <c r="J247" t="s">
        <v>331</v>
      </c>
      <c r="K247">
        <v>114.313</v>
      </c>
      <c r="L247">
        <v>0.87160000000000004</v>
      </c>
      <c r="M247" s="6" t="str">
        <f t="shared" si="9"/>
        <v>未买</v>
      </c>
      <c r="P247" s="19">
        <v>245</v>
      </c>
    </row>
    <row r="248" spans="8:16" x14ac:dyDescent="0.15">
      <c r="H248" s="19">
        <v>246</v>
      </c>
      <c r="I248">
        <v>113597</v>
      </c>
      <c r="J248" t="s">
        <v>275</v>
      </c>
      <c r="K248">
        <v>125.5</v>
      </c>
      <c r="L248">
        <v>0.87560000000000004</v>
      </c>
      <c r="M248" s="6" t="str">
        <f t="shared" si="9"/>
        <v>未买</v>
      </c>
      <c r="P248" s="19">
        <v>246</v>
      </c>
    </row>
    <row r="249" spans="8:16" x14ac:dyDescent="0.15">
      <c r="H249" s="19">
        <v>247</v>
      </c>
      <c r="I249">
        <v>123010</v>
      </c>
      <c r="J249" t="s">
        <v>316</v>
      </c>
      <c r="K249">
        <v>109.236</v>
      </c>
      <c r="L249">
        <v>0.87790000000000001</v>
      </c>
      <c r="M249" s="6" t="str">
        <f t="shared" si="9"/>
        <v>未买</v>
      </c>
      <c r="P249" s="19">
        <v>247</v>
      </c>
    </row>
    <row r="250" spans="8:16" x14ac:dyDescent="0.15">
      <c r="H250" s="19">
        <v>248</v>
      </c>
      <c r="I250">
        <v>113542</v>
      </c>
      <c r="J250" t="s">
        <v>296</v>
      </c>
      <c r="K250">
        <v>106.5</v>
      </c>
      <c r="L250">
        <v>0.89100000000000001</v>
      </c>
      <c r="M250" s="6" t="str">
        <f t="shared" si="9"/>
        <v>未买</v>
      </c>
      <c r="P250" s="19">
        <v>248</v>
      </c>
    </row>
    <row r="251" spans="8:16" x14ac:dyDescent="0.15">
      <c r="H251" s="19">
        <v>249</v>
      </c>
      <c r="I251">
        <v>113573</v>
      </c>
      <c r="J251" t="s">
        <v>263</v>
      </c>
      <c r="K251">
        <v>111.29</v>
      </c>
      <c r="L251">
        <v>0.89139999999999997</v>
      </c>
      <c r="M251" s="6" t="str">
        <f t="shared" si="9"/>
        <v>未买</v>
      </c>
      <c r="P251" s="19">
        <v>249</v>
      </c>
    </row>
    <row r="252" spans="8:16" x14ac:dyDescent="0.15">
      <c r="H252" s="19">
        <v>250</v>
      </c>
      <c r="I252">
        <v>123093</v>
      </c>
      <c r="J252" t="s">
        <v>261</v>
      </c>
      <c r="K252">
        <v>115.09</v>
      </c>
      <c r="L252">
        <v>0.89400000000000002</v>
      </c>
      <c r="M252" s="6" t="str">
        <f t="shared" si="9"/>
        <v>未买</v>
      </c>
      <c r="P252" s="19">
        <v>250</v>
      </c>
    </row>
    <row r="253" spans="8:16" x14ac:dyDescent="0.15">
      <c r="H253" s="19">
        <v>251</v>
      </c>
      <c r="I253">
        <v>123109</v>
      </c>
      <c r="J253" t="s">
        <v>1196</v>
      </c>
      <c r="K253">
        <v>110.188</v>
      </c>
      <c r="L253">
        <v>0.90500000000000003</v>
      </c>
      <c r="M253" s="6" t="str">
        <f t="shared" si="9"/>
        <v>未买</v>
      </c>
      <c r="P253" s="19">
        <v>251</v>
      </c>
    </row>
    <row r="254" spans="8:16" x14ac:dyDescent="0.15">
      <c r="H254" s="19">
        <v>252</v>
      </c>
      <c r="I254">
        <v>127053</v>
      </c>
      <c r="J254" t="s">
        <v>1123</v>
      </c>
      <c r="K254">
        <v>107.37</v>
      </c>
      <c r="L254">
        <v>0.91190000000000004</v>
      </c>
      <c r="M254" s="6" t="str">
        <f t="shared" si="9"/>
        <v>未买</v>
      </c>
      <c r="P254" s="19">
        <v>252</v>
      </c>
    </row>
    <row r="255" spans="8:16" x14ac:dyDescent="0.15">
      <c r="H255" s="19">
        <v>253</v>
      </c>
      <c r="I255">
        <v>128074</v>
      </c>
      <c r="J255" t="s">
        <v>326</v>
      </c>
      <c r="K255">
        <v>108.233</v>
      </c>
      <c r="L255">
        <v>0.91720000000000002</v>
      </c>
      <c r="M255" s="6" t="str">
        <f t="shared" si="9"/>
        <v>未买</v>
      </c>
      <c r="P255" s="19">
        <v>253</v>
      </c>
    </row>
    <row r="256" spans="8:16" x14ac:dyDescent="0.15">
      <c r="H256" s="19">
        <v>254</v>
      </c>
      <c r="I256">
        <v>118004</v>
      </c>
      <c r="J256" t="s">
        <v>429</v>
      </c>
      <c r="K256">
        <v>112.38</v>
      </c>
      <c r="L256">
        <v>0.93799999999999994</v>
      </c>
      <c r="M256" s="6" t="str">
        <f t="shared" si="9"/>
        <v>未买</v>
      </c>
      <c r="P256" s="19">
        <v>254</v>
      </c>
    </row>
    <row r="257" spans="8:16" x14ac:dyDescent="0.15">
      <c r="H257" s="19">
        <v>255</v>
      </c>
      <c r="I257">
        <v>123122</v>
      </c>
      <c r="J257" t="s">
        <v>295</v>
      </c>
      <c r="K257">
        <v>111.901</v>
      </c>
      <c r="L257">
        <v>0.9536</v>
      </c>
      <c r="M257" s="6" t="str">
        <f t="shared" si="9"/>
        <v>未买</v>
      </c>
      <c r="P257" s="19">
        <v>255</v>
      </c>
    </row>
    <row r="258" spans="8:16" x14ac:dyDescent="0.15">
      <c r="H258" s="19">
        <v>256</v>
      </c>
      <c r="I258">
        <v>128124</v>
      </c>
      <c r="J258" t="s">
        <v>289</v>
      </c>
      <c r="K258">
        <v>97</v>
      </c>
      <c r="L258">
        <v>0.96489999999999998</v>
      </c>
      <c r="M258" s="6" t="str">
        <f t="shared" si="9"/>
        <v>未买</v>
      </c>
      <c r="P258" s="19">
        <v>256</v>
      </c>
    </row>
    <row r="259" spans="8:16" x14ac:dyDescent="0.15">
      <c r="H259" s="19">
        <v>257</v>
      </c>
      <c r="I259">
        <v>123143</v>
      </c>
      <c r="J259" t="s">
        <v>1212</v>
      </c>
      <c r="K259">
        <v>155.9</v>
      </c>
      <c r="L259">
        <v>0.96550000000000002</v>
      </c>
      <c r="M259" s="6" t="str">
        <f t="shared" si="9"/>
        <v>未买</v>
      </c>
      <c r="P259" s="19">
        <v>257</v>
      </c>
    </row>
    <row r="260" spans="8:16" x14ac:dyDescent="0.15">
      <c r="H260" s="19">
        <v>258</v>
      </c>
      <c r="I260">
        <v>118003</v>
      </c>
      <c r="J260" t="s">
        <v>371</v>
      </c>
      <c r="K260">
        <v>111.76</v>
      </c>
      <c r="L260">
        <v>0.96579999999999999</v>
      </c>
      <c r="M260" s="6" t="str">
        <f t="shared" ref="M260:M292" si="10">IF(ISNA(MATCH(I260,$A$3:$A$1000,0)),"未买","Yes")</f>
        <v>未买</v>
      </c>
      <c r="P260" s="19">
        <v>258</v>
      </c>
    </row>
    <row r="261" spans="8:16" x14ac:dyDescent="0.15">
      <c r="H261" s="19">
        <v>259</v>
      </c>
      <c r="I261">
        <v>123099</v>
      </c>
      <c r="J261" t="s">
        <v>363</v>
      </c>
      <c r="K261">
        <v>110.997</v>
      </c>
      <c r="L261">
        <v>0.97650000000000003</v>
      </c>
      <c r="M261" s="6" t="str">
        <f t="shared" si="10"/>
        <v>未买</v>
      </c>
      <c r="P261" s="19">
        <v>259</v>
      </c>
    </row>
    <row r="262" spans="8:16" x14ac:dyDescent="0.15">
      <c r="H262" s="19">
        <v>260</v>
      </c>
      <c r="I262">
        <v>128072</v>
      </c>
      <c r="J262" t="s">
        <v>274</v>
      </c>
      <c r="K262">
        <v>108.925</v>
      </c>
      <c r="L262">
        <v>0.97919999999999996</v>
      </c>
      <c r="M262" s="6" t="str">
        <f t="shared" si="10"/>
        <v>未买</v>
      </c>
      <c r="P262" s="19">
        <v>260</v>
      </c>
    </row>
    <row r="263" spans="8:16" x14ac:dyDescent="0.15">
      <c r="H263" s="19">
        <v>261</v>
      </c>
      <c r="I263">
        <v>113639</v>
      </c>
      <c r="J263" t="s">
        <v>1122</v>
      </c>
      <c r="K263">
        <v>105.6</v>
      </c>
      <c r="L263">
        <v>0.98360000000000003</v>
      </c>
      <c r="M263" s="6" t="str">
        <f t="shared" si="10"/>
        <v>未买</v>
      </c>
      <c r="P263" s="19">
        <v>261</v>
      </c>
    </row>
    <row r="264" spans="8:16" x14ac:dyDescent="0.15">
      <c r="H264" s="19">
        <v>262</v>
      </c>
      <c r="I264">
        <v>123038</v>
      </c>
      <c r="J264" t="s">
        <v>190</v>
      </c>
      <c r="K264">
        <v>122.1</v>
      </c>
      <c r="L264">
        <v>1.0005999999999999</v>
      </c>
      <c r="M264" s="6" t="str">
        <f t="shared" si="10"/>
        <v>未买</v>
      </c>
      <c r="P264" s="19">
        <v>262</v>
      </c>
    </row>
    <row r="265" spans="8:16" x14ac:dyDescent="0.15">
      <c r="H265" s="19">
        <v>263</v>
      </c>
      <c r="I265">
        <v>127041</v>
      </c>
      <c r="J265" t="s">
        <v>318</v>
      </c>
      <c r="K265">
        <v>109.2</v>
      </c>
      <c r="L265">
        <v>1.034</v>
      </c>
      <c r="M265" s="6" t="str">
        <f t="shared" si="10"/>
        <v>未买</v>
      </c>
      <c r="P265" s="19">
        <v>263</v>
      </c>
    </row>
    <row r="266" spans="8:16" x14ac:dyDescent="0.15">
      <c r="H266" s="19">
        <v>264</v>
      </c>
      <c r="I266">
        <v>127051</v>
      </c>
      <c r="J266" t="s">
        <v>373</v>
      </c>
      <c r="K266">
        <v>121.497</v>
      </c>
      <c r="L266">
        <v>1.0348999999999999</v>
      </c>
      <c r="M266" s="6" t="str">
        <f t="shared" si="10"/>
        <v>未买</v>
      </c>
      <c r="P266" s="19">
        <v>264</v>
      </c>
    </row>
    <row r="267" spans="8:16" x14ac:dyDescent="0.15">
      <c r="H267" s="19">
        <v>265</v>
      </c>
      <c r="I267">
        <v>128117</v>
      </c>
      <c r="J267" t="s">
        <v>273</v>
      </c>
      <c r="K267">
        <v>109.136</v>
      </c>
      <c r="L267">
        <v>1.0710999999999999</v>
      </c>
      <c r="M267" s="6" t="str">
        <f t="shared" si="10"/>
        <v>未买</v>
      </c>
      <c r="P267" s="19">
        <v>265</v>
      </c>
    </row>
    <row r="268" spans="8:16" x14ac:dyDescent="0.15">
      <c r="H268" s="19">
        <v>266</v>
      </c>
      <c r="I268">
        <v>123126</v>
      </c>
      <c r="J268" t="s">
        <v>302</v>
      </c>
      <c r="K268">
        <v>111.499</v>
      </c>
      <c r="L268">
        <v>1.0958000000000001</v>
      </c>
      <c r="M268" s="6" t="str">
        <f t="shared" si="10"/>
        <v>未买</v>
      </c>
      <c r="P268" s="19">
        <v>266</v>
      </c>
    </row>
    <row r="269" spans="8:16" x14ac:dyDescent="0.15">
      <c r="H269" s="19">
        <v>267</v>
      </c>
      <c r="I269">
        <v>113624</v>
      </c>
      <c r="J269" t="s">
        <v>298</v>
      </c>
      <c r="K269">
        <v>107.89</v>
      </c>
      <c r="L269">
        <v>1.1032999999999999</v>
      </c>
      <c r="M269" s="6" t="str">
        <f t="shared" si="10"/>
        <v>未买</v>
      </c>
      <c r="P269" s="19">
        <v>267</v>
      </c>
    </row>
    <row r="270" spans="8:16" x14ac:dyDescent="0.15">
      <c r="H270" s="19">
        <v>268</v>
      </c>
      <c r="I270">
        <v>128125</v>
      </c>
      <c r="J270" t="s">
        <v>268</v>
      </c>
      <c r="K270">
        <v>107.491</v>
      </c>
      <c r="L270">
        <v>1.1322000000000001</v>
      </c>
      <c r="M270" s="6" t="str">
        <f t="shared" si="10"/>
        <v>未买</v>
      </c>
      <c r="P270" s="19">
        <v>268</v>
      </c>
    </row>
    <row r="271" spans="8:16" x14ac:dyDescent="0.15">
      <c r="H271" s="19">
        <v>269</v>
      </c>
      <c r="I271">
        <v>123140</v>
      </c>
      <c r="J271" t="s">
        <v>1121</v>
      </c>
      <c r="K271">
        <v>179</v>
      </c>
      <c r="L271">
        <v>1.1546000000000001</v>
      </c>
      <c r="M271" s="6" t="str">
        <f t="shared" si="10"/>
        <v>未买</v>
      </c>
      <c r="P271" s="19">
        <v>269</v>
      </c>
    </row>
    <row r="272" spans="8:16" x14ac:dyDescent="0.15">
      <c r="H272" s="19">
        <v>270</v>
      </c>
      <c r="I272">
        <v>111003</v>
      </c>
      <c r="J272" t="s">
        <v>1213</v>
      </c>
      <c r="K272">
        <v>163.86</v>
      </c>
      <c r="L272">
        <v>1.1577999999999999</v>
      </c>
      <c r="M272" s="6" t="str">
        <f t="shared" si="10"/>
        <v>未买</v>
      </c>
      <c r="P272" s="19">
        <v>270</v>
      </c>
    </row>
    <row r="273" spans="8:16" x14ac:dyDescent="0.15">
      <c r="H273" s="19">
        <v>271</v>
      </c>
      <c r="I273">
        <v>123011</v>
      </c>
      <c r="J273" t="s">
        <v>290</v>
      </c>
      <c r="K273">
        <v>113.681</v>
      </c>
      <c r="L273">
        <v>1.1765000000000001</v>
      </c>
      <c r="M273" s="6" t="str">
        <f t="shared" si="10"/>
        <v>未买</v>
      </c>
      <c r="P273" s="19">
        <v>271</v>
      </c>
    </row>
    <row r="274" spans="8:16" x14ac:dyDescent="0.15">
      <c r="H274" s="19">
        <v>272</v>
      </c>
      <c r="I274">
        <v>123117</v>
      </c>
      <c r="J274" t="s">
        <v>265</v>
      </c>
      <c r="K274">
        <v>109.99299999999999</v>
      </c>
      <c r="L274">
        <v>1.2544</v>
      </c>
      <c r="M274" s="6" t="str">
        <f t="shared" si="10"/>
        <v>未买</v>
      </c>
      <c r="P274" s="19">
        <v>272</v>
      </c>
    </row>
    <row r="275" spans="8:16" x14ac:dyDescent="0.15">
      <c r="H275" s="19">
        <v>273</v>
      </c>
      <c r="I275">
        <v>123076</v>
      </c>
      <c r="J275" t="s">
        <v>279</v>
      </c>
      <c r="K275">
        <v>104.8</v>
      </c>
      <c r="L275">
        <v>1.2633000000000001</v>
      </c>
      <c r="M275" s="6" t="str">
        <f t="shared" si="10"/>
        <v>未买</v>
      </c>
      <c r="P275" s="19">
        <v>273</v>
      </c>
    </row>
    <row r="276" spans="8:16" x14ac:dyDescent="0.15">
      <c r="H276" s="19">
        <v>274</v>
      </c>
      <c r="I276">
        <v>123124</v>
      </c>
      <c r="J276" t="s">
        <v>317</v>
      </c>
      <c r="K276">
        <v>110.27200000000001</v>
      </c>
      <c r="L276">
        <v>1.2679</v>
      </c>
      <c r="M276" s="6" t="str">
        <f t="shared" si="10"/>
        <v>未买</v>
      </c>
      <c r="P276" s="19">
        <v>274</v>
      </c>
    </row>
    <row r="277" spans="8:16" x14ac:dyDescent="0.15">
      <c r="H277" s="19">
        <v>275</v>
      </c>
      <c r="I277">
        <v>113595</v>
      </c>
      <c r="J277" t="s">
        <v>259</v>
      </c>
      <c r="K277">
        <v>100.17</v>
      </c>
      <c r="L277">
        <v>1.3106</v>
      </c>
      <c r="M277" s="6" t="str">
        <f t="shared" si="10"/>
        <v>未买</v>
      </c>
      <c r="P277" s="19">
        <v>275</v>
      </c>
    </row>
    <row r="278" spans="8:16" x14ac:dyDescent="0.15">
      <c r="H278" s="19">
        <v>276</v>
      </c>
      <c r="I278">
        <v>128138</v>
      </c>
      <c r="J278" t="s">
        <v>266</v>
      </c>
      <c r="K278">
        <v>112.724</v>
      </c>
      <c r="L278">
        <v>1.3120000000000001</v>
      </c>
      <c r="M278" s="6" t="str">
        <f t="shared" si="10"/>
        <v>未买</v>
      </c>
      <c r="P278" s="19">
        <v>276</v>
      </c>
    </row>
    <row r="279" spans="8:16" x14ac:dyDescent="0.15">
      <c r="H279" s="19">
        <v>277</v>
      </c>
      <c r="I279">
        <v>123039</v>
      </c>
      <c r="J279" t="s">
        <v>286</v>
      </c>
      <c r="K279">
        <v>135</v>
      </c>
      <c r="L279">
        <v>1.3348</v>
      </c>
      <c r="M279" s="6" t="str">
        <f t="shared" si="10"/>
        <v>未买</v>
      </c>
      <c r="P279" s="19">
        <v>277</v>
      </c>
    </row>
    <row r="280" spans="8:16" x14ac:dyDescent="0.15">
      <c r="H280" s="19">
        <v>278</v>
      </c>
      <c r="I280">
        <v>110044</v>
      </c>
      <c r="J280" t="s">
        <v>254</v>
      </c>
      <c r="K280">
        <v>213.2</v>
      </c>
      <c r="L280">
        <v>1.3434999999999999</v>
      </c>
      <c r="M280" s="6" t="str">
        <f t="shared" si="10"/>
        <v>未买</v>
      </c>
      <c r="P280" s="19">
        <v>278</v>
      </c>
    </row>
    <row r="281" spans="8:16" x14ac:dyDescent="0.15">
      <c r="H281" s="19">
        <v>279</v>
      </c>
      <c r="I281">
        <v>113569</v>
      </c>
      <c r="J281" t="s">
        <v>258</v>
      </c>
      <c r="K281">
        <v>104.61</v>
      </c>
      <c r="L281">
        <v>1.3493999999999999</v>
      </c>
      <c r="M281" s="6" t="str">
        <f t="shared" si="10"/>
        <v>未买</v>
      </c>
      <c r="P281" s="19">
        <v>279</v>
      </c>
    </row>
    <row r="282" spans="8:16" x14ac:dyDescent="0.15">
      <c r="H282" s="19">
        <v>280</v>
      </c>
      <c r="I282">
        <v>113589</v>
      </c>
      <c r="J282" t="s">
        <v>264</v>
      </c>
      <c r="K282">
        <v>99.99</v>
      </c>
      <c r="L282">
        <v>1.3908</v>
      </c>
      <c r="M282" s="6" t="str">
        <f t="shared" si="10"/>
        <v>未买</v>
      </c>
      <c r="P282" s="19">
        <v>280</v>
      </c>
    </row>
    <row r="283" spans="8:16" x14ac:dyDescent="0.15">
      <c r="H283" s="19">
        <v>281</v>
      </c>
      <c r="I283">
        <v>123134</v>
      </c>
      <c r="J283" t="s">
        <v>430</v>
      </c>
      <c r="K283">
        <v>208</v>
      </c>
      <c r="L283">
        <v>1.4186000000000001</v>
      </c>
      <c r="M283" s="6" t="str">
        <f t="shared" si="10"/>
        <v>未买</v>
      </c>
      <c r="P283" s="19">
        <v>281</v>
      </c>
    </row>
    <row r="284" spans="8:16" x14ac:dyDescent="0.15">
      <c r="H284" s="19">
        <v>282</v>
      </c>
      <c r="I284">
        <v>123090</v>
      </c>
      <c r="J284" t="s">
        <v>301</v>
      </c>
      <c r="K284">
        <v>107.658</v>
      </c>
      <c r="L284">
        <v>1.4594</v>
      </c>
      <c r="M284" s="6" t="str">
        <f t="shared" si="10"/>
        <v>未买</v>
      </c>
      <c r="P284" s="19">
        <v>282</v>
      </c>
    </row>
    <row r="285" spans="8:16" x14ac:dyDescent="0.15">
      <c r="H285" s="19">
        <v>283</v>
      </c>
      <c r="I285">
        <v>127004</v>
      </c>
      <c r="J285" t="s">
        <v>256</v>
      </c>
      <c r="K285">
        <v>144.16</v>
      </c>
      <c r="L285">
        <v>1.4733000000000001</v>
      </c>
      <c r="M285" s="6" t="str">
        <f t="shared" si="10"/>
        <v>未买</v>
      </c>
      <c r="P285" s="19">
        <v>283</v>
      </c>
    </row>
    <row r="286" spans="8:16" x14ac:dyDescent="0.15">
      <c r="H286" s="19">
        <v>284</v>
      </c>
      <c r="I286">
        <v>113575</v>
      </c>
      <c r="J286" t="s">
        <v>270</v>
      </c>
      <c r="K286">
        <v>127.23</v>
      </c>
      <c r="L286">
        <v>1.5095000000000001</v>
      </c>
      <c r="M286" s="6" t="str">
        <f t="shared" si="10"/>
        <v>未买</v>
      </c>
      <c r="P286" s="19">
        <v>284</v>
      </c>
    </row>
    <row r="287" spans="8:16" x14ac:dyDescent="0.15">
      <c r="H287" s="19">
        <v>285</v>
      </c>
      <c r="I287">
        <v>123104</v>
      </c>
      <c r="J287" t="s">
        <v>297</v>
      </c>
      <c r="K287">
        <v>113.49</v>
      </c>
      <c r="L287">
        <v>1.6012</v>
      </c>
      <c r="M287" s="6" t="str">
        <f t="shared" si="10"/>
        <v>未买</v>
      </c>
      <c r="P287" s="19">
        <v>285</v>
      </c>
    </row>
    <row r="288" spans="8:16" x14ac:dyDescent="0.15">
      <c r="H288" s="19">
        <v>286</v>
      </c>
      <c r="I288">
        <v>113627</v>
      </c>
      <c r="J288" t="s">
        <v>267</v>
      </c>
      <c r="K288">
        <v>106.73</v>
      </c>
      <c r="L288">
        <v>1.6095999999999999</v>
      </c>
      <c r="M288" s="6" t="str">
        <f t="shared" si="10"/>
        <v>未买</v>
      </c>
      <c r="P288" s="19">
        <v>286</v>
      </c>
    </row>
    <row r="289" spans="8:16" x14ac:dyDescent="0.15">
      <c r="H289" s="19">
        <v>287</v>
      </c>
      <c r="I289">
        <v>128041</v>
      </c>
      <c r="J289" t="s">
        <v>253</v>
      </c>
      <c r="K289">
        <v>249.2</v>
      </c>
      <c r="L289">
        <v>1.7816000000000001</v>
      </c>
      <c r="M289" s="6" t="str">
        <f t="shared" si="10"/>
        <v>未买</v>
      </c>
      <c r="P289" s="19">
        <v>287</v>
      </c>
    </row>
    <row r="290" spans="8:16" x14ac:dyDescent="0.15">
      <c r="H290" s="19">
        <v>288</v>
      </c>
      <c r="I290">
        <v>123101</v>
      </c>
      <c r="J290" t="s">
        <v>271</v>
      </c>
      <c r="K290">
        <v>106.54300000000001</v>
      </c>
      <c r="L290">
        <v>1.7977000000000001</v>
      </c>
      <c r="M290" s="6" t="str">
        <f t="shared" si="10"/>
        <v>未买</v>
      </c>
      <c r="P290" s="19">
        <v>288</v>
      </c>
    </row>
    <row r="291" spans="8:16" x14ac:dyDescent="0.15">
      <c r="H291" s="19">
        <v>289</v>
      </c>
      <c r="I291">
        <v>123065</v>
      </c>
      <c r="J291" t="s">
        <v>255</v>
      </c>
      <c r="K291">
        <v>114.5</v>
      </c>
      <c r="L291">
        <v>1.9106000000000001</v>
      </c>
      <c r="M291" s="6" t="str">
        <f t="shared" si="10"/>
        <v>未买</v>
      </c>
      <c r="P291" s="19">
        <v>289</v>
      </c>
    </row>
    <row r="292" spans="8:16" x14ac:dyDescent="0.15">
      <c r="H292" s="19">
        <v>290</v>
      </c>
      <c r="I292">
        <v>113576</v>
      </c>
      <c r="J292" t="s">
        <v>257</v>
      </c>
      <c r="K292">
        <v>108.45</v>
      </c>
      <c r="L292">
        <v>1.9488000000000001</v>
      </c>
      <c r="M292" s="6" t="str">
        <f t="shared" si="10"/>
        <v>未买</v>
      </c>
      <c r="P292" s="19">
        <v>290</v>
      </c>
    </row>
  </sheetData>
  <autoFilter ref="A2:T402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750"/>
  <sheetViews>
    <sheetView tabSelected="1" zoomScaleNormal="100" workbookViewId="0">
      <pane ySplit="2" topLeftCell="A3" activePane="bottomLeft" state="frozen"/>
      <selection pane="bottomLeft" activeCell="S6" sqref="S6"/>
    </sheetView>
  </sheetViews>
  <sheetFormatPr defaultRowHeight="14.25" x14ac:dyDescent="0.15"/>
  <cols>
    <col min="1" max="2" width="12.25" style="8" bestFit="1" customWidth="1"/>
    <col min="3" max="3" width="8.5" style="8" bestFit="1" customWidth="1"/>
    <col min="4" max="4" width="15.875" style="6" customWidth="1"/>
    <col min="5" max="5" width="14.25" style="16" customWidth="1"/>
    <col min="6" max="7" width="9" style="8"/>
    <col min="8" max="8" width="4.125" style="19" customWidth="1"/>
    <col min="9" max="10" width="12.25" style="8" bestFit="1" customWidth="1"/>
    <col min="11" max="11" width="8.5" style="8" bestFit="1" customWidth="1"/>
    <col min="12" max="12" width="10.125" style="8" bestFit="1" customWidth="1"/>
    <col min="13" max="13" width="10.125" style="8" customWidth="1"/>
    <col min="14" max="14" width="12.25" style="8" bestFit="1" customWidth="1"/>
    <col min="15" max="16" width="9" style="8"/>
    <col min="17" max="17" width="3.75" style="19" customWidth="1"/>
    <col min="18" max="19" width="12.25" style="8" bestFit="1" customWidth="1"/>
    <col min="20" max="20" width="8.5" style="8" bestFit="1" customWidth="1"/>
    <col min="21" max="21" width="12.25" style="8" bestFit="1" customWidth="1"/>
    <col min="22" max="16384" width="9" style="8"/>
  </cols>
  <sheetData>
    <row r="1" spans="1:21" x14ac:dyDescent="0.15">
      <c r="A1" s="9" t="s">
        <v>433</v>
      </c>
      <c r="B1" s="9"/>
      <c r="D1" s="8"/>
      <c r="E1" s="8"/>
      <c r="I1" s="9" t="s">
        <v>1204</v>
      </c>
      <c r="R1" s="9" t="s">
        <v>1203</v>
      </c>
    </row>
    <row r="2" spans="1:21" s="7" customFormat="1" x14ac:dyDescent="0.15">
      <c r="A2" s="7" t="s">
        <v>175</v>
      </c>
      <c r="B2" s="7" t="s">
        <v>174</v>
      </c>
      <c r="C2" s="7" t="s">
        <v>173</v>
      </c>
      <c r="D2" s="5" t="s">
        <v>1161</v>
      </c>
      <c r="E2" s="15" t="s">
        <v>1152</v>
      </c>
      <c r="H2" s="20"/>
      <c r="I2" s="7" t="s">
        <v>175</v>
      </c>
      <c r="J2" s="7" t="s">
        <v>174</v>
      </c>
      <c r="K2" s="7" t="s">
        <v>173</v>
      </c>
      <c r="L2" s="7" t="s">
        <v>431</v>
      </c>
      <c r="M2" s="7" t="s">
        <v>1198</v>
      </c>
      <c r="N2" s="5" t="s">
        <v>374</v>
      </c>
      <c r="Q2" s="20"/>
      <c r="R2" s="7" t="s">
        <v>175</v>
      </c>
      <c r="S2" s="7" t="s">
        <v>174</v>
      </c>
      <c r="T2" s="7" t="s">
        <v>173</v>
      </c>
      <c r="U2" s="5" t="s">
        <v>374</v>
      </c>
    </row>
    <row r="3" spans="1:21" s="4" customFormat="1" x14ac:dyDescent="0.15">
      <c r="A3" s="4">
        <v>110070</v>
      </c>
      <c r="B3" s="4" t="s">
        <v>205</v>
      </c>
      <c r="C3" s="4">
        <f>VLOOKUP(A3,$I$1:$K$1000,3,FALSE)</f>
        <v>122.53</v>
      </c>
      <c r="D3" s="6">
        <f>MATCH(A3,$I$1:$I$1000,0)-2</f>
        <v>67</v>
      </c>
      <c r="E3" s="6">
        <f t="shared" ref="E3:E17" si="0">MATCH(A3,$R$1:$R$200,0)-2</f>
        <v>24</v>
      </c>
      <c r="H3" s="21">
        <v>1</v>
      </c>
      <c r="I3">
        <v>128100</v>
      </c>
      <c r="J3" t="s">
        <v>164</v>
      </c>
      <c r="K3">
        <v>100.5</v>
      </c>
      <c r="L3">
        <v>0.12280000000000001</v>
      </c>
      <c r="M3">
        <v>112.78</v>
      </c>
      <c r="N3" s="6" t="str">
        <f>IF(ISNA(MATCH(I3,$A$3:$A$1000,0)),"未买","Yes")</f>
        <v>Yes</v>
      </c>
      <c r="Q3" s="21">
        <v>1</v>
      </c>
      <c r="R3" s="8">
        <v>128085</v>
      </c>
      <c r="S3" s="8" t="s">
        <v>1149</v>
      </c>
      <c r="T3" s="8">
        <f>VLOOKUP(R3,$I$1:$K$1000,3,FALSE)</f>
        <v>113.431</v>
      </c>
      <c r="U3" s="6" t="str">
        <f>IF(ISNA(MATCH(R3,$A$3:$A$1000,0)),"未买","Yes")</f>
        <v>未买</v>
      </c>
    </row>
    <row r="4" spans="1:21" s="4" customFormat="1" x14ac:dyDescent="0.15">
      <c r="A4" s="4">
        <v>110080</v>
      </c>
      <c r="B4" s="4" t="s">
        <v>350</v>
      </c>
      <c r="C4" s="4" t="e">
        <f t="shared" ref="C4:C17" si="1">VLOOKUP(A4,$I$1:$K$1000,3,FALSE)</f>
        <v>#N/A</v>
      </c>
      <c r="D4" s="6" t="e">
        <f t="shared" ref="D4:D17" si="2">MATCH(A4,$I$1:$I$1000,0)-2</f>
        <v>#N/A</v>
      </c>
      <c r="E4" s="6" t="e">
        <f t="shared" si="0"/>
        <v>#N/A</v>
      </c>
      <c r="H4" s="21">
        <v>2</v>
      </c>
      <c r="I4">
        <v>128013</v>
      </c>
      <c r="J4" t="s">
        <v>168</v>
      </c>
      <c r="K4">
        <v>110.19</v>
      </c>
      <c r="L4">
        <v>0.1019</v>
      </c>
      <c r="M4">
        <v>120.38</v>
      </c>
      <c r="N4" s="6" t="str">
        <f t="shared" ref="N4:N67" si="3">IF(ISNA(MATCH(I4,$A$3:$A$1000,0)),"未买","Yes")</f>
        <v>Yes</v>
      </c>
      <c r="Q4" s="21">
        <v>2</v>
      </c>
      <c r="R4" s="8">
        <v>128100</v>
      </c>
      <c r="S4" s="8" t="s">
        <v>164</v>
      </c>
      <c r="T4" s="8">
        <f t="shared" ref="T4:T42" si="4">VLOOKUP(R4,$I$1:$K$1000,3,FALSE)</f>
        <v>100.5</v>
      </c>
      <c r="U4" s="6" t="str">
        <f t="shared" ref="U4:U42" si="5">IF(ISNA(MATCH(R4,$A$3:$A$1000,0)),"未买","Yes")</f>
        <v>Yes</v>
      </c>
    </row>
    <row r="5" spans="1:21" x14ac:dyDescent="0.15">
      <c r="A5" s="8">
        <v>113017</v>
      </c>
      <c r="B5" s="8" t="s">
        <v>228</v>
      </c>
      <c r="C5" s="4" t="e">
        <f t="shared" si="1"/>
        <v>#N/A</v>
      </c>
      <c r="D5" s="6" t="e">
        <f t="shared" si="2"/>
        <v>#N/A</v>
      </c>
      <c r="E5" s="6" t="e">
        <f t="shared" si="0"/>
        <v>#N/A</v>
      </c>
      <c r="H5" s="21">
        <v>3</v>
      </c>
      <c r="I5">
        <v>111004</v>
      </c>
      <c r="J5" t="s">
        <v>1207</v>
      </c>
      <c r="K5">
        <v>100</v>
      </c>
      <c r="L5">
        <v>0.22639999999999999</v>
      </c>
      <c r="M5">
        <v>122.64</v>
      </c>
      <c r="N5" s="6" t="str">
        <f t="shared" si="3"/>
        <v>未买</v>
      </c>
      <c r="Q5" s="21">
        <v>3</v>
      </c>
      <c r="R5" s="8">
        <v>113567</v>
      </c>
      <c r="S5" s="8" t="s">
        <v>159</v>
      </c>
      <c r="T5" s="8">
        <f t="shared" si="4"/>
        <v>129.85</v>
      </c>
      <c r="U5" s="6" t="str">
        <f t="shared" si="5"/>
        <v>未买</v>
      </c>
    </row>
    <row r="6" spans="1:21" x14ac:dyDescent="0.15">
      <c r="A6" s="8">
        <v>113033</v>
      </c>
      <c r="B6" s="8" t="s">
        <v>206</v>
      </c>
      <c r="C6" s="4" t="e">
        <f t="shared" si="1"/>
        <v>#N/A</v>
      </c>
      <c r="D6" s="6" t="e">
        <f t="shared" si="2"/>
        <v>#N/A</v>
      </c>
      <c r="E6" s="6" t="e">
        <f t="shared" si="0"/>
        <v>#N/A</v>
      </c>
      <c r="H6" s="21">
        <v>4</v>
      </c>
      <c r="I6">
        <v>127003</v>
      </c>
      <c r="J6" t="s">
        <v>169</v>
      </c>
      <c r="K6">
        <v>110.203</v>
      </c>
      <c r="L6">
        <v>0.1726</v>
      </c>
      <c r="M6">
        <v>127.46</v>
      </c>
      <c r="N6" s="6" t="str">
        <f t="shared" si="3"/>
        <v>Yes</v>
      </c>
      <c r="Q6" s="21">
        <v>4</v>
      </c>
      <c r="R6" s="8">
        <v>128076</v>
      </c>
      <c r="S6" s="8" t="s">
        <v>248</v>
      </c>
      <c r="T6" s="8">
        <f t="shared" si="4"/>
        <v>118.10599999999999</v>
      </c>
      <c r="U6" s="6" t="str">
        <f t="shared" si="5"/>
        <v>未买</v>
      </c>
    </row>
    <row r="7" spans="1:21" x14ac:dyDescent="0.15">
      <c r="A7" s="8">
        <v>113591</v>
      </c>
      <c r="B7" s="8" t="s">
        <v>157</v>
      </c>
      <c r="C7" s="4">
        <f t="shared" si="1"/>
        <v>114.29</v>
      </c>
      <c r="D7" s="6">
        <f t="shared" si="2"/>
        <v>7</v>
      </c>
      <c r="E7" s="6">
        <f t="shared" si="0"/>
        <v>22</v>
      </c>
      <c r="H7" s="21">
        <v>5</v>
      </c>
      <c r="I7">
        <v>128130</v>
      </c>
      <c r="J7" t="s">
        <v>224</v>
      </c>
      <c r="K7">
        <v>120.907</v>
      </c>
      <c r="L7">
        <v>8.1799999999999998E-2</v>
      </c>
      <c r="M7">
        <v>129.09</v>
      </c>
      <c r="N7" s="6" t="str">
        <f t="shared" si="3"/>
        <v>Yes</v>
      </c>
      <c r="Q7" s="21">
        <v>5</v>
      </c>
      <c r="R7" s="8">
        <v>113570</v>
      </c>
      <c r="S7" s="8" t="s">
        <v>158</v>
      </c>
      <c r="T7" s="8">
        <f t="shared" si="4"/>
        <v>120.8</v>
      </c>
      <c r="U7" s="6" t="str">
        <f t="shared" si="5"/>
        <v>未买</v>
      </c>
    </row>
    <row r="8" spans="1:21" x14ac:dyDescent="0.15">
      <c r="A8" s="8">
        <v>123002</v>
      </c>
      <c r="B8" s="8" t="s">
        <v>197</v>
      </c>
      <c r="C8" s="4">
        <f t="shared" si="1"/>
        <v>114.505</v>
      </c>
      <c r="D8" s="6">
        <f t="shared" si="2"/>
        <v>59</v>
      </c>
      <c r="E8" s="6">
        <f t="shared" si="0"/>
        <v>14</v>
      </c>
      <c r="H8" s="21">
        <v>6</v>
      </c>
      <c r="I8">
        <v>128087</v>
      </c>
      <c r="J8" t="s">
        <v>239</v>
      </c>
      <c r="K8">
        <v>115.19</v>
      </c>
      <c r="L8">
        <v>0.15190000000000001</v>
      </c>
      <c r="M8">
        <v>130.38</v>
      </c>
      <c r="N8" s="6" t="str">
        <f t="shared" si="3"/>
        <v>Yes</v>
      </c>
      <c r="Q8" s="21">
        <v>6</v>
      </c>
      <c r="R8" s="8">
        <v>123057</v>
      </c>
      <c r="S8" s="8" t="s">
        <v>1143</v>
      </c>
      <c r="T8" s="8">
        <f t="shared" si="4"/>
        <v>126</v>
      </c>
      <c r="U8" s="6" t="str">
        <f t="shared" si="5"/>
        <v>未买</v>
      </c>
    </row>
    <row r="9" spans="1:21" s="4" customFormat="1" x14ac:dyDescent="0.15">
      <c r="A9" s="4">
        <v>127003</v>
      </c>
      <c r="B9" s="4" t="s">
        <v>169</v>
      </c>
      <c r="C9" s="4">
        <f t="shared" si="1"/>
        <v>110.203</v>
      </c>
      <c r="D9" s="6">
        <f t="shared" si="2"/>
        <v>4</v>
      </c>
      <c r="E9" s="6" t="e">
        <f t="shared" si="0"/>
        <v>#N/A</v>
      </c>
      <c r="H9" s="21">
        <v>7</v>
      </c>
      <c r="I9">
        <v>113591</v>
      </c>
      <c r="J9" t="s">
        <v>157</v>
      </c>
      <c r="K9">
        <v>114.29</v>
      </c>
      <c r="L9">
        <v>0.1696</v>
      </c>
      <c r="M9">
        <v>131.25</v>
      </c>
      <c r="N9" s="6" t="str">
        <f t="shared" si="3"/>
        <v>Yes</v>
      </c>
      <c r="Q9" s="21">
        <v>7</v>
      </c>
      <c r="R9" s="8">
        <v>128053</v>
      </c>
      <c r="S9" s="8" t="s">
        <v>177</v>
      </c>
      <c r="T9" s="8">
        <f t="shared" si="4"/>
        <v>121.05</v>
      </c>
      <c r="U9" s="6" t="str">
        <f t="shared" si="5"/>
        <v>未买</v>
      </c>
    </row>
    <row r="10" spans="1:21" x14ac:dyDescent="0.15">
      <c r="A10" s="8">
        <v>127027</v>
      </c>
      <c r="B10" s="8" t="s">
        <v>358</v>
      </c>
      <c r="C10" s="4" t="e">
        <f t="shared" si="1"/>
        <v>#N/A</v>
      </c>
      <c r="D10" s="6" t="e">
        <f t="shared" si="2"/>
        <v>#N/A</v>
      </c>
      <c r="E10" s="6" t="e">
        <f t="shared" si="0"/>
        <v>#N/A</v>
      </c>
      <c r="H10" s="21">
        <v>8</v>
      </c>
      <c r="I10">
        <v>128085</v>
      </c>
      <c r="J10" t="s">
        <v>1176</v>
      </c>
      <c r="K10">
        <v>113.431</v>
      </c>
      <c r="L10">
        <v>0.18590000000000001</v>
      </c>
      <c r="M10">
        <v>132.02000000000001</v>
      </c>
      <c r="N10" s="6" t="str">
        <f t="shared" si="3"/>
        <v>未买</v>
      </c>
      <c r="Q10" s="21">
        <v>8</v>
      </c>
      <c r="R10" s="8">
        <v>113565</v>
      </c>
      <c r="S10" s="8" t="s">
        <v>241</v>
      </c>
      <c r="T10" s="8">
        <f t="shared" si="4"/>
        <v>118.15</v>
      </c>
      <c r="U10" s="6" t="str">
        <f t="shared" si="5"/>
        <v>未买</v>
      </c>
    </row>
    <row r="11" spans="1:21" x14ac:dyDescent="0.15">
      <c r="A11" s="8">
        <v>127042</v>
      </c>
      <c r="B11" s="8" t="s">
        <v>209</v>
      </c>
      <c r="C11" s="4">
        <f t="shared" si="1"/>
        <v>111.49</v>
      </c>
      <c r="D11" s="6">
        <f t="shared" si="2"/>
        <v>13</v>
      </c>
      <c r="E11" s="6" t="e">
        <f t="shared" si="0"/>
        <v>#N/A</v>
      </c>
      <c r="H11" s="21">
        <v>9</v>
      </c>
      <c r="I11">
        <v>110071</v>
      </c>
      <c r="J11" t="s">
        <v>213</v>
      </c>
      <c r="K11">
        <v>127.47</v>
      </c>
      <c r="L11">
        <v>5.0099999999999999E-2</v>
      </c>
      <c r="M11">
        <v>132.47999999999999</v>
      </c>
      <c r="N11" s="6" t="str">
        <f t="shared" si="3"/>
        <v>未买</v>
      </c>
      <c r="Q11" s="21">
        <v>9</v>
      </c>
      <c r="R11" s="8">
        <v>113561</v>
      </c>
      <c r="S11" s="8" t="s">
        <v>202</v>
      </c>
      <c r="T11" s="8">
        <f t="shared" si="4"/>
        <v>117.18</v>
      </c>
      <c r="U11" s="6" t="str">
        <f t="shared" si="5"/>
        <v>未买</v>
      </c>
    </row>
    <row r="12" spans="1:21" x14ac:dyDescent="0.15">
      <c r="A12" s="8">
        <v>128013</v>
      </c>
      <c r="B12" s="8" t="s">
        <v>168</v>
      </c>
      <c r="C12" s="4">
        <f t="shared" si="1"/>
        <v>110.19</v>
      </c>
      <c r="D12" s="6">
        <f t="shared" si="2"/>
        <v>2</v>
      </c>
      <c r="E12" s="6">
        <f t="shared" si="0"/>
        <v>16</v>
      </c>
      <c r="H12" s="21">
        <v>10</v>
      </c>
      <c r="I12">
        <v>123085</v>
      </c>
      <c r="J12" t="s">
        <v>1170</v>
      </c>
      <c r="K12">
        <v>124.789</v>
      </c>
      <c r="L12">
        <v>8.2100000000000006E-2</v>
      </c>
      <c r="M12">
        <v>133</v>
      </c>
      <c r="N12" s="6" t="str">
        <f t="shared" si="3"/>
        <v>未买</v>
      </c>
      <c r="Q12" s="21">
        <v>10</v>
      </c>
      <c r="R12" s="8">
        <v>113526</v>
      </c>
      <c r="S12" s="8" t="s">
        <v>262</v>
      </c>
      <c r="T12" s="8">
        <f t="shared" si="4"/>
        <v>128.13</v>
      </c>
      <c r="U12" s="6" t="str">
        <f t="shared" si="5"/>
        <v>未买</v>
      </c>
    </row>
    <row r="13" spans="1:21" x14ac:dyDescent="0.15">
      <c r="A13" s="8">
        <v>128081</v>
      </c>
      <c r="B13" s="8" t="s">
        <v>208</v>
      </c>
      <c r="C13" s="4" t="e">
        <f t="shared" si="1"/>
        <v>#N/A</v>
      </c>
      <c r="D13" s="6" t="e">
        <f t="shared" si="2"/>
        <v>#N/A</v>
      </c>
      <c r="E13" s="6" t="e">
        <f t="shared" si="0"/>
        <v>#N/A</v>
      </c>
      <c r="H13" s="21">
        <v>11</v>
      </c>
      <c r="I13">
        <v>113567</v>
      </c>
      <c r="J13" t="s">
        <v>1169</v>
      </c>
      <c r="K13">
        <v>129.85</v>
      </c>
      <c r="L13">
        <v>3.4500000000000003E-2</v>
      </c>
      <c r="M13">
        <v>133.30000000000001</v>
      </c>
      <c r="N13" s="6" t="str">
        <f t="shared" si="3"/>
        <v>未买</v>
      </c>
      <c r="Q13" s="21">
        <v>11</v>
      </c>
      <c r="R13" s="8">
        <v>113030</v>
      </c>
      <c r="S13" s="8" t="s">
        <v>212</v>
      </c>
      <c r="T13" s="8">
        <f t="shared" si="4"/>
        <v>124.82</v>
      </c>
      <c r="U13" s="6" t="str">
        <f t="shared" si="5"/>
        <v>未买</v>
      </c>
    </row>
    <row r="14" spans="1:21" x14ac:dyDescent="0.15">
      <c r="A14" s="8">
        <v>128087</v>
      </c>
      <c r="B14" s="8" t="s">
        <v>239</v>
      </c>
      <c r="C14" s="4">
        <f t="shared" si="1"/>
        <v>115.19</v>
      </c>
      <c r="D14" s="6">
        <f t="shared" si="2"/>
        <v>6</v>
      </c>
      <c r="E14" s="6">
        <f t="shared" si="0"/>
        <v>25</v>
      </c>
      <c r="H14" s="21">
        <v>12</v>
      </c>
      <c r="I14">
        <v>128128</v>
      </c>
      <c r="J14" t="s">
        <v>1133</v>
      </c>
      <c r="K14">
        <v>130.15799999999999</v>
      </c>
      <c r="L14">
        <v>4.5999999999999999E-2</v>
      </c>
      <c r="M14">
        <v>134.76</v>
      </c>
      <c r="N14" s="6" t="str">
        <f t="shared" si="3"/>
        <v>未买</v>
      </c>
      <c r="Q14" s="21">
        <v>12</v>
      </c>
      <c r="R14" s="8">
        <v>113628</v>
      </c>
      <c r="S14" s="8" t="s">
        <v>347</v>
      </c>
      <c r="T14" s="8">
        <f t="shared" si="4"/>
        <v>108.22</v>
      </c>
      <c r="U14" s="6" t="str">
        <f t="shared" si="5"/>
        <v>未买</v>
      </c>
    </row>
    <row r="15" spans="1:21" x14ac:dyDescent="0.15">
      <c r="A15" s="8">
        <v>128100</v>
      </c>
      <c r="B15" s="8" t="s">
        <v>164</v>
      </c>
      <c r="C15" s="4">
        <f t="shared" si="1"/>
        <v>100.5</v>
      </c>
      <c r="D15" s="6">
        <f t="shared" si="2"/>
        <v>1</v>
      </c>
      <c r="E15" s="6">
        <f t="shared" si="0"/>
        <v>2</v>
      </c>
      <c r="H15" s="21">
        <v>13</v>
      </c>
      <c r="I15">
        <v>127042</v>
      </c>
      <c r="J15" t="s">
        <v>209</v>
      </c>
      <c r="K15">
        <v>111.49</v>
      </c>
      <c r="L15">
        <v>0.2482</v>
      </c>
      <c r="M15">
        <v>136.31</v>
      </c>
      <c r="N15" s="6" t="str">
        <f t="shared" si="3"/>
        <v>Yes</v>
      </c>
      <c r="Q15" s="21">
        <v>13</v>
      </c>
      <c r="R15" s="8">
        <v>113039</v>
      </c>
      <c r="S15" s="8" t="s">
        <v>161</v>
      </c>
      <c r="T15" s="8">
        <f t="shared" si="4"/>
        <v>126.69</v>
      </c>
      <c r="U15" s="6" t="str">
        <f t="shared" si="5"/>
        <v>未买</v>
      </c>
    </row>
    <row r="16" spans="1:21" x14ac:dyDescent="0.15">
      <c r="A16" s="8">
        <v>128127</v>
      </c>
      <c r="B16" s="8" t="s">
        <v>336</v>
      </c>
      <c r="C16" s="4">
        <f t="shared" si="1"/>
        <v>107.652</v>
      </c>
      <c r="D16" s="6">
        <f t="shared" si="2"/>
        <v>14</v>
      </c>
      <c r="E16" s="6">
        <f t="shared" si="0"/>
        <v>15</v>
      </c>
      <c r="H16" s="21">
        <v>14</v>
      </c>
      <c r="I16">
        <v>128127</v>
      </c>
      <c r="J16" t="s">
        <v>336</v>
      </c>
      <c r="K16">
        <v>107.652</v>
      </c>
      <c r="L16">
        <v>0.29389999999999999</v>
      </c>
      <c r="M16">
        <v>137.04</v>
      </c>
      <c r="N16" s="6" t="str">
        <f t="shared" si="3"/>
        <v>Yes</v>
      </c>
      <c r="Q16" s="21">
        <v>14</v>
      </c>
      <c r="R16" s="8">
        <v>123002</v>
      </c>
      <c r="S16" s="8" t="s">
        <v>197</v>
      </c>
      <c r="T16" s="8">
        <f t="shared" si="4"/>
        <v>114.505</v>
      </c>
      <c r="U16" s="6" t="str">
        <f t="shared" si="5"/>
        <v>Yes</v>
      </c>
    </row>
    <row r="17" spans="1:21" x14ac:dyDescent="0.15">
      <c r="A17" s="8">
        <v>128130</v>
      </c>
      <c r="B17" s="8" t="s">
        <v>224</v>
      </c>
      <c r="C17" s="4">
        <f t="shared" si="1"/>
        <v>120.907</v>
      </c>
      <c r="D17" s="6">
        <f t="shared" si="2"/>
        <v>5</v>
      </c>
      <c r="E17" s="6" t="e">
        <f t="shared" si="0"/>
        <v>#N/A</v>
      </c>
      <c r="H17" s="21">
        <v>15</v>
      </c>
      <c r="I17">
        <v>113568</v>
      </c>
      <c r="J17" t="s">
        <v>250</v>
      </c>
      <c r="K17">
        <v>131.01</v>
      </c>
      <c r="L17">
        <v>6.93E-2</v>
      </c>
      <c r="M17">
        <v>137.94</v>
      </c>
      <c r="N17" s="6" t="str">
        <f t="shared" si="3"/>
        <v>未买</v>
      </c>
      <c r="Q17" s="21">
        <v>15</v>
      </c>
      <c r="R17" s="8">
        <v>128127</v>
      </c>
      <c r="S17" s="8" t="s">
        <v>336</v>
      </c>
      <c r="T17" s="8">
        <f t="shared" si="4"/>
        <v>107.652</v>
      </c>
      <c r="U17" s="6" t="str">
        <f t="shared" si="5"/>
        <v>Yes</v>
      </c>
    </row>
    <row r="18" spans="1:21" x14ac:dyDescent="0.15">
      <c r="C18" s="4"/>
      <c r="E18" s="6"/>
      <c r="H18" s="21">
        <v>16</v>
      </c>
      <c r="I18">
        <v>113545</v>
      </c>
      <c r="J18" t="s">
        <v>201</v>
      </c>
      <c r="K18">
        <v>121.32</v>
      </c>
      <c r="L18">
        <v>0.17269999999999999</v>
      </c>
      <c r="M18">
        <v>138.59</v>
      </c>
      <c r="N18" s="6" t="str">
        <f t="shared" si="3"/>
        <v>未买</v>
      </c>
      <c r="Q18" s="21">
        <v>16</v>
      </c>
      <c r="R18" s="8">
        <v>128013</v>
      </c>
      <c r="S18" s="8" t="s">
        <v>168</v>
      </c>
      <c r="T18" s="8">
        <f t="shared" si="4"/>
        <v>110.19</v>
      </c>
      <c r="U18" s="6" t="str">
        <f t="shared" si="5"/>
        <v>Yes</v>
      </c>
    </row>
    <row r="19" spans="1:21" x14ac:dyDescent="0.15">
      <c r="C19" s="4"/>
      <c r="E19" s="6"/>
      <c r="H19" s="21">
        <v>17</v>
      </c>
      <c r="I19">
        <v>123063</v>
      </c>
      <c r="J19" t="s">
        <v>207</v>
      </c>
      <c r="K19">
        <v>123.5</v>
      </c>
      <c r="L19">
        <v>0.15190000000000001</v>
      </c>
      <c r="M19">
        <v>138.69</v>
      </c>
      <c r="N19" s="6" t="str">
        <f t="shared" si="3"/>
        <v>未买</v>
      </c>
      <c r="Q19" s="21">
        <v>17</v>
      </c>
      <c r="R19" s="8">
        <v>128090</v>
      </c>
      <c r="S19" s="8" t="s">
        <v>240</v>
      </c>
      <c r="T19" s="8">
        <f t="shared" si="4"/>
        <v>112.5</v>
      </c>
      <c r="U19" s="6" t="str">
        <f t="shared" si="5"/>
        <v>未买</v>
      </c>
    </row>
    <row r="20" spans="1:21" x14ac:dyDescent="0.15">
      <c r="C20" s="4"/>
      <c r="E20" s="6"/>
      <c r="H20" s="21">
        <v>18</v>
      </c>
      <c r="I20">
        <v>128066</v>
      </c>
      <c r="J20" t="s">
        <v>215</v>
      </c>
      <c r="K20">
        <v>112.27800000000001</v>
      </c>
      <c r="L20">
        <v>0.26469999999999999</v>
      </c>
      <c r="M20">
        <v>138.75</v>
      </c>
      <c r="N20" s="6" t="str">
        <f t="shared" si="3"/>
        <v>未买</v>
      </c>
      <c r="Q20" s="21">
        <v>18</v>
      </c>
      <c r="R20" s="8">
        <v>123052</v>
      </c>
      <c r="S20" s="8" t="s">
        <v>1142</v>
      </c>
      <c r="T20" s="8">
        <f t="shared" si="4"/>
        <v>129.00299999999999</v>
      </c>
      <c r="U20" s="6" t="str">
        <f t="shared" si="5"/>
        <v>未买</v>
      </c>
    </row>
    <row r="21" spans="1:21" x14ac:dyDescent="0.15">
      <c r="C21" s="4"/>
      <c r="E21" s="6"/>
      <c r="H21" s="21">
        <v>19</v>
      </c>
      <c r="I21">
        <v>127013</v>
      </c>
      <c r="J21" t="s">
        <v>311</v>
      </c>
      <c r="K21">
        <v>125.06</v>
      </c>
      <c r="L21">
        <v>0.13869999999999999</v>
      </c>
      <c r="M21">
        <v>138.93</v>
      </c>
      <c r="N21" s="6" t="str">
        <f t="shared" si="3"/>
        <v>未买</v>
      </c>
      <c r="Q21" s="21">
        <v>19</v>
      </c>
      <c r="R21" s="8">
        <v>123080</v>
      </c>
      <c r="S21" s="8" t="s">
        <v>170</v>
      </c>
      <c r="T21" s="8">
        <f t="shared" si="4"/>
        <v>121.197</v>
      </c>
      <c r="U21" s="6" t="str">
        <f t="shared" si="5"/>
        <v>未买</v>
      </c>
    </row>
    <row r="22" spans="1:21" x14ac:dyDescent="0.15">
      <c r="C22" s="4"/>
      <c r="E22" s="6"/>
      <c r="H22" s="21">
        <v>20</v>
      </c>
      <c r="I22">
        <v>113630</v>
      </c>
      <c r="J22" t="s">
        <v>306</v>
      </c>
      <c r="K22">
        <v>123.9</v>
      </c>
      <c r="L22">
        <v>0.15029999999999999</v>
      </c>
      <c r="M22">
        <v>138.93</v>
      </c>
      <c r="N22" s="6" t="str">
        <f t="shared" si="3"/>
        <v>未买</v>
      </c>
      <c r="Q22" s="21">
        <v>20</v>
      </c>
      <c r="R22" s="8">
        <v>113598</v>
      </c>
      <c r="S22" s="8" t="s">
        <v>218</v>
      </c>
      <c r="T22" s="8">
        <f t="shared" si="4"/>
        <v>122.25</v>
      </c>
      <c r="U22" s="6" t="str">
        <f t="shared" si="5"/>
        <v>未买</v>
      </c>
    </row>
    <row r="23" spans="1:21" x14ac:dyDescent="0.15">
      <c r="C23" s="4"/>
      <c r="E23" s="6"/>
      <c r="H23" s="21">
        <v>21</v>
      </c>
      <c r="I23">
        <v>128037</v>
      </c>
      <c r="J23" t="s">
        <v>189</v>
      </c>
      <c r="K23">
        <v>112.571</v>
      </c>
      <c r="L23">
        <v>0.26440000000000002</v>
      </c>
      <c r="M23">
        <v>139.01</v>
      </c>
      <c r="N23" s="6" t="str">
        <f t="shared" si="3"/>
        <v>未买</v>
      </c>
      <c r="Q23" s="21">
        <v>21</v>
      </c>
      <c r="R23" s="8">
        <v>128071</v>
      </c>
      <c r="S23" s="8" t="s">
        <v>204</v>
      </c>
      <c r="T23" s="8">
        <f t="shared" si="4"/>
        <v>113.56</v>
      </c>
      <c r="U23" s="6" t="str">
        <f t="shared" si="5"/>
        <v>未买</v>
      </c>
    </row>
    <row r="24" spans="1:21" x14ac:dyDescent="0.15">
      <c r="C24" s="4"/>
      <c r="E24" s="6"/>
      <c r="H24" s="21">
        <v>22</v>
      </c>
      <c r="I24">
        <v>123089</v>
      </c>
      <c r="J24" t="s">
        <v>1175</v>
      </c>
      <c r="K24">
        <v>127.417</v>
      </c>
      <c r="L24">
        <v>0.1186</v>
      </c>
      <c r="M24">
        <v>139.28</v>
      </c>
      <c r="N24" s="6" t="str">
        <f t="shared" si="3"/>
        <v>未买</v>
      </c>
      <c r="Q24" s="21">
        <v>22</v>
      </c>
      <c r="R24" s="8">
        <v>113591</v>
      </c>
      <c r="S24" s="8" t="s">
        <v>157</v>
      </c>
      <c r="T24" s="8">
        <f t="shared" si="4"/>
        <v>114.29</v>
      </c>
      <c r="U24" s="6" t="str">
        <f t="shared" si="5"/>
        <v>Yes</v>
      </c>
    </row>
    <row r="25" spans="1:21" x14ac:dyDescent="0.15">
      <c r="C25" s="4"/>
      <c r="E25" s="6"/>
      <c r="H25" s="21">
        <v>23</v>
      </c>
      <c r="I25">
        <v>123098</v>
      </c>
      <c r="J25" t="s">
        <v>1138</v>
      </c>
      <c r="K25">
        <v>121.999</v>
      </c>
      <c r="L25">
        <v>0.1739</v>
      </c>
      <c r="M25">
        <v>139.38999999999999</v>
      </c>
      <c r="N25" s="6" t="str">
        <f t="shared" si="3"/>
        <v>未买</v>
      </c>
      <c r="Q25" s="21">
        <v>23</v>
      </c>
      <c r="R25" s="8">
        <v>128039</v>
      </c>
      <c r="S25" s="8" t="s">
        <v>238</v>
      </c>
      <c r="T25" s="8">
        <f t="shared" si="4"/>
        <v>116.4</v>
      </c>
      <c r="U25" s="6" t="str">
        <f t="shared" si="5"/>
        <v>未买</v>
      </c>
    </row>
    <row r="26" spans="1:21" x14ac:dyDescent="0.15">
      <c r="E26" s="6"/>
      <c r="H26" s="21">
        <v>24</v>
      </c>
      <c r="I26">
        <v>128075</v>
      </c>
      <c r="J26" t="s">
        <v>243</v>
      </c>
      <c r="K26">
        <v>118.259</v>
      </c>
      <c r="L26">
        <v>0.21240000000000001</v>
      </c>
      <c r="M26">
        <v>139.5</v>
      </c>
      <c r="N26" s="6" t="str">
        <f t="shared" si="3"/>
        <v>未买</v>
      </c>
      <c r="Q26" s="21">
        <v>24</v>
      </c>
      <c r="R26" s="8">
        <v>110070</v>
      </c>
      <c r="S26" s="8" t="s">
        <v>205</v>
      </c>
      <c r="T26" s="8">
        <f t="shared" si="4"/>
        <v>122.53</v>
      </c>
      <c r="U26" s="6" t="str">
        <f t="shared" si="5"/>
        <v>Yes</v>
      </c>
    </row>
    <row r="27" spans="1:21" x14ac:dyDescent="0.15">
      <c r="E27" s="6"/>
      <c r="H27" s="21">
        <v>25</v>
      </c>
      <c r="I27">
        <v>113620</v>
      </c>
      <c r="J27" t="s">
        <v>1164</v>
      </c>
      <c r="K27">
        <v>139.66</v>
      </c>
      <c r="L27">
        <v>1.4E-3</v>
      </c>
      <c r="M27">
        <v>139.80000000000001</v>
      </c>
      <c r="N27" s="6" t="str">
        <f t="shared" si="3"/>
        <v>未买</v>
      </c>
      <c r="Q27" s="21">
        <v>25</v>
      </c>
      <c r="R27" s="8">
        <v>128087</v>
      </c>
      <c r="S27" s="8" t="s">
        <v>239</v>
      </c>
      <c r="T27" s="8">
        <f t="shared" si="4"/>
        <v>115.19</v>
      </c>
      <c r="U27" s="6" t="str">
        <f t="shared" si="5"/>
        <v>Yes</v>
      </c>
    </row>
    <row r="28" spans="1:21" x14ac:dyDescent="0.15">
      <c r="E28" s="6"/>
      <c r="H28" s="21">
        <v>26</v>
      </c>
      <c r="I28">
        <v>113039</v>
      </c>
      <c r="J28" t="s">
        <v>161</v>
      </c>
      <c r="K28">
        <v>126.69</v>
      </c>
      <c r="L28">
        <v>0.13270000000000001</v>
      </c>
      <c r="M28">
        <v>139.96</v>
      </c>
      <c r="N28" s="6" t="str">
        <f t="shared" si="3"/>
        <v>未买</v>
      </c>
      <c r="Q28" s="21">
        <v>26</v>
      </c>
      <c r="R28" s="8">
        <v>128120</v>
      </c>
      <c r="S28" s="8" t="s">
        <v>235</v>
      </c>
      <c r="T28" s="8">
        <f t="shared" si="4"/>
        <v>113.398</v>
      </c>
      <c r="U28" s="6" t="str">
        <f t="shared" si="5"/>
        <v>未买</v>
      </c>
    </row>
    <row r="29" spans="1:21" x14ac:dyDescent="0.15">
      <c r="E29" s="6"/>
      <c r="H29" s="21">
        <v>27</v>
      </c>
      <c r="I29">
        <v>128044</v>
      </c>
      <c r="J29" t="s">
        <v>249</v>
      </c>
      <c r="K29">
        <v>113.934</v>
      </c>
      <c r="L29">
        <v>0.2606</v>
      </c>
      <c r="M29">
        <v>139.99</v>
      </c>
      <c r="N29" s="6" t="str">
        <f t="shared" si="3"/>
        <v>未买</v>
      </c>
      <c r="Q29" s="21">
        <v>27</v>
      </c>
      <c r="R29" s="8">
        <v>123112</v>
      </c>
      <c r="S29" s="8" t="s">
        <v>245</v>
      </c>
      <c r="T29" s="8">
        <f t="shared" si="4"/>
        <v>118.976</v>
      </c>
      <c r="U29" s="6" t="str">
        <f t="shared" si="5"/>
        <v>未买</v>
      </c>
    </row>
    <row r="30" spans="1:21" x14ac:dyDescent="0.15">
      <c r="E30" s="6"/>
      <c r="H30" s="21">
        <v>28</v>
      </c>
      <c r="I30">
        <v>128119</v>
      </c>
      <c r="J30" t="s">
        <v>364</v>
      </c>
      <c r="K30">
        <v>121.77800000000001</v>
      </c>
      <c r="L30">
        <v>0.18340000000000001</v>
      </c>
      <c r="M30">
        <v>140.12</v>
      </c>
      <c r="N30" s="6" t="str">
        <f t="shared" si="3"/>
        <v>未买</v>
      </c>
      <c r="Q30" s="21">
        <v>28</v>
      </c>
      <c r="R30" s="8">
        <v>128143</v>
      </c>
      <c r="S30" s="8" t="s">
        <v>236</v>
      </c>
      <c r="T30" s="8">
        <f t="shared" si="4"/>
        <v>114.152</v>
      </c>
      <c r="U30" s="6" t="str">
        <f t="shared" si="5"/>
        <v>未买</v>
      </c>
    </row>
    <row r="31" spans="1:21" x14ac:dyDescent="0.15">
      <c r="E31" s="6"/>
      <c r="H31" s="21">
        <v>29</v>
      </c>
      <c r="I31">
        <v>113631</v>
      </c>
      <c r="J31" t="s">
        <v>342</v>
      </c>
      <c r="K31">
        <v>112.88</v>
      </c>
      <c r="L31">
        <v>0.27689999999999998</v>
      </c>
      <c r="M31">
        <v>140.57</v>
      </c>
      <c r="N31" s="6" t="str">
        <f t="shared" si="3"/>
        <v>未买</v>
      </c>
      <c r="Q31" s="21">
        <v>29</v>
      </c>
      <c r="R31" s="8">
        <v>128025</v>
      </c>
      <c r="S31" s="8" t="s">
        <v>166</v>
      </c>
      <c r="T31" s="8">
        <f t="shared" si="4"/>
        <v>118.7</v>
      </c>
      <c r="U31" s="6" t="str">
        <f t="shared" si="5"/>
        <v>未买</v>
      </c>
    </row>
    <row r="32" spans="1:21" x14ac:dyDescent="0.15">
      <c r="E32" s="6"/>
      <c r="H32" s="21">
        <v>30</v>
      </c>
      <c r="I32">
        <v>113637</v>
      </c>
      <c r="J32" t="s">
        <v>423</v>
      </c>
      <c r="K32">
        <v>125.52</v>
      </c>
      <c r="L32">
        <v>0.1507</v>
      </c>
      <c r="M32">
        <v>140.59</v>
      </c>
      <c r="N32" s="6" t="str">
        <f t="shared" si="3"/>
        <v>未买</v>
      </c>
      <c r="Q32" s="21">
        <v>30</v>
      </c>
      <c r="R32" s="8">
        <v>128066</v>
      </c>
      <c r="S32" s="8" t="s">
        <v>215</v>
      </c>
      <c r="T32" s="8">
        <f t="shared" si="4"/>
        <v>112.27800000000001</v>
      </c>
      <c r="U32" s="6" t="str">
        <f t="shared" si="5"/>
        <v>未买</v>
      </c>
    </row>
    <row r="33" spans="5:21" x14ac:dyDescent="0.15">
      <c r="E33" s="6"/>
      <c r="H33" s="21">
        <v>31</v>
      </c>
      <c r="I33">
        <v>113570</v>
      </c>
      <c r="J33" t="s">
        <v>158</v>
      </c>
      <c r="K33">
        <v>120.8</v>
      </c>
      <c r="L33">
        <v>0.2016</v>
      </c>
      <c r="M33">
        <v>140.96</v>
      </c>
      <c r="N33" s="6" t="str">
        <f t="shared" si="3"/>
        <v>未买</v>
      </c>
      <c r="Q33" s="21">
        <v>31</v>
      </c>
      <c r="R33" s="8">
        <v>123089</v>
      </c>
      <c r="S33" s="8" t="s">
        <v>1146</v>
      </c>
      <c r="T33" s="8">
        <f t="shared" si="4"/>
        <v>127.417</v>
      </c>
      <c r="U33" s="6" t="str">
        <f t="shared" si="5"/>
        <v>未买</v>
      </c>
    </row>
    <row r="34" spans="5:21" x14ac:dyDescent="0.15">
      <c r="E34" s="6"/>
      <c r="H34" s="21">
        <v>32</v>
      </c>
      <c r="I34">
        <v>111000</v>
      </c>
      <c r="J34" t="s">
        <v>200</v>
      </c>
      <c r="K34">
        <v>116.66</v>
      </c>
      <c r="L34">
        <v>0.24329999999999999</v>
      </c>
      <c r="M34">
        <v>140.99</v>
      </c>
      <c r="N34" s="6" t="str">
        <f t="shared" si="3"/>
        <v>未买</v>
      </c>
      <c r="Q34" s="21">
        <v>32</v>
      </c>
      <c r="R34" s="8">
        <v>123097</v>
      </c>
      <c r="S34" s="8" t="s">
        <v>244</v>
      </c>
      <c r="T34" s="8">
        <f t="shared" si="4"/>
        <v>116.63</v>
      </c>
      <c r="U34" s="6" t="str">
        <f t="shared" si="5"/>
        <v>未买</v>
      </c>
    </row>
    <row r="35" spans="5:21" x14ac:dyDescent="0.15">
      <c r="E35" s="6"/>
      <c r="H35" s="21">
        <v>33</v>
      </c>
      <c r="I35">
        <v>123097</v>
      </c>
      <c r="J35" t="s">
        <v>244</v>
      </c>
      <c r="K35">
        <v>116.63</v>
      </c>
      <c r="L35">
        <v>0.2455</v>
      </c>
      <c r="M35">
        <v>141.18</v>
      </c>
      <c r="N35" s="6" t="str">
        <f t="shared" si="3"/>
        <v>未买</v>
      </c>
      <c r="Q35" s="21">
        <v>33</v>
      </c>
      <c r="R35" s="8">
        <v>128056</v>
      </c>
      <c r="S35" s="8" t="s">
        <v>195</v>
      </c>
      <c r="T35" s="8">
        <f t="shared" si="4"/>
        <v>117.2</v>
      </c>
      <c r="U35" s="6" t="str">
        <f t="shared" si="5"/>
        <v>未买</v>
      </c>
    </row>
    <row r="36" spans="5:21" x14ac:dyDescent="0.15">
      <c r="E36" s="6"/>
      <c r="H36" s="21">
        <v>34</v>
      </c>
      <c r="I36">
        <v>127029</v>
      </c>
      <c r="J36" t="s">
        <v>1139</v>
      </c>
      <c r="K36">
        <v>120</v>
      </c>
      <c r="L36">
        <v>0.21260000000000001</v>
      </c>
      <c r="M36">
        <v>141.26</v>
      </c>
      <c r="N36" s="6" t="str">
        <f t="shared" si="3"/>
        <v>未买</v>
      </c>
      <c r="Q36" s="21">
        <v>34</v>
      </c>
      <c r="R36" s="8">
        <v>128073</v>
      </c>
      <c r="S36" s="8" t="s">
        <v>214</v>
      </c>
      <c r="T36" s="8">
        <f t="shared" si="4"/>
        <v>117.3</v>
      </c>
      <c r="U36" s="6" t="str">
        <f t="shared" si="5"/>
        <v>未买</v>
      </c>
    </row>
    <row r="37" spans="5:21" x14ac:dyDescent="0.15">
      <c r="E37" s="6"/>
      <c r="H37" s="21">
        <v>35</v>
      </c>
      <c r="I37">
        <v>113030</v>
      </c>
      <c r="J37" t="s">
        <v>212</v>
      </c>
      <c r="K37">
        <v>124.82</v>
      </c>
      <c r="L37">
        <v>0.1696</v>
      </c>
      <c r="M37">
        <v>141.78</v>
      </c>
      <c r="N37" s="6" t="str">
        <f t="shared" si="3"/>
        <v>未买</v>
      </c>
      <c r="Q37" s="21">
        <v>35</v>
      </c>
      <c r="R37" s="8">
        <v>113577</v>
      </c>
      <c r="S37" s="8" t="s">
        <v>234</v>
      </c>
      <c r="T37" s="8">
        <f t="shared" si="4"/>
        <v>122.26</v>
      </c>
      <c r="U37" s="6" t="str">
        <f t="shared" si="5"/>
        <v>未买</v>
      </c>
    </row>
    <row r="38" spans="5:21" x14ac:dyDescent="0.15">
      <c r="E38" s="6"/>
      <c r="H38" s="21">
        <v>36</v>
      </c>
      <c r="I38">
        <v>113628</v>
      </c>
      <c r="J38" t="s">
        <v>347</v>
      </c>
      <c r="K38">
        <v>108.22</v>
      </c>
      <c r="L38">
        <v>0.33710000000000001</v>
      </c>
      <c r="M38">
        <v>141.93</v>
      </c>
      <c r="N38" s="6" t="str">
        <f t="shared" si="3"/>
        <v>未买</v>
      </c>
      <c r="Q38" s="21">
        <v>36</v>
      </c>
      <c r="R38" s="8">
        <v>113546</v>
      </c>
      <c r="S38" s="8" t="s">
        <v>203</v>
      </c>
      <c r="T38" s="8">
        <f t="shared" si="4"/>
        <v>116.56</v>
      </c>
      <c r="U38" s="6" t="str">
        <f t="shared" si="5"/>
        <v>未买</v>
      </c>
    </row>
    <row r="39" spans="5:21" x14ac:dyDescent="0.15">
      <c r="E39" s="6"/>
      <c r="H39" s="21">
        <v>37</v>
      </c>
      <c r="I39">
        <v>123080</v>
      </c>
      <c r="J39" t="s">
        <v>170</v>
      </c>
      <c r="K39">
        <v>121.197</v>
      </c>
      <c r="L39">
        <v>0.2099</v>
      </c>
      <c r="M39">
        <v>142.19</v>
      </c>
      <c r="N39" s="6" t="str">
        <f t="shared" si="3"/>
        <v>未买</v>
      </c>
      <c r="Q39" s="21">
        <v>37</v>
      </c>
      <c r="R39" s="8">
        <v>128097</v>
      </c>
      <c r="S39" s="8" t="s">
        <v>229</v>
      </c>
      <c r="T39" s="8">
        <f t="shared" si="4"/>
        <v>116.875</v>
      </c>
      <c r="U39" s="6" t="str">
        <f t="shared" si="5"/>
        <v>未买</v>
      </c>
    </row>
    <row r="40" spans="5:21" x14ac:dyDescent="0.15">
      <c r="E40" s="6"/>
      <c r="H40" s="21">
        <v>38</v>
      </c>
      <c r="I40">
        <v>128021</v>
      </c>
      <c r="J40" t="s">
        <v>167</v>
      </c>
      <c r="K40">
        <v>122.524</v>
      </c>
      <c r="L40">
        <v>0.19980000000000001</v>
      </c>
      <c r="M40">
        <v>142.5</v>
      </c>
      <c r="N40" s="6" t="str">
        <f t="shared" si="3"/>
        <v>未买</v>
      </c>
      <c r="Q40" s="21">
        <v>38</v>
      </c>
      <c r="R40" s="8">
        <v>113527</v>
      </c>
      <c r="S40" s="8" t="s">
        <v>237</v>
      </c>
      <c r="T40" s="8">
        <f t="shared" si="4"/>
        <v>123.52</v>
      </c>
      <c r="U40" s="6" t="str">
        <f t="shared" si="5"/>
        <v>未买</v>
      </c>
    </row>
    <row r="41" spans="5:21" x14ac:dyDescent="0.15">
      <c r="E41" s="6"/>
      <c r="H41" s="21">
        <v>39</v>
      </c>
      <c r="I41">
        <v>123105</v>
      </c>
      <c r="J41" t="s">
        <v>352</v>
      </c>
      <c r="K41">
        <v>123.53</v>
      </c>
      <c r="L41">
        <v>0.19220000000000001</v>
      </c>
      <c r="M41">
        <v>142.75</v>
      </c>
      <c r="N41" s="6" t="str">
        <f t="shared" si="3"/>
        <v>未买</v>
      </c>
      <c r="Q41" s="21">
        <v>39</v>
      </c>
      <c r="R41" s="8">
        <v>123098</v>
      </c>
      <c r="S41" s="8" t="s">
        <v>1223</v>
      </c>
      <c r="T41" s="8">
        <f t="shared" si="4"/>
        <v>121.999</v>
      </c>
      <c r="U41" s="6" t="str">
        <f t="shared" si="5"/>
        <v>未买</v>
      </c>
    </row>
    <row r="42" spans="5:21" x14ac:dyDescent="0.15">
      <c r="E42" s="6"/>
      <c r="H42" s="21">
        <v>40</v>
      </c>
      <c r="I42">
        <v>127028</v>
      </c>
      <c r="J42" t="s">
        <v>178</v>
      </c>
      <c r="K42">
        <v>115</v>
      </c>
      <c r="L42">
        <v>0.27760000000000001</v>
      </c>
      <c r="M42">
        <v>142.76</v>
      </c>
      <c r="N42" s="6" t="str">
        <f t="shared" si="3"/>
        <v>未买</v>
      </c>
      <c r="Q42" s="21">
        <v>40</v>
      </c>
      <c r="R42" s="8">
        <v>110058</v>
      </c>
      <c r="S42" s="8" t="s">
        <v>194</v>
      </c>
      <c r="T42" s="8">
        <f t="shared" si="4"/>
        <v>111.01</v>
      </c>
      <c r="U42" s="6" t="str">
        <f t="shared" si="5"/>
        <v>未买</v>
      </c>
    </row>
    <row r="43" spans="5:21" x14ac:dyDescent="0.15">
      <c r="E43" s="6"/>
      <c r="H43" s="21">
        <v>41</v>
      </c>
      <c r="I43">
        <v>113504</v>
      </c>
      <c r="J43" t="s">
        <v>246</v>
      </c>
      <c r="K43">
        <v>130.27000000000001</v>
      </c>
      <c r="L43">
        <v>0.12720000000000001</v>
      </c>
      <c r="M43">
        <v>142.99</v>
      </c>
      <c r="N43" s="6" t="str">
        <f t="shared" si="3"/>
        <v>未买</v>
      </c>
      <c r="Q43" s="21">
        <v>41</v>
      </c>
      <c r="U43" s="17"/>
    </row>
    <row r="44" spans="5:21" x14ac:dyDescent="0.15">
      <c r="E44" s="6"/>
      <c r="H44" s="21">
        <v>42</v>
      </c>
      <c r="I44">
        <v>113599</v>
      </c>
      <c r="J44" t="s">
        <v>179</v>
      </c>
      <c r="K44">
        <v>121.69</v>
      </c>
      <c r="L44">
        <v>0.2162</v>
      </c>
      <c r="M44">
        <v>143.31</v>
      </c>
      <c r="N44" s="6" t="str">
        <f t="shared" si="3"/>
        <v>未买</v>
      </c>
      <c r="Q44" s="21">
        <v>42</v>
      </c>
      <c r="U44" s="17"/>
    </row>
    <row r="45" spans="5:21" x14ac:dyDescent="0.15">
      <c r="E45" s="6"/>
      <c r="H45" s="21">
        <v>43</v>
      </c>
      <c r="I45">
        <v>113598</v>
      </c>
      <c r="J45" t="s">
        <v>218</v>
      </c>
      <c r="K45">
        <v>122.25</v>
      </c>
      <c r="L45">
        <v>0.21249999999999999</v>
      </c>
      <c r="M45">
        <v>143.5</v>
      </c>
      <c r="N45" s="6" t="str">
        <f t="shared" si="3"/>
        <v>未买</v>
      </c>
      <c r="Q45" s="21">
        <v>43</v>
      </c>
    </row>
    <row r="46" spans="5:21" x14ac:dyDescent="0.15">
      <c r="E46" s="6"/>
      <c r="H46" s="21">
        <v>44</v>
      </c>
      <c r="I46">
        <v>123078</v>
      </c>
      <c r="J46" t="s">
        <v>217</v>
      </c>
      <c r="K46">
        <v>142.28100000000001</v>
      </c>
      <c r="L46">
        <v>1.23E-2</v>
      </c>
      <c r="M46">
        <v>143.51</v>
      </c>
      <c r="N46" s="6" t="str">
        <f t="shared" si="3"/>
        <v>未买</v>
      </c>
      <c r="Q46" s="21">
        <v>44</v>
      </c>
      <c r="U46" s="17"/>
    </row>
    <row r="47" spans="5:21" x14ac:dyDescent="0.15">
      <c r="E47" s="6"/>
      <c r="H47" s="21">
        <v>45</v>
      </c>
      <c r="I47">
        <v>123071</v>
      </c>
      <c r="J47" t="s">
        <v>1177</v>
      </c>
      <c r="K47">
        <v>132.20099999999999</v>
      </c>
      <c r="L47">
        <v>0.1172</v>
      </c>
      <c r="M47">
        <v>143.91999999999999</v>
      </c>
      <c r="N47" s="6" t="str">
        <f t="shared" si="3"/>
        <v>未买</v>
      </c>
      <c r="Q47" s="21">
        <v>45</v>
      </c>
      <c r="U47" s="17"/>
    </row>
    <row r="48" spans="5:21" x14ac:dyDescent="0.15">
      <c r="E48" s="6"/>
      <c r="H48" s="21">
        <v>46</v>
      </c>
      <c r="I48">
        <v>128121</v>
      </c>
      <c r="J48" t="s">
        <v>163</v>
      </c>
      <c r="K48">
        <v>116.73</v>
      </c>
      <c r="L48">
        <v>0.27579999999999999</v>
      </c>
      <c r="M48">
        <v>144.31</v>
      </c>
      <c r="N48" s="6" t="str">
        <f t="shared" si="3"/>
        <v>未买</v>
      </c>
      <c r="Q48" s="21">
        <v>46</v>
      </c>
      <c r="U48" s="17"/>
    </row>
    <row r="49" spans="5:17" x14ac:dyDescent="0.15">
      <c r="E49" s="6"/>
      <c r="H49" s="21">
        <v>47</v>
      </c>
      <c r="I49">
        <v>127035</v>
      </c>
      <c r="J49" t="s">
        <v>346</v>
      </c>
      <c r="K49">
        <v>110.71</v>
      </c>
      <c r="L49">
        <v>0.33639999999999998</v>
      </c>
      <c r="M49">
        <v>144.35</v>
      </c>
      <c r="N49" s="6" t="str">
        <f t="shared" si="3"/>
        <v>未买</v>
      </c>
      <c r="Q49" s="21">
        <v>47</v>
      </c>
    </row>
    <row r="50" spans="5:17" x14ac:dyDescent="0.15">
      <c r="E50" s="6"/>
      <c r="H50" s="21">
        <v>48</v>
      </c>
      <c r="I50">
        <v>123112</v>
      </c>
      <c r="J50" t="s">
        <v>245</v>
      </c>
      <c r="K50">
        <v>118.976</v>
      </c>
      <c r="L50">
        <v>0.25440000000000002</v>
      </c>
      <c r="M50">
        <v>144.41999999999999</v>
      </c>
      <c r="N50" s="6" t="str">
        <f t="shared" si="3"/>
        <v>未买</v>
      </c>
      <c r="Q50" s="21">
        <v>48</v>
      </c>
    </row>
    <row r="51" spans="5:17" x14ac:dyDescent="0.15">
      <c r="E51" s="6"/>
      <c r="H51" s="21">
        <v>49</v>
      </c>
      <c r="I51">
        <v>123127</v>
      </c>
      <c r="J51" t="s">
        <v>233</v>
      </c>
      <c r="K51">
        <v>119.01600000000001</v>
      </c>
      <c r="L51">
        <v>0.25530000000000003</v>
      </c>
      <c r="M51">
        <v>144.55000000000001</v>
      </c>
      <c r="N51" s="6" t="str">
        <f t="shared" si="3"/>
        <v>未买</v>
      </c>
      <c r="Q51" s="21">
        <v>49</v>
      </c>
    </row>
    <row r="52" spans="5:17" x14ac:dyDescent="0.15">
      <c r="E52" s="6"/>
      <c r="H52" s="21">
        <v>50</v>
      </c>
      <c r="I52">
        <v>113640</v>
      </c>
      <c r="J52" t="s">
        <v>1114</v>
      </c>
      <c r="K52">
        <v>113.1</v>
      </c>
      <c r="L52">
        <v>0.31780000000000003</v>
      </c>
      <c r="M52">
        <v>144.88</v>
      </c>
      <c r="N52" s="6" t="str">
        <f t="shared" si="3"/>
        <v>未买</v>
      </c>
      <c r="Q52" s="21">
        <v>50</v>
      </c>
    </row>
    <row r="53" spans="5:17" x14ac:dyDescent="0.15">
      <c r="E53" s="6"/>
      <c r="H53" s="21">
        <v>51</v>
      </c>
      <c r="I53">
        <v>123083</v>
      </c>
      <c r="J53" t="s">
        <v>232</v>
      </c>
      <c r="K53">
        <v>145</v>
      </c>
      <c r="L53">
        <v>-1.1000000000000001E-3</v>
      </c>
      <c r="M53">
        <v>144.88999999999999</v>
      </c>
      <c r="N53" s="6" t="str">
        <f t="shared" si="3"/>
        <v>未买</v>
      </c>
      <c r="Q53" s="21">
        <v>51</v>
      </c>
    </row>
    <row r="54" spans="5:17" x14ac:dyDescent="0.15">
      <c r="E54" s="6"/>
      <c r="H54" s="21">
        <v>52</v>
      </c>
      <c r="I54">
        <v>128073</v>
      </c>
      <c r="J54" t="s">
        <v>214</v>
      </c>
      <c r="K54">
        <v>117.3</v>
      </c>
      <c r="L54">
        <v>0.27839999999999998</v>
      </c>
      <c r="M54">
        <v>145.13999999999999</v>
      </c>
      <c r="N54" s="6" t="str">
        <f t="shared" si="3"/>
        <v>未买</v>
      </c>
      <c r="Q54" s="21">
        <v>52</v>
      </c>
    </row>
    <row r="55" spans="5:17" x14ac:dyDescent="0.15">
      <c r="E55" s="6"/>
      <c r="H55" s="21">
        <v>53</v>
      </c>
      <c r="I55">
        <v>113549</v>
      </c>
      <c r="J55" t="s">
        <v>216</v>
      </c>
      <c r="K55">
        <v>111.48</v>
      </c>
      <c r="L55">
        <v>0.34489999999999998</v>
      </c>
      <c r="M55">
        <v>145.97</v>
      </c>
      <c r="N55" s="6" t="str">
        <f t="shared" si="3"/>
        <v>未买</v>
      </c>
      <c r="Q55" s="21">
        <v>53</v>
      </c>
    </row>
    <row r="56" spans="5:17" x14ac:dyDescent="0.15">
      <c r="E56" s="6"/>
      <c r="H56" s="21">
        <v>54</v>
      </c>
      <c r="I56">
        <v>128071</v>
      </c>
      <c r="J56" t="s">
        <v>204</v>
      </c>
      <c r="K56">
        <v>113.56</v>
      </c>
      <c r="L56">
        <v>0.32590000000000002</v>
      </c>
      <c r="M56">
        <v>146.15</v>
      </c>
      <c r="N56" s="6" t="str">
        <f t="shared" si="3"/>
        <v>未买</v>
      </c>
      <c r="Q56" s="21">
        <v>54</v>
      </c>
    </row>
    <row r="57" spans="5:17" x14ac:dyDescent="0.15">
      <c r="E57" s="6"/>
      <c r="H57" s="21">
        <v>55</v>
      </c>
      <c r="I57">
        <v>128144</v>
      </c>
      <c r="J57" t="s">
        <v>345</v>
      </c>
      <c r="K57">
        <v>118.7</v>
      </c>
      <c r="L57">
        <v>0.27689999999999998</v>
      </c>
      <c r="M57">
        <v>146.38999999999999</v>
      </c>
      <c r="N57" s="6" t="str">
        <f t="shared" si="3"/>
        <v>未买</v>
      </c>
      <c r="Q57" s="21">
        <v>55</v>
      </c>
    </row>
    <row r="58" spans="5:17" x14ac:dyDescent="0.15">
      <c r="E58" s="6"/>
      <c r="H58" s="21">
        <v>56</v>
      </c>
      <c r="I58">
        <v>110060</v>
      </c>
      <c r="J58" t="s">
        <v>333</v>
      </c>
      <c r="K58">
        <v>111.37</v>
      </c>
      <c r="L58">
        <v>0.35249999999999998</v>
      </c>
      <c r="M58">
        <v>146.62</v>
      </c>
      <c r="N58" s="6" t="str">
        <f t="shared" si="3"/>
        <v>未买</v>
      </c>
      <c r="Q58" s="21">
        <v>56</v>
      </c>
    </row>
    <row r="59" spans="5:17" x14ac:dyDescent="0.15">
      <c r="E59" s="6"/>
      <c r="H59" s="21">
        <v>57</v>
      </c>
      <c r="I59">
        <v>123057</v>
      </c>
      <c r="J59" t="s">
        <v>1182</v>
      </c>
      <c r="K59">
        <v>126</v>
      </c>
      <c r="L59">
        <v>0.21029999999999999</v>
      </c>
      <c r="M59">
        <v>147.03</v>
      </c>
      <c r="N59" s="6" t="str">
        <f t="shared" si="3"/>
        <v>未买</v>
      </c>
      <c r="Q59" s="21">
        <v>57</v>
      </c>
    </row>
    <row r="60" spans="5:17" x14ac:dyDescent="0.15">
      <c r="E60" s="6"/>
      <c r="H60" s="21">
        <v>58</v>
      </c>
      <c r="I60">
        <v>123052</v>
      </c>
      <c r="J60" t="s">
        <v>1130</v>
      </c>
      <c r="K60">
        <v>129.00299999999999</v>
      </c>
      <c r="L60">
        <v>0.1827</v>
      </c>
      <c r="M60">
        <v>147.27000000000001</v>
      </c>
      <c r="N60" s="6" t="str">
        <f t="shared" si="3"/>
        <v>未买</v>
      </c>
      <c r="Q60" s="21">
        <v>58</v>
      </c>
    </row>
    <row r="61" spans="5:17" x14ac:dyDescent="0.15">
      <c r="E61" s="6"/>
      <c r="H61" s="21">
        <v>59</v>
      </c>
      <c r="I61">
        <v>123002</v>
      </c>
      <c r="J61" t="s">
        <v>197</v>
      </c>
      <c r="K61">
        <v>114.505</v>
      </c>
      <c r="L61">
        <v>0.33139999999999997</v>
      </c>
      <c r="M61">
        <v>147.65</v>
      </c>
      <c r="N61" s="6" t="str">
        <f t="shared" si="3"/>
        <v>Yes</v>
      </c>
      <c r="Q61" s="21">
        <v>59</v>
      </c>
    </row>
    <row r="62" spans="5:17" x14ac:dyDescent="0.15">
      <c r="E62" s="6"/>
      <c r="H62" s="21">
        <v>60</v>
      </c>
      <c r="I62">
        <v>113525</v>
      </c>
      <c r="J62" t="s">
        <v>1206</v>
      </c>
      <c r="K62">
        <v>140.41</v>
      </c>
      <c r="L62">
        <v>7.3099999999999998E-2</v>
      </c>
      <c r="M62">
        <v>147.72</v>
      </c>
      <c r="N62" s="6" t="str">
        <f t="shared" si="3"/>
        <v>未买</v>
      </c>
      <c r="Q62" s="21">
        <v>60</v>
      </c>
    </row>
    <row r="63" spans="5:17" x14ac:dyDescent="0.15">
      <c r="E63" s="6"/>
      <c r="H63" s="21">
        <v>61</v>
      </c>
      <c r="I63">
        <v>128076</v>
      </c>
      <c r="J63" t="s">
        <v>248</v>
      </c>
      <c r="K63">
        <v>118.10599999999999</v>
      </c>
      <c r="L63">
        <v>0.29699999999999999</v>
      </c>
      <c r="M63">
        <v>147.81</v>
      </c>
      <c r="N63" s="6" t="str">
        <f t="shared" si="3"/>
        <v>未买</v>
      </c>
      <c r="Q63" s="21">
        <v>61</v>
      </c>
    </row>
    <row r="64" spans="5:17" x14ac:dyDescent="0.15">
      <c r="E64" s="6"/>
      <c r="H64" s="21">
        <v>62</v>
      </c>
      <c r="I64">
        <v>113532</v>
      </c>
      <c r="J64" t="s">
        <v>320</v>
      </c>
      <c r="K64">
        <v>111.53</v>
      </c>
      <c r="L64">
        <v>0.3659</v>
      </c>
      <c r="M64">
        <v>148.12</v>
      </c>
      <c r="N64" s="6" t="str">
        <f t="shared" si="3"/>
        <v>未买</v>
      </c>
      <c r="Q64" s="21">
        <v>62</v>
      </c>
    </row>
    <row r="65" spans="5:17" x14ac:dyDescent="0.15">
      <c r="E65" s="6"/>
      <c r="H65" s="21">
        <v>63</v>
      </c>
      <c r="I65">
        <v>110074</v>
      </c>
      <c r="J65" t="s">
        <v>1181</v>
      </c>
      <c r="K65">
        <v>134.63</v>
      </c>
      <c r="L65">
        <v>0.1361</v>
      </c>
      <c r="M65">
        <v>148.24</v>
      </c>
      <c r="N65" s="6" t="str">
        <f t="shared" si="3"/>
        <v>未买</v>
      </c>
      <c r="Q65" s="21">
        <v>63</v>
      </c>
    </row>
    <row r="66" spans="5:17" x14ac:dyDescent="0.15">
      <c r="E66" s="6"/>
      <c r="H66" s="21">
        <v>64</v>
      </c>
      <c r="I66">
        <v>123082</v>
      </c>
      <c r="J66" t="s">
        <v>191</v>
      </c>
      <c r="K66">
        <v>112.693</v>
      </c>
      <c r="L66">
        <v>0.35630000000000001</v>
      </c>
      <c r="M66">
        <v>148.32</v>
      </c>
      <c r="N66" s="6" t="str">
        <f t="shared" si="3"/>
        <v>未买</v>
      </c>
      <c r="Q66" s="21">
        <v>64</v>
      </c>
    </row>
    <row r="67" spans="5:17" x14ac:dyDescent="0.15">
      <c r="E67" s="6"/>
      <c r="H67" s="21">
        <v>65</v>
      </c>
      <c r="I67">
        <v>110038</v>
      </c>
      <c r="J67" t="s">
        <v>219</v>
      </c>
      <c r="K67">
        <v>122.64</v>
      </c>
      <c r="L67">
        <v>0.2576</v>
      </c>
      <c r="M67">
        <v>148.4</v>
      </c>
      <c r="N67" s="6" t="str">
        <f t="shared" si="3"/>
        <v>未买</v>
      </c>
      <c r="Q67" s="21">
        <v>65</v>
      </c>
    </row>
    <row r="68" spans="5:17" x14ac:dyDescent="0.15">
      <c r="E68" s="6"/>
      <c r="H68" s="21">
        <v>66</v>
      </c>
      <c r="I68">
        <v>127007</v>
      </c>
      <c r="J68" t="s">
        <v>1171</v>
      </c>
      <c r="K68">
        <v>148.47999999999999</v>
      </c>
      <c r="L68">
        <v>5.9999999999999995E-4</v>
      </c>
      <c r="M68">
        <v>148.54</v>
      </c>
      <c r="N68" s="6" t="str">
        <f t="shared" ref="N68:N131" si="6">IF(ISNA(MATCH(I68,$A$3:$A$1000,0)),"未买","Yes")</f>
        <v>未买</v>
      </c>
      <c r="Q68" s="21">
        <v>66</v>
      </c>
    </row>
    <row r="69" spans="5:17" x14ac:dyDescent="0.15">
      <c r="E69" s="6"/>
      <c r="H69" s="21">
        <v>67</v>
      </c>
      <c r="I69">
        <v>110070</v>
      </c>
      <c r="J69" t="s">
        <v>205</v>
      </c>
      <c r="K69">
        <v>122.53</v>
      </c>
      <c r="L69">
        <v>0.26290000000000002</v>
      </c>
      <c r="M69">
        <v>148.82</v>
      </c>
      <c r="N69" s="6" t="str">
        <f t="shared" si="6"/>
        <v>Yes</v>
      </c>
      <c r="Q69" s="21">
        <v>67</v>
      </c>
    </row>
    <row r="70" spans="5:17" x14ac:dyDescent="0.15">
      <c r="E70" s="6"/>
      <c r="H70" s="21">
        <v>68</v>
      </c>
      <c r="I70">
        <v>113609</v>
      </c>
      <c r="J70" t="s">
        <v>199</v>
      </c>
      <c r="K70">
        <v>109.06</v>
      </c>
      <c r="L70">
        <v>0.40089999999999998</v>
      </c>
      <c r="M70">
        <v>149.15</v>
      </c>
      <c r="N70" s="6" t="str">
        <f t="shared" si="6"/>
        <v>未买</v>
      </c>
      <c r="Q70" s="21">
        <v>68</v>
      </c>
    </row>
    <row r="71" spans="5:17" x14ac:dyDescent="0.15">
      <c r="E71" s="6"/>
      <c r="H71" s="21">
        <v>69</v>
      </c>
      <c r="I71">
        <v>128097</v>
      </c>
      <c r="J71" t="s">
        <v>229</v>
      </c>
      <c r="K71">
        <v>116.875</v>
      </c>
      <c r="L71">
        <v>0.32279999999999998</v>
      </c>
      <c r="M71">
        <v>149.16</v>
      </c>
      <c r="N71" s="6" t="str">
        <f t="shared" si="6"/>
        <v>未买</v>
      </c>
      <c r="Q71" s="21">
        <v>69</v>
      </c>
    </row>
    <row r="72" spans="5:17" x14ac:dyDescent="0.15">
      <c r="E72" s="6"/>
      <c r="H72" s="21">
        <v>70</v>
      </c>
      <c r="I72">
        <v>128025</v>
      </c>
      <c r="J72" t="s">
        <v>166</v>
      </c>
      <c r="K72">
        <v>118.7</v>
      </c>
      <c r="L72">
        <v>0.30630000000000002</v>
      </c>
      <c r="M72">
        <v>149.33000000000001</v>
      </c>
      <c r="N72" s="6" t="str">
        <f t="shared" si="6"/>
        <v>未买</v>
      </c>
      <c r="Q72" s="21">
        <v>70</v>
      </c>
    </row>
    <row r="73" spans="5:17" x14ac:dyDescent="0.15">
      <c r="E73" s="6"/>
      <c r="H73" s="21">
        <v>71</v>
      </c>
      <c r="I73">
        <v>127014</v>
      </c>
      <c r="J73" t="s">
        <v>349</v>
      </c>
      <c r="K73">
        <v>120.521</v>
      </c>
      <c r="L73">
        <v>0.2888</v>
      </c>
      <c r="M73">
        <v>149.4</v>
      </c>
      <c r="N73" s="6" t="str">
        <f t="shared" si="6"/>
        <v>未买</v>
      </c>
      <c r="Q73" s="21">
        <v>71</v>
      </c>
    </row>
    <row r="74" spans="5:17" x14ac:dyDescent="0.15">
      <c r="E74" s="6"/>
      <c r="H74" s="21">
        <v>72</v>
      </c>
      <c r="I74">
        <v>123129</v>
      </c>
      <c r="J74" t="s">
        <v>365</v>
      </c>
      <c r="K74">
        <v>108.86</v>
      </c>
      <c r="L74">
        <v>0.40760000000000002</v>
      </c>
      <c r="M74">
        <v>149.62</v>
      </c>
      <c r="N74" s="6" t="str">
        <f t="shared" si="6"/>
        <v>未买</v>
      </c>
      <c r="Q74" s="21">
        <v>72</v>
      </c>
    </row>
    <row r="75" spans="5:17" x14ac:dyDescent="0.15">
      <c r="E75" s="6"/>
      <c r="H75" s="21">
        <v>73</v>
      </c>
      <c r="I75">
        <v>123100</v>
      </c>
      <c r="J75" t="s">
        <v>221</v>
      </c>
      <c r="K75">
        <v>115.164</v>
      </c>
      <c r="L75">
        <v>0.34510000000000002</v>
      </c>
      <c r="M75">
        <v>149.66999999999999</v>
      </c>
      <c r="N75" s="6" t="str">
        <f t="shared" si="6"/>
        <v>未买</v>
      </c>
      <c r="Q75" s="21">
        <v>73</v>
      </c>
    </row>
    <row r="76" spans="5:17" x14ac:dyDescent="0.15">
      <c r="E76" s="6"/>
      <c r="H76" s="21">
        <v>74</v>
      </c>
      <c r="I76">
        <v>128133</v>
      </c>
      <c r="J76" t="s">
        <v>344</v>
      </c>
      <c r="K76">
        <v>111.852</v>
      </c>
      <c r="L76">
        <v>0.38030000000000003</v>
      </c>
      <c r="M76">
        <v>149.88</v>
      </c>
      <c r="N76" s="6" t="str">
        <f t="shared" si="6"/>
        <v>未买</v>
      </c>
      <c r="Q76" s="21">
        <v>74</v>
      </c>
    </row>
    <row r="77" spans="5:17" x14ac:dyDescent="0.15">
      <c r="E77" s="6"/>
      <c r="H77" s="21">
        <v>75</v>
      </c>
      <c r="I77">
        <v>128145</v>
      </c>
      <c r="J77" t="s">
        <v>223</v>
      </c>
      <c r="K77">
        <v>118.26</v>
      </c>
      <c r="L77">
        <v>0.31759999999999999</v>
      </c>
      <c r="M77">
        <v>150.02000000000001</v>
      </c>
      <c r="N77" s="6" t="str">
        <f t="shared" si="6"/>
        <v>未买</v>
      </c>
      <c r="Q77" s="21">
        <v>75</v>
      </c>
    </row>
    <row r="78" spans="5:17" x14ac:dyDescent="0.15">
      <c r="E78" s="6"/>
      <c r="H78" s="21">
        <v>76</v>
      </c>
      <c r="I78">
        <v>111001</v>
      </c>
      <c r="J78" t="s">
        <v>341</v>
      </c>
      <c r="K78">
        <v>115.42</v>
      </c>
      <c r="L78">
        <v>0.34689999999999999</v>
      </c>
      <c r="M78">
        <v>150.11000000000001</v>
      </c>
      <c r="N78" s="6" t="str">
        <f t="shared" si="6"/>
        <v>未买</v>
      </c>
      <c r="Q78" s="21">
        <v>76</v>
      </c>
    </row>
    <row r="79" spans="5:17" x14ac:dyDescent="0.15">
      <c r="E79" s="6"/>
      <c r="H79" s="21">
        <v>77</v>
      </c>
      <c r="I79">
        <v>123035</v>
      </c>
      <c r="J79" t="s">
        <v>242</v>
      </c>
      <c r="K79">
        <v>118.383</v>
      </c>
      <c r="L79">
        <v>0.32040000000000002</v>
      </c>
      <c r="M79">
        <v>150.41999999999999</v>
      </c>
      <c r="N79" s="6" t="str">
        <f t="shared" si="6"/>
        <v>未买</v>
      </c>
      <c r="Q79" s="21">
        <v>77</v>
      </c>
    </row>
    <row r="80" spans="5:17" x14ac:dyDescent="0.15">
      <c r="E80" s="6"/>
      <c r="H80" s="21">
        <v>78</v>
      </c>
      <c r="I80">
        <v>113565</v>
      </c>
      <c r="J80" t="s">
        <v>241</v>
      </c>
      <c r="K80">
        <v>118.15</v>
      </c>
      <c r="L80">
        <v>0.3236</v>
      </c>
      <c r="M80">
        <v>150.51</v>
      </c>
      <c r="N80" s="6" t="str">
        <f t="shared" si="6"/>
        <v>未买</v>
      </c>
      <c r="Q80" s="21">
        <v>78</v>
      </c>
    </row>
    <row r="81" spans="5:17" x14ac:dyDescent="0.15">
      <c r="E81" s="6"/>
      <c r="H81" s="21">
        <v>79</v>
      </c>
      <c r="I81">
        <v>132022</v>
      </c>
      <c r="J81" t="s">
        <v>1193</v>
      </c>
      <c r="K81">
        <v>104.72</v>
      </c>
      <c r="L81">
        <v>0.46210000000000001</v>
      </c>
      <c r="M81">
        <v>150.93</v>
      </c>
      <c r="N81" s="6" t="str">
        <f t="shared" si="6"/>
        <v>未买</v>
      </c>
      <c r="Q81" s="21">
        <v>79</v>
      </c>
    </row>
    <row r="82" spans="5:17" x14ac:dyDescent="0.15">
      <c r="E82" s="6"/>
      <c r="H82" s="21">
        <v>80</v>
      </c>
      <c r="I82">
        <v>113634</v>
      </c>
      <c r="J82" t="s">
        <v>370</v>
      </c>
      <c r="K82">
        <v>124.83</v>
      </c>
      <c r="L82">
        <v>0.26250000000000001</v>
      </c>
      <c r="M82">
        <v>151.08000000000001</v>
      </c>
      <c r="N82" s="6" t="str">
        <f t="shared" si="6"/>
        <v>未买</v>
      </c>
      <c r="Q82" s="21">
        <v>80</v>
      </c>
    </row>
    <row r="83" spans="5:17" x14ac:dyDescent="0.15">
      <c r="E83" s="6"/>
      <c r="H83" s="21">
        <v>81</v>
      </c>
      <c r="I83">
        <v>123067</v>
      </c>
      <c r="J83" t="s">
        <v>1132</v>
      </c>
      <c r="K83">
        <v>133</v>
      </c>
      <c r="L83">
        <v>0.18559999999999999</v>
      </c>
      <c r="M83">
        <v>151.56</v>
      </c>
      <c r="N83" s="6" t="str">
        <f t="shared" si="6"/>
        <v>未买</v>
      </c>
      <c r="Q83" s="21">
        <v>81</v>
      </c>
    </row>
    <row r="84" spans="5:17" x14ac:dyDescent="0.15">
      <c r="E84" s="6"/>
      <c r="H84" s="21">
        <v>82</v>
      </c>
      <c r="I84">
        <v>123048</v>
      </c>
      <c r="J84" t="s">
        <v>354</v>
      </c>
      <c r="K84">
        <v>123.678</v>
      </c>
      <c r="L84">
        <v>0.28599999999999998</v>
      </c>
      <c r="M84">
        <v>152.28</v>
      </c>
      <c r="N84" s="6" t="str">
        <f t="shared" si="6"/>
        <v>未买</v>
      </c>
      <c r="Q84" s="21">
        <v>82</v>
      </c>
    </row>
    <row r="85" spans="5:17" x14ac:dyDescent="0.15">
      <c r="E85" s="6"/>
      <c r="H85" s="21">
        <v>83</v>
      </c>
      <c r="I85">
        <v>113527</v>
      </c>
      <c r="J85" t="s">
        <v>237</v>
      </c>
      <c r="K85">
        <v>123.52</v>
      </c>
      <c r="L85">
        <v>0.28799999999999998</v>
      </c>
      <c r="M85">
        <v>152.32</v>
      </c>
      <c r="N85" s="6" t="str">
        <f t="shared" si="6"/>
        <v>未买</v>
      </c>
      <c r="Q85" s="21">
        <v>83</v>
      </c>
    </row>
    <row r="86" spans="5:17" x14ac:dyDescent="0.15">
      <c r="E86" s="6"/>
      <c r="H86" s="21">
        <v>84</v>
      </c>
      <c r="I86">
        <v>123073</v>
      </c>
      <c r="J86" t="s">
        <v>1172</v>
      </c>
      <c r="K86">
        <v>146.16999999999999</v>
      </c>
      <c r="L86">
        <v>6.5000000000000002E-2</v>
      </c>
      <c r="M86">
        <v>152.66999999999999</v>
      </c>
      <c r="N86" s="6" t="str">
        <f t="shared" si="6"/>
        <v>未买</v>
      </c>
      <c r="Q86" s="21">
        <v>84</v>
      </c>
    </row>
    <row r="87" spans="5:17" x14ac:dyDescent="0.15">
      <c r="E87" s="6"/>
      <c r="H87" s="21">
        <v>85</v>
      </c>
      <c r="I87">
        <v>128042</v>
      </c>
      <c r="J87" t="s">
        <v>325</v>
      </c>
      <c r="K87">
        <v>114.301</v>
      </c>
      <c r="L87">
        <v>0.38450000000000001</v>
      </c>
      <c r="M87">
        <v>152.75</v>
      </c>
      <c r="N87" s="6" t="str">
        <f t="shared" si="6"/>
        <v>未买</v>
      </c>
      <c r="Q87" s="21">
        <v>85</v>
      </c>
    </row>
    <row r="88" spans="5:17" x14ac:dyDescent="0.15">
      <c r="E88" s="6"/>
      <c r="H88" s="21">
        <v>86</v>
      </c>
      <c r="I88">
        <v>123120</v>
      </c>
      <c r="J88" t="s">
        <v>357</v>
      </c>
      <c r="K88">
        <v>116.658</v>
      </c>
      <c r="L88">
        <v>0.3634</v>
      </c>
      <c r="M88">
        <v>153</v>
      </c>
      <c r="N88" s="6" t="str">
        <f t="shared" si="6"/>
        <v>未买</v>
      </c>
      <c r="Q88" s="21">
        <v>86</v>
      </c>
    </row>
    <row r="89" spans="5:17" x14ac:dyDescent="0.15">
      <c r="E89" s="6"/>
      <c r="H89" s="21">
        <v>87</v>
      </c>
      <c r="I89">
        <v>123118</v>
      </c>
      <c r="J89" t="s">
        <v>359</v>
      </c>
      <c r="K89">
        <v>111.66500000000001</v>
      </c>
      <c r="L89">
        <v>0.41949999999999998</v>
      </c>
      <c r="M89">
        <v>153.62</v>
      </c>
      <c r="N89" s="6" t="str">
        <f t="shared" si="6"/>
        <v>未买</v>
      </c>
      <c r="Q89" s="21">
        <v>87</v>
      </c>
    </row>
    <row r="90" spans="5:17" x14ac:dyDescent="0.15">
      <c r="E90" s="6"/>
      <c r="H90" s="21">
        <v>88</v>
      </c>
      <c r="I90">
        <v>123084</v>
      </c>
      <c r="J90" t="s">
        <v>231</v>
      </c>
      <c r="K90">
        <v>126.1</v>
      </c>
      <c r="L90">
        <v>0.27800000000000002</v>
      </c>
      <c r="M90">
        <v>153.9</v>
      </c>
      <c r="N90" s="6" t="str">
        <f t="shared" si="6"/>
        <v>未买</v>
      </c>
      <c r="Q90" s="21">
        <v>88</v>
      </c>
    </row>
    <row r="91" spans="5:17" x14ac:dyDescent="0.15">
      <c r="E91" s="6"/>
      <c r="H91" s="21">
        <v>89</v>
      </c>
      <c r="I91">
        <v>128053</v>
      </c>
      <c r="J91" t="s">
        <v>177</v>
      </c>
      <c r="K91">
        <v>121.05</v>
      </c>
      <c r="L91">
        <v>0.33050000000000002</v>
      </c>
      <c r="M91">
        <v>154.1</v>
      </c>
      <c r="N91" s="6" t="str">
        <f t="shared" si="6"/>
        <v>未买</v>
      </c>
      <c r="Q91" s="21">
        <v>89</v>
      </c>
    </row>
    <row r="92" spans="5:17" x14ac:dyDescent="0.15">
      <c r="E92" s="6"/>
      <c r="H92" s="21">
        <v>90</v>
      </c>
      <c r="I92">
        <v>127026</v>
      </c>
      <c r="J92" t="s">
        <v>353</v>
      </c>
      <c r="K92">
        <v>110.71</v>
      </c>
      <c r="L92">
        <v>0.434</v>
      </c>
      <c r="M92">
        <v>154.11000000000001</v>
      </c>
      <c r="N92" s="6" t="str">
        <f t="shared" si="6"/>
        <v>未买</v>
      </c>
      <c r="Q92" s="21">
        <v>90</v>
      </c>
    </row>
    <row r="93" spans="5:17" x14ac:dyDescent="0.15">
      <c r="E93" s="6"/>
      <c r="H93" s="21">
        <v>91</v>
      </c>
      <c r="I93">
        <v>123114</v>
      </c>
      <c r="J93" t="s">
        <v>1187</v>
      </c>
      <c r="K93">
        <v>133.29400000000001</v>
      </c>
      <c r="L93">
        <v>0.2084</v>
      </c>
      <c r="M93">
        <v>154.13</v>
      </c>
      <c r="N93" s="6" t="str">
        <f t="shared" si="6"/>
        <v>未买</v>
      </c>
      <c r="Q93" s="21">
        <v>91</v>
      </c>
    </row>
    <row r="94" spans="5:17" x14ac:dyDescent="0.15">
      <c r="E94" s="6"/>
      <c r="H94" s="21">
        <v>92</v>
      </c>
      <c r="I94">
        <v>128143</v>
      </c>
      <c r="J94" t="s">
        <v>236</v>
      </c>
      <c r="K94">
        <v>114.152</v>
      </c>
      <c r="L94">
        <v>0.4</v>
      </c>
      <c r="M94">
        <v>154.15</v>
      </c>
      <c r="N94" s="6" t="str">
        <f t="shared" si="6"/>
        <v>未买</v>
      </c>
      <c r="Q94" s="21">
        <v>92</v>
      </c>
    </row>
    <row r="95" spans="5:17" x14ac:dyDescent="0.15">
      <c r="E95" s="6"/>
      <c r="H95" s="21">
        <v>93</v>
      </c>
      <c r="I95">
        <v>128040</v>
      </c>
      <c r="J95" t="s">
        <v>1178</v>
      </c>
      <c r="K95">
        <v>143.786</v>
      </c>
      <c r="L95">
        <v>0.1043</v>
      </c>
      <c r="M95">
        <v>154.22</v>
      </c>
      <c r="N95" s="6" t="str">
        <f t="shared" si="6"/>
        <v>未买</v>
      </c>
      <c r="Q95" s="21">
        <v>93</v>
      </c>
    </row>
    <row r="96" spans="5:17" x14ac:dyDescent="0.15">
      <c r="E96" s="6"/>
      <c r="H96" s="21">
        <v>94</v>
      </c>
      <c r="I96">
        <v>123091</v>
      </c>
      <c r="J96" t="s">
        <v>362</v>
      </c>
      <c r="K96">
        <v>119</v>
      </c>
      <c r="L96">
        <v>0.3574</v>
      </c>
      <c r="M96">
        <v>154.74</v>
      </c>
      <c r="N96" s="6" t="str">
        <f t="shared" si="6"/>
        <v>未买</v>
      </c>
      <c r="Q96" s="21">
        <v>94</v>
      </c>
    </row>
    <row r="97" spans="5:17" x14ac:dyDescent="0.15">
      <c r="E97" s="6"/>
      <c r="H97" s="21">
        <v>95</v>
      </c>
      <c r="I97">
        <v>123087</v>
      </c>
      <c r="J97" t="s">
        <v>188</v>
      </c>
      <c r="K97">
        <v>114.12</v>
      </c>
      <c r="L97">
        <v>0.41089999999999999</v>
      </c>
      <c r="M97">
        <v>155.21</v>
      </c>
      <c r="N97" s="6" t="str">
        <f t="shared" si="6"/>
        <v>未买</v>
      </c>
      <c r="Q97" s="21">
        <v>95</v>
      </c>
    </row>
    <row r="98" spans="5:17" x14ac:dyDescent="0.15">
      <c r="E98" s="6"/>
      <c r="H98" s="21">
        <v>96</v>
      </c>
      <c r="I98">
        <v>128132</v>
      </c>
      <c r="J98" t="s">
        <v>278</v>
      </c>
      <c r="K98">
        <v>114.928</v>
      </c>
      <c r="L98">
        <v>0.40289999999999998</v>
      </c>
      <c r="M98">
        <v>155.22</v>
      </c>
      <c r="N98" s="6" t="str">
        <f t="shared" si="6"/>
        <v>未买</v>
      </c>
      <c r="Q98" s="21">
        <v>96</v>
      </c>
    </row>
    <row r="99" spans="5:17" x14ac:dyDescent="0.15">
      <c r="E99" s="6"/>
      <c r="H99" s="21">
        <v>97</v>
      </c>
      <c r="I99">
        <v>123123</v>
      </c>
      <c r="J99" t="s">
        <v>314</v>
      </c>
      <c r="K99">
        <v>125.372</v>
      </c>
      <c r="L99">
        <v>0.3</v>
      </c>
      <c r="M99">
        <v>155.37</v>
      </c>
      <c r="N99" s="6" t="str">
        <f t="shared" si="6"/>
        <v>未买</v>
      </c>
      <c r="Q99" s="21">
        <v>97</v>
      </c>
    </row>
    <row r="100" spans="5:17" x14ac:dyDescent="0.15">
      <c r="E100" s="6"/>
      <c r="H100" s="21">
        <v>98</v>
      </c>
      <c r="I100">
        <v>128090</v>
      </c>
      <c r="J100" t="s">
        <v>240</v>
      </c>
      <c r="K100">
        <v>112.5</v>
      </c>
      <c r="L100">
        <v>0.42909999999999998</v>
      </c>
      <c r="M100">
        <v>155.41</v>
      </c>
      <c r="N100" s="6" t="str">
        <f t="shared" si="6"/>
        <v>未买</v>
      </c>
      <c r="Q100" s="21">
        <v>98</v>
      </c>
    </row>
    <row r="101" spans="5:17" x14ac:dyDescent="0.15">
      <c r="E101" s="6"/>
      <c r="H101" s="21">
        <v>99</v>
      </c>
      <c r="I101">
        <v>113546</v>
      </c>
      <c r="J101" t="s">
        <v>203</v>
      </c>
      <c r="K101">
        <v>116.56</v>
      </c>
      <c r="L101">
        <v>0.39</v>
      </c>
      <c r="M101">
        <v>155.56</v>
      </c>
      <c r="N101" s="6" t="str">
        <f t="shared" si="6"/>
        <v>未买</v>
      </c>
      <c r="Q101" s="21">
        <v>99</v>
      </c>
    </row>
    <row r="102" spans="5:17" x14ac:dyDescent="0.15">
      <c r="E102" s="6"/>
      <c r="H102" s="21">
        <v>100</v>
      </c>
      <c r="I102">
        <v>123012</v>
      </c>
      <c r="J102" t="s">
        <v>1124</v>
      </c>
      <c r="K102">
        <v>147.233</v>
      </c>
      <c r="L102">
        <v>8.5199999999999998E-2</v>
      </c>
      <c r="M102">
        <v>155.75</v>
      </c>
      <c r="N102" s="6" t="str">
        <f t="shared" si="6"/>
        <v>未买</v>
      </c>
      <c r="Q102" s="21">
        <v>100</v>
      </c>
    </row>
    <row r="103" spans="5:17" x14ac:dyDescent="0.15">
      <c r="E103" s="6"/>
      <c r="H103" s="21">
        <v>101</v>
      </c>
      <c r="I103">
        <v>110084</v>
      </c>
      <c r="J103" t="s">
        <v>426</v>
      </c>
      <c r="K103">
        <v>107.97</v>
      </c>
      <c r="L103">
        <v>0.47789999999999999</v>
      </c>
      <c r="M103">
        <v>155.76</v>
      </c>
      <c r="N103" s="6" t="str">
        <f t="shared" si="6"/>
        <v>未买</v>
      </c>
      <c r="Q103" s="21">
        <v>101</v>
      </c>
    </row>
    <row r="104" spans="5:17" x14ac:dyDescent="0.15">
      <c r="E104" s="6"/>
      <c r="H104" s="21">
        <v>102</v>
      </c>
      <c r="I104">
        <v>123086</v>
      </c>
      <c r="J104" t="s">
        <v>1166</v>
      </c>
      <c r="K104">
        <v>153.846</v>
      </c>
      <c r="L104">
        <v>2.0500000000000001E-2</v>
      </c>
      <c r="M104">
        <v>155.9</v>
      </c>
      <c r="N104" s="6" t="str">
        <f t="shared" si="6"/>
        <v>未买</v>
      </c>
      <c r="Q104" s="21">
        <v>102</v>
      </c>
    </row>
    <row r="105" spans="5:17" x14ac:dyDescent="0.15">
      <c r="E105" s="6"/>
      <c r="H105" s="21">
        <v>103</v>
      </c>
      <c r="I105">
        <v>123045</v>
      </c>
      <c r="J105" t="s">
        <v>227</v>
      </c>
      <c r="K105">
        <v>131.51</v>
      </c>
      <c r="L105">
        <v>0.24529999999999999</v>
      </c>
      <c r="M105">
        <v>156.04</v>
      </c>
      <c r="N105" s="6" t="str">
        <f t="shared" si="6"/>
        <v>未买</v>
      </c>
      <c r="Q105" s="21">
        <v>103</v>
      </c>
    </row>
    <row r="106" spans="5:17" x14ac:dyDescent="0.15">
      <c r="E106" s="6"/>
      <c r="H106" s="21">
        <v>104</v>
      </c>
      <c r="I106">
        <v>113526</v>
      </c>
      <c r="J106" t="s">
        <v>262</v>
      </c>
      <c r="K106">
        <v>128.13</v>
      </c>
      <c r="L106">
        <v>0.28129999999999999</v>
      </c>
      <c r="M106">
        <v>156.26</v>
      </c>
      <c r="N106" s="6" t="str">
        <f t="shared" si="6"/>
        <v>未买</v>
      </c>
      <c r="Q106" s="21">
        <v>104</v>
      </c>
    </row>
    <row r="107" spans="5:17" x14ac:dyDescent="0.15">
      <c r="E107" s="6"/>
      <c r="H107" s="21">
        <v>105</v>
      </c>
      <c r="I107">
        <v>128139</v>
      </c>
      <c r="J107" t="s">
        <v>282</v>
      </c>
      <c r="K107">
        <v>114.67400000000001</v>
      </c>
      <c r="L107">
        <v>0.41620000000000001</v>
      </c>
      <c r="M107">
        <v>156.29</v>
      </c>
      <c r="N107" s="6" t="str">
        <f t="shared" si="6"/>
        <v>未买</v>
      </c>
      <c r="Q107" s="21">
        <v>105</v>
      </c>
    </row>
    <row r="108" spans="5:17" x14ac:dyDescent="0.15">
      <c r="E108" s="6"/>
      <c r="H108" s="21">
        <v>106</v>
      </c>
      <c r="I108">
        <v>113601</v>
      </c>
      <c r="J108" t="s">
        <v>181</v>
      </c>
      <c r="K108">
        <v>108.28</v>
      </c>
      <c r="L108">
        <v>0.4839</v>
      </c>
      <c r="M108">
        <v>156.66999999999999</v>
      </c>
      <c r="N108" s="6" t="str">
        <f t="shared" si="6"/>
        <v>未买</v>
      </c>
      <c r="Q108" s="21">
        <v>106</v>
      </c>
    </row>
    <row r="109" spans="5:17" x14ac:dyDescent="0.15">
      <c r="E109" s="6"/>
      <c r="H109" s="21">
        <v>107</v>
      </c>
      <c r="I109">
        <v>113541</v>
      </c>
      <c r="J109" t="s">
        <v>1167</v>
      </c>
      <c r="K109">
        <v>155.83000000000001</v>
      </c>
      <c r="L109">
        <v>9.1000000000000004E-3</v>
      </c>
      <c r="M109">
        <v>156.74</v>
      </c>
      <c r="N109" s="6" t="str">
        <f t="shared" si="6"/>
        <v>未买</v>
      </c>
      <c r="Q109" s="21">
        <v>107</v>
      </c>
    </row>
    <row r="110" spans="5:17" x14ac:dyDescent="0.15">
      <c r="E110" s="6"/>
      <c r="H110" s="21">
        <v>108</v>
      </c>
      <c r="I110">
        <v>128078</v>
      </c>
      <c r="J110" t="s">
        <v>1190</v>
      </c>
      <c r="K110">
        <v>117.09</v>
      </c>
      <c r="L110">
        <v>0.3982</v>
      </c>
      <c r="M110">
        <v>156.91</v>
      </c>
      <c r="N110" s="6" t="str">
        <f t="shared" si="6"/>
        <v>未买</v>
      </c>
      <c r="Q110" s="21">
        <v>108</v>
      </c>
    </row>
    <row r="111" spans="5:17" x14ac:dyDescent="0.15">
      <c r="E111" s="6"/>
      <c r="H111" s="21">
        <v>109</v>
      </c>
      <c r="I111">
        <v>123022</v>
      </c>
      <c r="J111" t="s">
        <v>1185</v>
      </c>
      <c r="K111">
        <v>133.14599999999999</v>
      </c>
      <c r="L111">
        <v>0.23930000000000001</v>
      </c>
      <c r="M111">
        <v>157.08000000000001</v>
      </c>
      <c r="N111" s="6" t="str">
        <f t="shared" si="6"/>
        <v>未买</v>
      </c>
      <c r="Q111" s="21">
        <v>109</v>
      </c>
    </row>
    <row r="112" spans="5:17" x14ac:dyDescent="0.15">
      <c r="E112" s="6"/>
      <c r="H112" s="21">
        <v>110</v>
      </c>
      <c r="I112">
        <v>113643</v>
      </c>
      <c r="J112" t="s">
        <v>1208</v>
      </c>
      <c r="K112">
        <v>116.04</v>
      </c>
      <c r="L112">
        <v>0.41070000000000001</v>
      </c>
      <c r="M112">
        <v>157.11000000000001</v>
      </c>
      <c r="N112" s="6" t="str">
        <f t="shared" si="6"/>
        <v>未买</v>
      </c>
      <c r="Q112" s="21">
        <v>110</v>
      </c>
    </row>
    <row r="113" spans="5:17" x14ac:dyDescent="0.15">
      <c r="E113" s="6"/>
      <c r="H113" s="21">
        <v>111</v>
      </c>
      <c r="I113">
        <v>127017</v>
      </c>
      <c r="J113" t="s">
        <v>315</v>
      </c>
      <c r="K113">
        <v>119.6</v>
      </c>
      <c r="L113">
        <v>0.37709999999999999</v>
      </c>
      <c r="M113">
        <v>157.31</v>
      </c>
      <c r="N113" s="6" t="str">
        <f t="shared" si="6"/>
        <v>未买</v>
      </c>
      <c r="Q113" s="21">
        <v>111</v>
      </c>
    </row>
    <row r="114" spans="5:17" x14ac:dyDescent="0.15">
      <c r="E114" s="6"/>
      <c r="H114" s="21">
        <v>112</v>
      </c>
      <c r="I114">
        <v>127019</v>
      </c>
      <c r="J114" t="s">
        <v>294</v>
      </c>
      <c r="K114">
        <v>108.24</v>
      </c>
      <c r="L114">
        <v>0.49180000000000001</v>
      </c>
      <c r="M114">
        <v>157.41999999999999</v>
      </c>
      <c r="N114" s="6" t="str">
        <f t="shared" si="6"/>
        <v>未买</v>
      </c>
      <c r="Q114" s="21">
        <v>112</v>
      </c>
    </row>
    <row r="115" spans="5:17" x14ac:dyDescent="0.15">
      <c r="E115" s="6"/>
      <c r="H115" s="21">
        <v>113</v>
      </c>
      <c r="I115">
        <v>123092</v>
      </c>
      <c r="J115" t="s">
        <v>1136</v>
      </c>
      <c r="K115">
        <v>155.49</v>
      </c>
      <c r="L115">
        <v>2.1499999999999998E-2</v>
      </c>
      <c r="M115">
        <v>157.63999999999999</v>
      </c>
      <c r="N115" s="6" t="str">
        <f t="shared" si="6"/>
        <v>未买</v>
      </c>
      <c r="Q115" s="21">
        <v>113</v>
      </c>
    </row>
    <row r="116" spans="5:17" x14ac:dyDescent="0.15">
      <c r="E116" s="6"/>
      <c r="H116" s="21">
        <v>114</v>
      </c>
      <c r="I116">
        <v>127054</v>
      </c>
      <c r="J116" t="s">
        <v>1115</v>
      </c>
      <c r="K116">
        <v>114.04</v>
      </c>
      <c r="L116">
        <v>0.43869999999999998</v>
      </c>
      <c r="M116">
        <v>157.91</v>
      </c>
      <c r="N116" s="6" t="str">
        <f t="shared" si="6"/>
        <v>未买</v>
      </c>
      <c r="Q116" s="21">
        <v>114</v>
      </c>
    </row>
    <row r="117" spans="5:17" x14ac:dyDescent="0.15">
      <c r="E117" s="6"/>
      <c r="H117" s="21">
        <v>115</v>
      </c>
      <c r="I117">
        <v>128049</v>
      </c>
      <c r="J117" t="s">
        <v>323</v>
      </c>
      <c r="K117">
        <v>109.062</v>
      </c>
      <c r="L117">
        <v>0.49130000000000001</v>
      </c>
      <c r="M117">
        <v>158.19</v>
      </c>
      <c r="N117" s="6" t="str">
        <f t="shared" si="6"/>
        <v>未买</v>
      </c>
      <c r="Q117" s="21">
        <v>115</v>
      </c>
    </row>
    <row r="118" spans="5:17" x14ac:dyDescent="0.15">
      <c r="E118" s="6"/>
      <c r="H118" s="21">
        <v>116</v>
      </c>
      <c r="I118">
        <v>128039</v>
      </c>
      <c r="J118" t="s">
        <v>238</v>
      </c>
      <c r="K118">
        <v>116.4</v>
      </c>
      <c r="L118">
        <v>0.42180000000000001</v>
      </c>
      <c r="M118">
        <v>158.58000000000001</v>
      </c>
      <c r="N118" s="6" t="str">
        <f t="shared" si="6"/>
        <v>未买</v>
      </c>
      <c r="Q118" s="21">
        <v>116</v>
      </c>
    </row>
    <row r="119" spans="5:17" x14ac:dyDescent="0.15">
      <c r="E119" s="6"/>
      <c r="H119" s="21">
        <v>117</v>
      </c>
      <c r="I119">
        <v>128137</v>
      </c>
      <c r="J119" t="s">
        <v>1194</v>
      </c>
      <c r="K119">
        <v>117.688</v>
      </c>
      <c r="L119">
        <v>0.40949999999999998</v>
      </c>
      <c r="M119">
        <v>158.63999999999999</v>
      </c>
      <c r="N119" s="6" t="str">
        <f t="shared" si="6"/>
        <v>未买</v>
      </c>
      <c r="Q119" s="21">
        <v>117</v>
      </c>
    </row>
    <row r="120" spans="5:17" x14ac:dyDescent="0.15">
      <c r="E120" s="6"/>
      <c r="H120" s="21">
        <v>118</v>
      </c>
      <c r="I120">
        <v>113524</v>
      </c>
      <c r="J120" t="s">
        <v>340</v>
      </c>
      <c r="K120">
        <v>113.66</v>
      </c>
      <c r="L120">
        <v>0.4511</v>
      </c>
      <c r="M120">
        <v>158.77000000000001</v>
      </c>
      <c r="N120" s="6" t="str">
        <f t="shared" si="6"/>
        <v>未买</v>
      </c>
      <c r="Q120" s="21">
        <v>118</v>
      </c>
    </row>
    <row r="121" spans="5:17" x14ac:dyDescent="0.15">
      <c r="E121" s="6"/>
      <c r="H121" s="21">
        <v>119</v>
      </c>
      <c r="I121">
        <v>128120</v>
      </c>
      <c r="J121" t="s">
        <v>235</v>
      </c>
      <c r="K121">
        <v>113.398</v>
      </c>
      <c r="L121">
        <v>0.45529999999999998</v>
      </c>
      <c r="M121">
        <v>158.93</v>
      </c>
      <c r="N121" s="6" t="str">
        <f t="shared" si="6"/>
        <v>未买</v>
      </c>
      <c r="Q121" s="21">
        <v>119</v>
      </c>
    </row>
    <row r="122" spans="5:17" x14ac:dyDescent="0.15">
      <c r="E122" s="6"/>
      <c r="H122" s="21">
        <v>120</v>
      </c>
      <c r="I122">
        <v>113588</v>
      </c>
      <c r="J122" t="s">
        <v>337</v>
      </c>
      <c r="K122">
        <v>110.45</v>
      </c>
      <c r="L122">
        <v>0.48730000000000001</v>
      </c>
      <c r="M122">
        <v>159.18</v>
      </c>
      <c r="N122" s="6" t="str">
        <f t="shared" si="6"/>
        <v>未买</v>
      </c>
      <c r="Q122" s="21">
        <v>120</v>
      </c>
    </row>
    <row r="123" spans="5:17" x14ac:dyDescent="0.15">
      <c r="E123" s="6"/>
      <c r="H123" s="21">
        <v>121</v>
      </c>
      <c r="I123">
        <v>127031</v>
      </c>
      <c r="J123" t="s">
        <v>305</v>
      </c>
      <c r="K123">
        <v>123.929</v>
      </c>
      <c r="L123">
        <v>0.35360000000000003</v>
      </c>
      <c r="M123">
        <v>159.29</v>
      </c>
      <c r="N123" s="6" t="str">
        <f t="shared" si="6"/>
        <v>未买</v>
      </c>
      <c r="Q123" s="21">
        <v>121</v>
      </c>
    </row>
    <row r="124" spans="5:17" x14ac:dyDescent="0.15">
      <c r="E124" s="6"/>
      <c r="H124" s="21">
        <v>122</v>
      </c>
      <c r="I124">
        <v>113636</v>
      </c>
      <c r="J124" t="s">
        <v>369</v>
      </c>
      <c r="K124">
        <v>120.11</v>
      </c>
      <c r="L124">
        <v>0.39240000000000003</v>
      </c>
      <c r="M124">
        <v>159.35</v>
      </c>
      <c r="N124" s="6" t="str">
        <f t="shared" si="6"/>
        <v>未买</v>
      </c>
      <c r="Q124" s="21">
        <v>122</v>
      </c>
    </row>
    <row r="125" spans="5:17" x14ac:dyDescent="0.15">
      <c r="E125" s="6"/>
      <c r="H125" s="21">
        <v>123</v>
      </c>
      <c r="I125">
        <v>127034</v>
      </c>
      <c r="J125" t="s">
        <v>322</v>
      </c>
      <c r="K125">
        <v>104.16200000000001</v>
      </c>
      <c r="L125">
        <v>0.55930000000000002</v>
      </c>
      <c r="M125">
        <v>160.09</v>
      </c>
      <c r="N125" s="6" t="str">
        <f t="shared" si="6"/>
        <v>未买</v>
      </c>
      <c r="Q125" s="21">
        <v>123</v>
      </c>
    </row>
    <row r="126" spans="5:17" x14ac:dyDescent="0.15">
      <c r="E126" s="6"/>
      <c r="H126" s="21">
        <v>124</v>
      </c>
      <c r="I126">
        <v>113606</v>
      </c>
      <c r="J126" t="s">
        <v>330</v>
      </c>
      <c r="K126">
        <v>112.34</v>
      </c>
      <c r="L126">
        <v>0.48120000000000002</v>
      </c>
      <c r="M126">
        <v>160.46</v>
      </c>
      <c r="N126" s="6" t="str">
        <f t="shared" si="6"/>
        <v>未买</v>
      </c>
      <c r="Q126" s="21">
        <v>124</v>
      </c>
    </row>
    <row r="127" spans="5:17" x14ac:dyDescent="0.15">
      <c r="E127" s="6"/>
      <c r="H127" s="21">
        <v>125</v>
      </c>
      <c r="I127">
        <v>113629</v>
      </c>
      <c r="J127" t="s">
        <v>196</v>
      </c>
      <c r="K127">
        <v>119.3</v>
      </c>
      <c r="L127">
        <v>0.41399999999999998</v>
      </c>
      <c r="M127">
        <v>160.69999999999999</v>
      </c>
      <c r="N127" s="6" t="str">
        <f t="shared" si="6"/>
        <v>未买</v>
      </c>
      <c r="Q127" s="21">
        <v>125</v>
      </c>
    </row>
    <row r="128" spans="5:17" x14ac:dyDescent="0.15">
      <c r="E128" s="6"/>
      <c r="H128" s="21">
        <v>126</v>
      </c>
      <c r="I128">
        <v>123059</v>
      </c>
      <c r="J128" t="s">
        <v>329</v>
      </c>
      <c r="K128">
        <v>112.099</v>
      </c>
      <c r="L128">
        <v>0.48649999999999999</v>
      </c>
      <c r="M128">
        <v>160.75</v>
      </c>
      <c r="N128" s="6" t="str">
        <f t="shared" si="6"/>
        <v>未买</v>
      </c>
      <c r="Q128" s="21">
        <v>126</v>
      </c>
    </row>
    <row r="129" spans="5:17" x14ac:dyDescent="0.15">
      <c r="E129" s="6"/>
      <c r="H129" s="21">
        <v>127</v>
      </c>
      <c r="I129">
        <v>113519</v>
      </c>
      <c r="J129" t="s">
        <v>292</v>
      </c>
      <c r="K129">
        <v>113.16</v>
      </c>
      <c r="L129">
        <v>0.47670000000000001</v>
      </c>
      <c r="M129">
        <v>160.83000000000001</v>
      </c>
      <c r="N129" s="6" t="str">
        <f t="shared" si="6"/>
        <v>未买</v>
      </c>
      <c r="Q129" s="21">
        <v>127</v>
      </c>
    </row>
    <row r="130" spans="5:17" x14ac:dyDescent="0.15">
      <c r="E130" s="6"/>
      <c r="H130" s="21">
        <v>128</v>
      </c>
      <c r="I130">
        <v>113027</v>
      </c>
      <c r="J130" t="s">
        <v>162</v>
      </c>
      <c r="K130">
        <v>162.04</v>
      </c>
      <c r="L130">
        <v>-1.2E-2</v>
      </c>
      <c r="M130">
        <v>160.84</v>
      </c>
      <c r="N130" s="6" t="str">
        <f t="shared" si="6"/>
        <v>未买</v>
      </c>
      <c r="Q130" s="21">
        <v>128</v>
      </c>
    </row>
    <row r="131" spans="5:17" x14ac:dyDescent="0.15">
      <c r="E131" s="6"/>
      <c r="H131" s="21">
        <v>129</v>
      </c>
      <c r="I131">
        <v>118000</v>
      </c>
      <c r="J131" t="s">
        <v>1191</v>
      </c>
      <c r="K131">
        <v>123.57</v>
      </c>
      <c r="L131">
        <v>0.37269999999999998</v>
      </c>
      <c r="M131">
        <v>160.84</v>
      </c>
      <c r="N131" s="6" t="str">
        <f t="shared" si="6"/>
        <v>未买</v>
      </c>
      <c r="Q131" s="21">
        <v>129</v>
      </c>
    </row>
    <row r="132" spans="5:17" x14ac:dyDescent="0.15">
      <c r="E132" s="6"/>
      <c r="H132" s="21">
        <v>130</v>
      </c>
      <c r="I132">
        <v>123023</v>
      </c>
      <c r="J132" t="s">
        <v>327</v>
      </c>
      <c r="K132">
        <v>106.658</v>
      </c>
      <c r="L132">
        <v>0.54390000000000005</v>
      </c>
      <c r="M132">
        <v>161.05000000000001</v>
      </c>
      <c r="N132" s="6" t="str">
        <f t="shared" ref="N132:N195" si="7">IF(ISNA(MATCH(I132,$A$3:$A$1000,0)),"未买","Yes")</f>
        <v>未买</v>
      </c>
      <c r="Q132" s="21">
        <v>130</v>
      </c>
    </row>
    <row r="133" spans="5:17" x14ac:dyDescent="0.15">
      <c r="E133" s="6"/>
      <c r="H133" s="21">
        <v>131</v>
      </c>
      <c r="I133">
        <v>123130</v>
      </c>
      <c r="J133" t="s">
        <v>187</v>
      </c>
      <c r="K133">
        <v>137.93600000000001</v>
      </c>
      <c r="L133">
        <v>0.23119999999999999</v>
      </c>
      <c r="M133">
        <v>161.06</v>
      </c>
      <c r="N133" s="6" t="str">
        <f t="shared" si="7"/>
        <v>未买</v>
      </c>
      <c r="Q133" s="21">
        <v>131</v>
      </c>
    </row>
    <row r="134" spans="5:17" x14ac:dyDescent="0.15">
      <c r="E134" s="6"/>
      <c r="H134" s="21">
        <v>132</v>
      </c>
      <c r="I134">
        <v>123060</v>
      </c>
      <c r="J134" t="s">
        <v>1135</v>
      </c>
      <c r="K134">
        <v>150.79400000000001</v>
      </c>
      <c r="L134">
        <v>0.1036</v>
      </c>
      <c r="M134">
        <v>161.15</v>
      </c>
      <c r="N134" s="6" t="str">
        <f t="shared" si="7"/>
        <v>未买</v>
      </c>
      <c r="Q134" s="21">
        <v>132</v>
      </c>
    </row>
    <row r="135" spans="5:17" x14ac:dyDescent="0.15">
      <c r="E135" s="6"/>
      <c r="H135" s="21">
        <v>133</v>
      </c>
      <c r="I135">
        <v>123106</v>
      </c>
      <c r="J135" t="s">
        <v>180</v>
      </c>
      <c r="K135">
        <v>110.295</v>
      </c>
      <c r="L135">
        <v>0.51780000000000004</v>
      </c>
      <c r="M135">
        <v>162.08000000000001</v>
      </c>
      <c r="N135" s="6" t="str">
        <f t="shared" si="7"/>
        <v>未买</v>
      </c>
      <c r="Q135" s="21">
        <v>133</v>
      </c>
    </row>
    <row r="136" spans="5:17" x14ac:dyDescent="0.15">
      <c r="E136" s="6"/>
      <c r="H136" s="21">
        <v>134</v>
      </c>
      <c r="I136">
        <v>123110</v>
      </c>
      <c r="J136" t="s">
        <v>225</v>
      </c>
      <c r="K136">
        <v>116.79</v>
      </c>
      <c r="L136">
        <v>0.4531</v>
      </c>
      <c r="M136">
        <v>162.1</v>
      </c>
      <c r="N136" s="6" t="str">
        <f t="shared" si="7"/>
        <v>未买</v>
      </c>
      <c r="Q136" s="21">
        <v>134</v>
      </c>
    </row>
    <row r="137" spans="5:17" x14ac:dyDescent="0.15">
      <c r="E137" s="6"/>
      <c r="H137" s="21">
        <v>135</v>
      </c>
      <c r="I137">
        <v>113505</v>
      </c>
      <c r="J137" t="s">
        <v>360</v>
      </c>
      <c r="K137">
        <v>111.65</v>
      </c>
      <c r="L137">
        <v>0.50860000000000005</v>
      </c>
      <c r="M137">
        <v>162.51</v>
      </c>
      <c r="N137" s="6" t="str">
        <f t="shared" si="7"/>
        <v>未买</v>
      </c>
      <c r="Q137" s="21">
        <v>135</v>
      </c>
    </row>
    <row r="138" spans="5:17" x14ac:dyDescent="0.15">
      <c r="E138" s="6"/>
      <c r="H138" s="21">
        <v>136</v>
      </c>
      <c r="I138">
        <v>113561</v>
      </c>
      <c r="J138" t="s">
        <v>202</v>
      </c>
      <c r="K138">
        <v>117.18</v>
      </c>
      <c r="L138">
        <v>0.4582</v>
      </c>
      <c r="M138">
        <v>163</v>
      </c>
      <c r="N138" s="6" t="str">
        <f t="shared" si="7"/>
        <v>未买</v>
      </c>
      <c r="Q138" s="21">
        <v>136</v>
      </c>
    </row>
    <row r="139" spans="5:17" x14ac:dyDescent="0.15">
      <c r="E139" s="6"/>
      <c r="H139" s="21">
        <v>137</v>
      </c>
      <c r="I139">
        <v>113626</v>
      </c>
      <c r="J139" t="s">
        <v>1141</v>
      </c>
      <c r="K139">
        <v>158.16</v>
      </c>
      <c r="L139">
        <v>5.0799999999999998E-2</v>
      </c>
      <c r="M139">
        <v>163.24</v>
      </c>
      <c r="N139" s="6" t="str">
        <f t="shared" si="7"/>
        <v>未买</v>
      </c>
      <c r="Q139" s="21">
        <v>137</v>
      </c>
    </row>
    <row r="140" spans="5:17" x14ac:dyDescent="0.15">
      <c r="E140" s="6"/>
      <c r="H140" s="21">
        <v>138</v>
      </c>
      <c r="I140">
        <v>113579</v>
      </c>
      <c r="J140" t="s">
        <v>226</v>
      </c>
      <c r="K140">
        <v>119.4</v>
      </c>
      <c r="L140">
        <v>0.44</v>
      </c>
      <c r="M140">
        <v>163.4</v>
      </c>
      <c r="N140" s="6" t="str">
        <f t="shared" si="7"/>
        <v>未买</v>
      </c>
      <c r="Q140" s="21">
        <v>138</v>
      </c>
    </row>
    <row r="141" spans="5:17" x14ac:dyDescent="0.15">
      <c r="E141" s="6"/>
      <c r="H141" s="21">
        <v>139</v>
      </c>
      <c r="I141">
        <v>113610</v>
      </c>
      <c r="J141" t="s">
        <v>230</v>
      </c>
      <c r="K141">
        <v>110.19</v>
      </c>
      <c r="L141">
        <v>0.53520000000000001</v>
      </c>
      <c r="M141">
        <v>163.71</v>
      </c>
      <c r="N141" s="6" t="str">
        <f t="shared" si="7"/>
        <v>未买</v>
      </c>
      <c r="Q141" s="21">
        <v>139</v>
      </c>
    </row>
    <row r="142" spans="5:17" x14ac:dyDescent="0.15">
      <c r="E142" s="6"/>
      <c r="H142" s="21">
        <v>140</v>
      </c>
      <c r="I142">
        <v>123121</v>
      </c>
      <c r="J142" t="s">
        <v>355</v>
      </c>
      <c r="K142">
        <v>129.4</v>
      </c>
      <c r="L142">
        <v>0.3468</v>
      </c>
      <c r="M142">
        <v>164.08</v>
      </c>
      <c r="N142" s="6" t="str">
        <f t="shared" si="7"/>
        <v>未买</v>
      </c>
      <c r="Q142" s="21">
        <v>140</v>
      </c>
    </row>
    <row r="143" spans="5:17" x14ac:dyDescent="0.15">
      <c r="E143" s="6"/>
      <c r="H143" s="21">
        <v>141</v>
      </c>
      <c r="I143">
        <v>128029</v>
      </c>
      <c r="J143" t="s">
        <v>1180</v>
      </c>
      <c r="K143">
        <v>154.834</v>
      </c>
      <c r="L143">
        <v>9.2999999999999999E-2</v>
      </c>
      <c r="M143">
        <v>164.13</v>
      </c>
      <c r="N143" s="6" t="str">
        <f t="shared" si="7"/>
        <v>未买</v>
      </c>
      <c r="Q143" s="21">
        <v>141</v>
      </c>
    </row>
    <row r="144" spans="5:17" x14ac:dyDescent="0.15">
      <c r="E144" s="6"/>
      <c r="H144" s="21">
        <v>142</v>
      </c>
      <c r="I144">
        <v>128033</v>
      </c>
      <c r="J144" t="s">
        <v>185</v>
      </c>
      <c r="K144">
        <v>111.67</v>
      </c>
      <c r="L144">
        <v>0.52939999999999998</v>
      </c>
      <c r="M144">
        <v>164.61</v>
      </c>
      <c r="N144" s="6" t="str">
        <f t="shared" si="7"/>
        <v>未买</v>
      </c>
      <c r="Q144" s="21">
        <v>142</v>
      </c>
    </row>
    <row r="145" spans="5:17" x14ac:dyDescent="0.15">
      <c r="E145" s="6"/>
      <c r="H145" s="21">
        <v>143</v>
      </c>
      <c r="I145">
        <v>123125</v>
      </c>
      <c r="J145" t="s">
        <v>343</v>
      </c>
      <c r="K145">
        <v>112.6</v>
      </c>
      <c r="L145">
        <v>0.52649999999999997</v>
      </c>
      <c r="M145">
        <v>165.25</v>
      </c>
      <c r="N145" s="6" t="str">
        <f t="shared" si="7"/>
        <v>未买</v>
      </c>
      <c r="Q145" s="21">
        <v>143</v>
      </c>
    </row>
    <row r="146" spans="5:17" x14ac:dyDescent="0.15">
      <c r="E146" s="6"/>
      <c r="H146" s="21">
        <v>144</v>
      </c>
      <c r="I146">
        <v>127037</v>
      </c>
      <c r="J146" t="s">
        <v>351</v>
      </c>
      <c r="K146">
        <v>115.01</v>
      </c>
      <c r="L146">
        <v>0.50509999999999999</v>
      </c>
      <c r="M146">
        <v>165.52</v>
      </c>
      <c r="N146" s="6" t="str">
        <f t="shared" si="7"/>
        <v>未买</v>
      </c>
      <c r="Q146" s="21">
        <v>144</v>
      </c>
    </row>
    <row r="147" spans="5:17" x14ac:dyDescent="0.15">
      <c r="E147" s="6"/>
      <c r="H147" s="21">
        <v>145</v>
      </c>
      <c r="I147">
        <v>123064</v>
      </c>
      <c r="J147" t="s">
        <v>260</v>
      </c>
      <c r="K147">
        <v>125.5</v>
      </c>
      <c r="L147">
        <v>0.40100000000000002</v>
      </c>
      <c r="M147">
        <v>165.6</v>
      </c>
      <c r="N147" s="6" t="str">
        <f t="shared" si="7"/>
        <v>未买</v>
      </c>
      <c r="Q147" s="21">
        <v>145</v>
      </c>
    </row>
    <row r="148" spans="5:17" x14ac:dyDescent="0.15">
      <c r="E148" s="6"/>
      <c r="H148" s="21">
        <v>146</v>
      </c>
      <c r="I148">
        <v>127048</v>
      </c>
      <c r="J148" t="s">
        <v>339</v>
      </c>
      <c r="K148">
        <v>118</v>
      </c>
      <c r="L148">
        <v>0.48</v>
      </c>
      <c r="M148">
        <v>166</v>
      </c>
      <c r="N148" s="6" t="str">
        <f t="shared" si="7"/>
        <v>未买</v>
      </c>
      <c r="Q148" s="21">
        <v>146</v>
      </c>
    </row>
    <row r="149" spans="5:17" x14ac:dyDescent="0.15">
      <c r="E149" s="6"/>
      <c r="H149" s="21">
        <v>147</v>
      </c>
      <c r="I149">
        <v>113577</v>
      </c>
      <c r="J149" t="s">
        <v>234</v>
      </c>
      <c r="K149">
        <v>122.26</v>
      </c>
      <c r="L149">
        <v>0.44500000000000001</v>
      </c>
      <c r="M149">
        <v>166.76</v>
      </c>
      <c r="N149" s="6" t="str">
        <f t="shared" si="7"/>
        <v>未买</v>
      </c>
      <c r="Q149" s="21">
        <v>147</v>
      </c>
    </row>
    <row r="150" spans="5:17" x14ac:dyDescent="0.15">
      <c r="E150" s="6"/>
      <c r="H150" s="21">
        <v>148</v>
      </c>
      <c r="I150">
        <v>128046</v>
      </c>
      <c r="J150" t="s">
        <v>1168</v>
      </c>
      <c r="K150">
        <v>166.30799999999999</v>
      </c>
      <c r="L150">
        <v>5.1000000000000004E-3</v>
      </c>
      <c r="M150">
        <v>166.82</v>
      </c>
      <c r="N150" s="6" t="str">
        <f t="shared" si="7"/>
        <v>未买</v>
      </c>
      <c r="Q150" s="21">
        <v>148</v>
      </c>
    </row>
    <row r="151" spans="5:17" x14ac:dyDescent="0.15">
      <c r="E151" s="6"/>
      <c r="H151" s="21">
        <v>149</v>
      </c>
      <c r="I151">
        <v>128091</v>
      </c>
      <c r="J151" t="s">
        <v>1127</v>
      </c>
      <c r="K151">
        <v>147.40100000000001</v>
      </c>
      <c r="L151">
        <v>0.19439999999999999</v>
      </c>
      <c r="M151">
        <v>166.84</v>
      </c>
      <c r="N151" s="6" t="str">
        <f t="shared" si="7"/>
        <v>未买</v>
      </c>
      <c r="Q151" s="21">
        <v>149</v>
      </c>
    </row>
    <row r="152" spans="5:17" x14ac:dyDescent="0.15">
      <c r="E152" s="6"/>
      <c r="H152" s="21">
        <v>150</v>
      </c>
      <c r="I152">
        <v>128082</v>
      </c>
      <c r="J152" t="s">
        <v>1188</v>
      </c>
      <c r="K152">
        <v>141</v>
      </c>
      <c r="L152">
        <v>0.26090000000000002</v>
      </c>
      <c r="M152">
        <v>167.09</v>
      </c>
      <c r="N152" s="6" t="str">
        <f t="shared" si="7"/>
        <v>未买</v>
      </c>
      <c r="Q152" s="21">
        <v>150</v>
      </c>
    </row>
    <row r="153" spans="5:17" x14ac:dyDescent="0.15">
      <c r="E153" s="6"/>
      <c r="H153" s="21">
        <v>151</v>
      </c>
      <c r="I153">
        <v>123050</v>
      </c>
      <c r="J153" t="s">
        <v>184</v>
      </c>
      <c r="K153">
        <v>118.84399999999999</v>
      </c>
      <c r="L153">
        <v>0.4834</v>
      </c>
      <c r="M153">
        <v>167.18</v>
      </c>
      <c r="N153" s="6" t="str">
        <f t="shared" si="7"/>
        <v>未买</v>
      </c>
      <c r="Q153" s="21">
        <v>151</v>
      </c>
    </row>
    <row r="154" spans="5:17" x14ac:dyDescent="0.15">
      <c r="E154" s="6"/>
      <c r="H154" s="21">
        <v>152</v>
      </c>
      <c r="I154">
        <v>123103</v>
      </c>
      <c r="J154" t="s">
        <v>1209</v>
      </c>
      <c r="K154">
        <v>124.5</v>
      </c>
      <c r="L154">
        <v>0.43430000000000002</v>
      </c>
      <c r="M154">
        <v>167.93</v>
      </c>
      <c r="N154" s="6" t="str">
        <f t="shared" si="7"/>
        <v>未买</v>
      </c>
      <c r="Q154" s="21">
        <v>152</v>
      </c>
    </row>
    <row r="155" spans="5:17" x14ac:dyDescent="0.15">
      <c r="E155" s="6"/>
      <c r="H155" s="21">
        <v>153</v>
      </c>
      <c r="I155">
        <v>128022</v>
      </c>
      <c r="J155" t="s">
        <v>277</v>
      </c>
      <c r="K155">
        <v>115.501</v>
      </c>
      <c r="L155">
        <v>0.52459999999999996</v>
      </c>
      <c r="M155">
        <v>167.96</v>
      </c>
      <c r="N155" s="6" t="str">
        <f t="shared" si="7"/>
        <v>未买</v>
      </c>
      <c r="Q155" s="21">
        <v>153</v>
      </c>
    </row>
    <row r="156" spans="5:17" x14ac:dyDescent="0.15">
      <c r="E156" s="6"/>
      <c r="H156" s="21">
        <v>154</v>
      </c>
      <c r="I156">
        <v>113619</v>
      </c>
      <c r="J156" t="s">
        <v>348</v>
      </c>
      <c r="K156">
        <v>111.98</v>
      </c>
      <c r="L156">
        <v>0.55989999999999995</v>
      </c>
      <c r="M156">
        <v>167.97</v>
      </c>
      <c r="N156" s="6" t="str">
        <f t="shared" si="7"/>
        <v>未买</v>
      </c>
      <c r="Q156" s="21">
        <v>154</v>
      </c>
    </row>
    <row r="157" spans="5:17" x14ac:dyDescent="0.15">
      <c r="E157" s="6"/>
      <c r="H157" s="21">
        <v>155</v>
      </c>
      <c r="I157">
        <v>128105</v>
      </c>
      <c r="J157" t="s">
        <v>304</v>
      </c>
      <c r="K157">
        <v>102.35299999999999</v>
      </c>
      <c r="L157">
        <v>0.66239999999999999</v>
      </c>
      <c r="M157">
        <v>168.59</v>
      </c>
      <c r="N157" s="6" t="str">
        <f t="shared" si="7"/>
        <v>未买</v>
      </c>
      <c r="Q157" s="21">
        <v>155</v>
      </c>
    </row>
    <row r="158" spans="5:17" x14ac:dyDescent="0.15">
      <c r="E158" s="6"/>
      <c r="H158" s="21">
        <v>156</v>
      </c>
      <c r="I158">
        <v>123044</v>
      </c>
      <c r="J158" t="s">
        <v>288</v>
      </c>
      <c r="K158">
        <v>112.9</v>
      </c>
      <c r="L158">
        <v>0.55789999999999995</v>
      </c>
      <c r="M158">
        <v>168.69</v>
      </c>
      <c r="N158" s="6" t="str">
        <f t="shared" si="7"/>
        <v>未买</v>
      </c>
      <c r="Q158" s="21">
        <v>156</v>
      </c>
    </row>
    <row r="159" spans="5:17" x14ac:dyDescent="0.15">
      <c r="E159" s="6"/>
      <c r="H159" s="21">
        <v>157</v>
      </c>
      <c r="I159">
        <v>123062</v>
      </c>
      <c r="J159" t="s">
        <v>220</v>
      </c>
      <c r="K159">
        <v>120.15</v>
      </c>
      <c r="L159">
        <v>0.48930000000000001</v>
      </c>
      <c r="M159">
        <v>169.08</v>
      </c>
      <c r="N159" s="6" t="str">
        <f t="shared" si="7"/>
        <v>未买</v>
      </c>
      <c r="Q159" s="21">
        <v>157</v>
      </c>
    </row>
    <row r="160" spans="5:17" x14ac:dyDescent="0.15">
      <c r="E160" s="6"/>
      <c r="H160" s="21">
        <v>158</v>
      </c>
      <c r="I160">
        <v>128123</v>
      </c>
      <c r="J160" t="s">
        <v>283</v>
      </c>
      <c r="K160">
        <v>110.33</v>
      </c>
      <c r="L160">
        <v>0.59009999999999996</v>
      </c>
      <c r="M160">
        <v>169.34</v>
      </c>
      <c r="N160" s="6" t="str">
        <f t="shared" si="7"/>
        <v>未买</v>
      </c>
      <c r="Q160" s="21">
        <v>158</v>
      </c>
    </row>
    <row r="161" spans="5:17" x14ac:dyDescent="0.15">
      <c r="E161" s="6"/>
      <c r="H161" s="21">
        <v>159</v>
      </c>
      <c r="I161">
        <v>123075</v>
      </c>
      <c r="J161" t="s">
        <v>186</v>
      </c>
      <c r="K161">
        <v>106.9</v>
      </c>
      <c r="L161">
        <v>0.62890000000000001</v>
      </c>
      <c r="M161">
        <v>169.79</v>
      </c>
      <c r="N161" s="6" t="str">
        <f t="shared" si="7"/>
        <v>未买</v>
      </c>
      <c r="Q161" s="21">
        <v>159</v>
      </c>
    </row>
    <row r="162" spans="5:17" x14ac:dyDescent="0.15">
      <c r="E162" s="6"/>
      <c r="H162" s="21">
        <v>160</v>
      </c>
      <c r="I162">
        <v>123131</v>
      </c>
      <c r="J162" t="s">
        <v>368</v>
      </c>
      <c r="K162">
        <v>119.795</v>
      </c>
      <c r="L162">
        <v>0.50219999999999998</v>
      </c>
      <c r="M162">
        <v>170.02</v>
      </c>
      <c r="N162" s="6" t="str">
        <f t="shared" si="7"/>
        <v>未买</v>
      </c>
      <c r="Q162" s="21">
        <v>160</v>
      </c>
    </row>
    <row r="163" spans="5:17" x14ac:dyDescent="0.15">
      <c r="E163" s="6"/>
      <c r="H163" s="21">
        <v>161</v>
      </c>
      <c r="I163">
        <v>123133</v>
      </c>
      <c r="J163" t="s">
        <v>428</v>
      </c>
      <c r="K163">
        <v>118.31399999999999</v>
      </c>
      <c r="L163">
        <v>0.51859999999999995</v>
      </c>
      <c r="M163">
        <v>170.17</v>
      </c>
      <c r="N163" s="6" t="str">
        <f t="shared" si="7"/>
        <v>未买</v>
      </c>
      <c r="Q163" s="21">
        <v>161</v>
      </c>
    </row>
    <row r="164" spans="5:17" x14ac:dyDescent="0.15">
      <c r="E164" s="6"/>
      <c r="H164" s="21">
        <v>162</v>
      </c>
      <c r="I164">
        <v>113535</v>
      </c>
      <c r="J164" t="s">
        <v>335</v>
      </c>
      <c r="K164">
        <v>111.72</v>
      </c>
      <c r="L164">
        <v>0.58730000000000004</v>
      </c>
      <c r="M164">
        <v>170.45</v>
      </c>
      <c r="N164" s="6" t="str">
        <f t="shared" si="7"/>
        <v>未买</v>
      </c>
      <c r="Q164" s="21">
        <v>162</v>
      </c>
    </row>
    <row r="165" spans="5:17" x14ac:dyDescent="0.15">
      <c r="E165" s="6"/>
      <c r="H165" s="21">
        <v>163</v>
      </c>
      <c r="I165">
        <v>127055</v>
      </c>
      <c r="J165" t="s">
        <v>1111</v>
      </c>
      <c r="K165">
        <v>112.19</v>
      </c>
      <c r="L165">
        <v>0.58389999999999997</v>
      </c>
      <c r="M165">
        <v>170.58</v>
      </c>
      <c r="N165" s="6" t="str">
        <f t="shared" si="7"/>
        <v>未买</v>
      </c>
      <c r="Q165" s="21">
        <v>163</v>
      </c>
    </row>
    <row r="166" spans="5:17" x14ac:dyDescent="0.15">
      <c r="E166" s="6"/>
      <c r="H166" s="21">
        <v>164</v>
      </c>
      <c r="I166">
        <v>127015</v>
      </c>
      <c r="J166" t="s">
        <v>287</v>
      </c>
      <c r="K166">
        <v>117.746</v>
      </c>
      <c r="L166">
        <v>0.52990000000000004</v>
      </c>
      <c r="M166">
        <v>170.74</v>
      </c>
      <c r="N166" s="6" t="str">
        <f t="shared" si="7"/>
        <v>未买</v>
      </c>
      <c r="Q166" s="21">
        <v>164</v>
      </c>
    </row>
    <row r="167" spans="5:17" x14ac:dyDescent="0.15">
      <c r="E167" s="6"/>
      <c r="H167" s="21">
        <v>165</v>
      </c>
      <c r="I167">
        <v>113530</v>
      </c>
      <c r="J167" t="s">
        <v>309</v>
      </c>
      <c r="K167">
        <v>112.09</v>
      </c>
      <c r="L167">
        <v>0.58740000000000003</v>
      </c>
      <c r="M167">
        <v>170.83</v>
      </c>
      <c r="N167" s="6" t="str">
        <f t="shared" si="7"/>
        <v>未买</v>
      </c>
      <c r="Q167" s="21">
        <v>165</v>
      </c>
    </row>
    <row r="168" spans="5:17" x14ac:dyDescent="0.15">
      <c r="E168" s="6"/>
      <c r="H168" s="21">
        <v>166</v>
      </c>
      <c r="I168">
        <v>123054</v>
      </c>
      <c r="J168" t="s">
        <v>198</v>
      </c>
      <c r="K168">
        <v>124.559</v>
      </c>
      <c r="L168">
        <v>0.47599999999999998</v>
      </c>
      <c r="M168">
        <v>172.16</v>
      </c>
      <c r="N168" s="6" t="str">
        <f t="shared" si="7"/>
        <v>未买</v>
      </c>
      <c r="Q168" s="21">
        <v>166</v>
      </c>
    </row>
    <row r="169" spans="5:17" x14ac:dyDescent="0.15">
      <c r="E169" s="6"/>
      <c r="H169" s="21">
        <v>167</v>
      </c>
      <c r="I169">
        <v>113502</v>
      </c>
      <c r="J169" t="s">
        <v>251</v>
      </c>
      <c r="K169">
        <v>123.53</v>
      </c>
      <c r="L169">
        <v>0.48720000000000002</v>
      </c>
      <c r="M169">
        <v>172.25</v>
      </c>
      <c r="N169" s="6" t="str">
        <f t="shared" si="7"/>
        <v>未买</v>
      </c>
      <c r="Q169" s="21">
        <v>167</v>
      </c>
    </row>
    <row r="170" spans="5:17" x14ac:dyDescent="0.15">
      <c r="E170" s="6"/>
      <c r="H170" s="21">
        <v>168</v>
      </c>
      <c r="I170">
        <v>113600</v>
      </c>
      <c r="J170" t="s">
        <v>425</v>
      </c>
      <c r="K170">
        <v>116.09</v>
      </c>
      <c r="L170">
        <v>0.56159999999999999</v>
      </c>
      <c r="M170">
        <v>172.25</v>
      </c>
      <c r="N170" s="6" t="str">
        <f t="shared" si="7"/>
        <v>未买</v>
      </c>
      <c r="Q170" s="21">
        <v>168</v>
      </c>
    </row>
    <row r="171" spans="5:17" x14ac:dyDescent="0.15">
      <c r="E171" s="6"/>
      <c r="H171" s="21">
        <v>169</v>
      </c>
      <c r="I171">
        <v>123142</v>
      </c>
      <c r="J171" t="s">
        <v>1112</v>
      </c>
      <c r="K171">
        <v>113.12</v>
      </c>
      <c r="L171">
        <v>0.59140000000000004</v>
      </c>
      <c r="M171">
        <v>172.26</v>
      </c>
      <c r="N171" s="6" t="str">
        <f t="shared" si="7"/>
        <v>未买</v>
      </c>
      <c r="Q171" s="21">
        <v>169</v>
      </c>
    </row>
    <row r="172" spans="5:17" x14ac:dyDescent="0.15">
      <c r="E172" s="6"/>
      <c r="H172" s="21">
        <v>170</v>
      </c>
      <c r="I172">
        <v>113578</v>
      </c>
      <c r="J172" t="s">
        <v>293</v>
      </c>
      <c r="K172">
        <v>106.47</v>
      </c>
      <c r="L172">
        <v>0.65869999999999995</v>
      </c>
      <c r="M172">
        <v>172.34</v>
      </c>
      <c r="N172" s="6" t="str">
        <f t="shared" si="7"/>
        <v>未买</v>
      </c>
      <c r="Q172" s="21">
        <v>170</v>
      </c>
    </row>
    <row r="173" spans="5:17" x14ac:dyDescent="0.15">
      <c r="E173" s="6"/>
      <c r="H173" s="21">
        <v>171</v>
      </c>
      <c r="I173">
        <v>128036</v>
      </c>
      <c r="J173" t="s">
        <v>300</v>
      </c>
      <c r="K173">
        <v>140.5</v>
      </c>
      <c r="L173">
        <v>0.32469999999999999</v>
      </c>
      <c r="M173">
        <v>172.97</v>
      </c>
      <c r="N173" s="6" t="str">
        <f t="shared" si="7"/>
        <v>未买</v>
      </c>
      <c r="Q173" s="21">
        <v>171</v>
      </c>
    </row>
    <row r="174" spans="5:17" x14ac:dyDescent="0.15">
      <c r="E174" s="6"/>
      <c r="H174" s="21">
        <v>172</v>
      </c>
      <c r="I174">
        <v>128056</v>
      </c>
      <c r="J174" t="s">
        <v>195</v>
      </c>
      <c r="K174">
        <v>117.2</v>
      </c>
      <c r="L174">
        <v>0.55879999999999996</v>
      </c>
      <c r="M174">
        <v>173.08</v>
      </c>
      <c r="N174" s="6" t="str">
        <f t="shared" si="7"/>
        <v>未买</v>
      </c>
      <c r="Q174" s="21">
        <v>172</v>
      </c>
    </row>
    <row r="175" spans="5:17" x14ac:dyDescent="0.15">
      <c r="E175" s="6"/>
      <c r="H175" s="21">
        <v>173</v>
      </c>
      <c r="I175">
        <v>123061</v>
      </c>
      <c r="J175" t="s">
        <v>211</v>
      </c>
      <c r="K175">
        <v>115.5</v>
      </c>
      <c r="L175">
        <v>0.57789999999999997</v>
      </c>
      <c r="M175">
        <v>173.29</v>
      </c>
      <c r="N175" s="6" t="str">
        <f t="shared" si="7"/>
        <v>未买</v>
      </c>
      <c r="Q175" s="21">
        <v>173</v>
      </c>
    </row>
    <row r="176" spans="5:17" x14ac:dyDescent="0.15">
      <c r="E176" s="6"/>
      <c r="H176" s="21">
        <v>174</v>
      </c>
      <c r="I176">
        <v>128106</v>
      </c>
      <c r="J176" t="s">
        <v>1128</v>
      </c>
      <c r="K176">
        <v>173.57</v>
      </c>
      <c r="L176">
        <v>-1.6000000000000001E-3</v>
      </c>
      <c r="M176">
        <v>173.41</v>
      </c>
      <c r="N176" s="6" t="str">
        <f t="shared" si="7"/>
        <v>未买</v>
      </c>
      <c r="Q176" s="21">
        <v>174</v>
      </c>
    </row>
    <row r="177" spans="5:17" x14ac:dyDescent="0.15">
      <c r="E177" s="6"/>
      <c r="H177" s="21">
        <v>175</v>
      </c>
      <c r="I177">
        <v>123137</v>
      </c>
      <c r="J177" t="s">
        <v>1116</v>
      </c>
      <c r="K177">
        <v>119.52800000000001</v>
      </c>
      <c r="L177">
        <v>0.54079999999999995</v>
      </c>
      <c r="M177">
        <v>173.61</v>
      </c>
      <c r="N177" s="6" t="str">
        <f t="shared" si="7"/>
        <v>未买</v>
      </c>
      <c r="Q177" s="21">
        <v>175</v>
      </c>
    </row>
    <row r="178" spans="5:17" x14ac:dyDescent="0.15">
      <c r="E178" s="6"/>
      <c r="H178" s="21">
        <v>176</v>
      </c>
      <c r="I178">
        <v>128026</v>
      </c>
      <c r="J178" t="s">
        <v>310</v>
      </c>
      <c r="K178">
        <v>107.339</v>
      </c>
      <c r="L178">
        <v>0.66810000000000003</v>
      </c>
      <c r="M178">
        <v>174.15</v>
      </c>
      <c r="N178" s="6" t="str">
        <f t="shared" si="7"/>
        <v>未买</v>
      </c>
      <c r="Q178" s="21">
        <v>176</v>
      </c>
    </row>
    <row r="179" spans="5:17" x14ac:dyDescent="0.15">
      <c r="E179" s="6"/>
      <c r="H179" s="21">
        <v>177</v>
      </c>
      <c r="I179">
        <v>123004</v>
      </c>
      <c r="J179" t="s">
        <v>299</v>
      </c>
      <c r="K179">
        <v>106.345</v>
      </c>
      <c r="L179">
        <v>0.67869999999999997</v>
      </c>
      <c r="M179">
        <v>174.22</v>
      </c>
      <c r="N179" s="6" t="str">
        <f t="shared" si="7"/>
        <v>未买</v>
      </c>
      <c r="Q179" s="21">
        <v>177</v>
      </c>
    </row>
    <row r="180" spans="5:17" x14ac:dyDescent="0.15">
      <c r="E180" s="6"/>
      <c r="H180" s="21">
        <v>178</v>
      </c>
      <c r="I180">
        <v>113585</v>
      </c>
      <c r="J180" t="s">
        <v>1126</v>
      </c>
      <c r="K180">
        <v>169.53</v>
      </c>
      <c r="L180">
        <v>5.21E-2</v>
      </c>
      <c r="M180">
        <v>174.74</v>
      </c>
      <c r="N180" s="6" t="str">
        <f t="shared" si="7"/>
        <v>未买</v>
      </c>
      <c r="Q180" s="21">
        <v>178</v>
      </c>
    </row>
    <row r="181" spans="5:17" x14ac:dyDescent="0.15">
      <c r="E181" s="6"/>
      <c r="H181" s="21">
        <v>179</v>
      </c>
      <c r="I181">
        <v>113615</v>
      </c>
      <c r="J181" t="s">
        <v>1140</v>
      </c>
      <c r="K181">
        <v>174.83</v>
      </c>
      <c r="L181">
        <v>8.8999999999999999E-3</v>
      </c>
      <c r="M181">
        <v>175.72</v>
      </c>
      <c r="N181" s="6" t="str">
        <f t="shared" si="7"/>
        <v>未买</v>
      </c>
      <c r="Q181" s="21">
        <v>179</v>
      </c>
    </row>
    <row r="182" spans="5:17" x14ac:dyDescent="0.15">
      <c r="E182" s="6"/>
      <c r="H182" s="21">
        <v>180</v>
      </c>
      <c r="I182">
        <v>128070</v>
      </c>
      <c r="J182" t="s">
        <v>284</v>
      </c>
      <c r="K182">
        <v>122.8</v>
      </c>
      <c r="L182">
        <v>0.53220000000000001</v>
      </c>
      <c r="M182">
        <v>176.02</v>
      </c>
      <c r="N182" s="6" t="str">
        <f t="shared" si="7"/>
        <v>未买</v>
      </c>
      <c r="Q182" s="21">
        <v>180</v>
      </c>
    </row>
    <row r="183" spans="5:17" x14ac:dyDescent="0.15">
      <c r="E183" s="6"/>
      <c r="H183" s="21">
        <v>181</v>
      </c>
      <c r="I183">
        <v>118005</v>
      </c>
      <c r="J183" t="s">
        <v>1117</v>
      </c>
      <c r="K183">
        <v>116.64</v>
      </c>
      <c r="L183">
        <v>0.59609999999999996</v>
      </c>
      <c r="M183">
        <v>176.25</v>
      </c>
      <c r="N183" s="6" t="str">
        <f t="shared" si="7"/>
        <v>未买</v>
      </c>
      <c r="Q183" s="21">
        <v>181</v>
      </c>
    </row>
    <row r="184" spans="5:17" x14ac:dyDescent="0.15">
      <c r="E184" s="6"/>
      <c r="H184" s="21">
        <v>182</v>
      </c>
      <c r="I184">
        <v>123141</v>
      </c>
      <c r="J184" t="s">
        <v>1120</v>
      </c>
      <c r="K184">
        <v>124.724</v>
      </c>
      <c r="L184">
        <v>0.51690000000000003</v>
      </c>
      <c r="M184">
        <v>176.41</v>
      </c>
      <c r="N184" s="6" t="str">
        <f t="shared" si="7"/>
        <v>未买</v>
      </c>
      <c r="Q184" s="21">
        <v>182</v>
      </c>
    </row>
    <row r="185" spans="5:17" x14ac:dyDescent="0.15">
      <c r="E185" s="6"/>
      <c r="H185" s="21">
        <v>183</v>
      </c>
      <c r="I185">
        <v>110058</v>
      </c>
      <c r="J185" t="s">
        <v>194</v>
      </c>
      <c r="K185">
        <v>111.01</v>
      </c>
      <c r="L185">
        <v>0.65529999999999999</v>
      </c>
      <c r="M185">
        <v>176.54</v>
      </c>
      <c r="N185" s="6" t="str">
        <f t="shared" si="7"/>
        <v>未买</v>
      </c>
      <c r="Q185" s="21">
        <v>183</v>
      </c>
    </row>
    <row r="186" spans="5:17" x14ac:dyDescent="0.15">
      <c r="E186" s="6"/>
      <c r="H186" s="21">
        <v>184</v>
      </c>
      <c r="I186">
        <v>123049</v>
      </c>
      <c r="J186" t="s">
        <v>312</v>
      </c>
      <c r="K186">
        <v>109.07</v>
      </c>
      <c r="L186">
        <v>0.67700000000000005</v>
      </c>
      <c r="M186">
        <v>176.77</v>
      </c>
      <c r="N186" s="6" t="str">
        <f t="shared" si="7"/>
        <v>未买</v>
      </c>
      <c r="Q186" s="21">
        <v>184</v>
      </c>
    </row>
    <row r="187" spans="5:17" x14ac:dyDescent="0.15">
      <c r="E187" s="6"/>
      <c r="H187" s="21">
        <v>185</v>
      </c>
      <c r="I187">
        <v>128023</v>
      </c>
      <c r="J187" t="s">
        <v>332</v>
      </c>
      <c r="K187">
        <v>108.955</v>
      </c>
      <c r="L187">
        <v>0.68400000000000005</v>
      </c>
      <c r="M187">
        <v>177.36</v>
      </c>
      <c r="N187" s="6" t="str">
        <f t="shared" si="7"/>
        <v>未买</v>
      </c>
      <c r="Q187" s="21">
        <v>185</v>
      </c>
    </row>
    <row r="188" spans="5:17" x14ac:dyDescent="0.15">
      <c r="E188" s="6"/>
      <c r="H188" s="21">
        <v>186</v>
      </c>
      <c r="I188">
        <v>113618</v>
      </c>
      <c r="J188" t="s">
        <v>1186</v>
      </c>
      <c r="K188">
        <v>158.5</v>
      </c>
      <c r="L188">
        <v>0.19189999999999999</v>
      </c>
      <c r="M188">
        <v>177.69</v>
      </c>
      <c r="N188" s="6" t="str">
        <f t="shared" si="7"/>
        <v>未买</v>
      </c>
      <c r="Q188" s="21">
        <v>186</v>
      </c>
    </row>
    <row r="189" spans="5:17" x14ac:dyDescent="0.15">
      <c r="E189" s="6"/>
      <c r="H189" s="21">
        <v>187</v>
      </c>
      <c r="I189">
        <v>123025</v>
      </c>
      <c r="J189" t="s">
        <v>183</v>
      </c>
      <c r="K189">
        <v>118.55</v>
      </c>
      <c r="L189">
        <v>0.59870000000000001</v>
      </c>
      <c r="M189">
        <v>178.42</v>
      </c>
      <c r="N189" s="6" t="str">
        <f t="shared" si="7"/>
        <v>未买</v>
      </c>
      <c r="Q189" s="21">
        <v>187</v>
      </c>
    </row>
    <row r="190" spans="5:17" x14ac:dyDescent="0.15">
      <c r="E190" s="6"/>
      <c r="H190" s="21">
        <v>188</v>
      </c>
      <c r="I190">
        <v>118001</v>
      </c>
      <c r="J190" t="s">
        <v>361</v>
      </c>
      <c r="K190">
        <v>117.67</v>
      </c>
      <c r="L190">
        <v>0.61450000000000005</v>
      </c>
      <c r="M190">
        <v>179.12</v>
      </c>
      <c r="N190" s="6" t="str">
        <f t="shared" si="7"/>
        <v>未买</v>
      </c>
      <c r="Q190" s="21">
        <v>188</v>
      </c>
    </row>
    <row r="191" spans="5:17" x14ac:dyDescent="0.15">
      <c r="E191" s="6"/>
      <c r="H191" s="21">
        <v>189</v>
      </c>
      <c r="I191">
        <v>128118</v>
      </c>
      <c r="J191" t="s">
        <v>272</v>
      </c>
      <c r="K191">
        <v>109</v>
      </c>
      <c r="L191">
        <v>0.70240000000000002</v>
      </c>
      <c r="M191">
        <v>179.24</v>
      </c>
      <c r="N191" s="6" t="str">
        <f t="shared" si="7"/>
        <v>未买</v>
      </c>
      <c r="Q191" s="21">
        <v>189</v>
      </c>
    </row>
    <row r="192" spans="5:17" x14ac:dyDescent="0.15">
      <c r="E192" s="6"/>
      <c r="H192" s="21">
        <v>190</v>
      </c>
      <c r="I192">
        <v>127021</v>
      </c>
      <c r="J192" t="s">
        <v>338</v>
      </c>
      <c r="K192">
        <v>112.21</v>
      </c>
      <c r="L192">
        <v>0.67169999999999996</v>
      </c>
      <c r="M192">
        <v>179.38</v>
      </c>
      <c r="N192" s="6" t="str">
        <f t="shared" si="7"/>
        <v>未买</v>
      </c>
      <c r="Q192" s="21">
        <v>190</v>
      </c>
    </row>
    <row r="193" spans="5:17" x14ac:dyDescent="0.15">
      <c r="E193" s="6"/>
      <c r="H193" s="21">
        <v>191</v>
      </c>
      <c r="I193">
        <v>128069</v>
      </c>
      <c r="J193" t="s">
        <v>291</v>
      </c>
      <c r="K193">
        <v>112.101</v>
      </c>
      <c r="L193">
        <v>0.67689999999999995</v>
      </c>
      <c r="M193">
        <v>179.79</v>
      </c>
      <c r="N193" s="6" t="str">
        <f t="shared" si="7"/>
        <v>未买</v>
      </c>
      <c r="Q193" s="21">
        <v>191</v>
      </c>
    </row>
    <row r="194" spans="5:17" x14ac:dyDescent="0.15">
      <c r="E194" s="6"/>
      <c r="H194" s="21">
        <v>192</v>
      </c>
      <c r="I194">
        <v>123014</v>
      </c>
      <c r="J194" t="s">
        <v>171</v>
      </c>
      <c r="K194">
        <v>131.9</v>
      </c>
      <c r="L194">
        <v>0.48709999999999998</v>
      </c>
      <c r="M194">
        <v>180.61</v>
      </c>
      <c r="N194" s="6" t="str">
        <f t="shared" si="7"/>
        <v>未买</v>
      </c>
      <c r="Q194" s="21">
        <v>192</v>
      </c>
    </row>
    <row r="195" spans="5:17" x14ac:dyDescent="0.15">
      <c r="E195" s="6"/>
      <c r="H195" s="21">
        <v>193</v>
      </c>
      <c r="I195">
        <v>128101</v>
      </c>
      <c r="J195" t="s">
        <v>1195</v>
      </c>
      <c r="K195">
        <v>130.5</v>
      </c>
      <c r="L195">
        <v>0.50590000000000002</v>
      </c>
      <c r="M195">
        <v>181.09</v>
      </c>
      <c r="N195" s="6" t="str">
        <f t="shared" si="7"/>
        <v>未买</v>
      </c>
      <c r="Q195" s="21">
        <v>193</v>
      </c>
    </row>
    <row r="196" spans="5:17" x14ac:dyDescent="0.15">
      <c r="E196" s="6"/>
      <c r="H196" s="21">
        <v>194</v>
      </c>
      <c r="I196">
        <v>128063</v>
      </c>
      <c r="J196" t="s">
        <v>324</v>
      </c>
      <c r="K196">
        <v>114.268</v>
      </c>
      <c r="L196">
        <v>0.67049999999999998</v>
      </c>
      <c r="M196">
        <v>181.32</v>
      </c>
      <c r="N196" s="6" t="str">
        <f t="shared" ref="N196:N259" si="8">IF(ISNA(MATCH(I196,$A$3:$A$1000,0)),"未买","Yes")</f>
        <v>未买</v>
      </c>
      <c r="Q196" s="21">
        <v>194</v>
      </c>
    </row>
    <row r="197" spans="5:17" x14ac:dyDescent="0.15">
      <c r="E197" s="6"/>
      <c r="H197" s="21">
        <v>195</v>
      </c>
      <c r="I197">
        <v>113537</v>
      </c>
      <c r="J197" t="s">
        <v>1173</v>
      </c>
      <c r="K197">
        <v>172.96</v>
      </c>
      <c r="L197">
        <v>8.4099999999999994E-2</v>
      </c>
      <c r="M197">
        <v>181.37</v>
      </c>
      <c r="N197" s="6" t="str">
        <f t="shared" si="8"/>
        <v>未买</v>
      </c>
      <c r="Q197" s="21">
        <v>195</v>
      </c>
    </row>
    <row r="198" spans="5:17" x14ac:dyDescent="0.15">
      <c r="E198" s="6"/>
      <c r="H198" s="21">
        <v>196</v>
      </c>
      <c r="I198">
        <v>128079</v>
      </c>
      <c r="J198" t="s">
        <v>210</v>
      </c>
      <c r="K198">
        <v>119.99</v>
      </c>
      <c r="L198">
        <v>0.62009999999999998</v>
      </c>
      <c r="M198">
        <v>182</v>
      </c>
      <c r="N198" s="6" t="str">
        <f t="shared" si="8"/>
        <v>未买</v>
      </c>
      <c r="Q198" s="21">
        <v>196</v>
      </c>
    </row>
    <row r="199" spans="5:17" x14ac:dyDescent="0.15">
      <c r="E199" s="6"/>
      <c r="H199" s="21">
        <v>197</v>
      </c>
      <c r="I199">
        <v>113563</v>
      </c>
      <c r="J199" t="s">
        <v>285</v>
      </c>
      <c r="K199">
        <v>108.42</v>
      </c>
      <c r="L199">
        <v>0.7369</v>
      </c>
      <c r="M199">
        <v>182.11</v>
      </c>
      <c r="N199" s="6" t="str">
        <f t="shared" si="8"/>
        <v>未买</v>
      </c>
      <c r="Q199" s="21">
        <v>197</v>
      </c>
    </row>
    <row r="200" spans="5:17" x14ac:dyDescent="0.15">
      <c r="E200" s="6"/>
      <c r="H200" s="21">
        <v>198</v>
      </c>
      <c r="I200">
        <v>111002</v>
      </c>
      <c r="J200" t="s">
        <v>367</v>
      </c>
      <c r="K200">
        <v>125.57</v>
      </c>
      <c r="L200">
        <v>0.57069999999999999</v>
      </c>
      <c r="M200">
        <v>182.64</v>
      </c>
      <c r="N200" s="6" t="str">
        <f t="shared" si="8"/>
        <v>未买</v>
      </c>
      <c r="Q200" s="21">
        <v>198</v>
      </c>
    </row>
    <row r="201" spans="5:17" x14ac:dyDescent="0.15">
      <c r="E201" s="6"/>
      <c r="H201" s="21">
        <v>199</v>
      </c>
      <c r="I201">
        <v>113621</v>
      </c>
      <c r="J201" t="s">
        <v>366</v>
      </c>
      <c r="K201">
        <v>128.63999999999999</v>
      </c>
      <c r="L201">
        <v>0.55420000000000003</v>
      </c>
      <c r="M201">
        <v>184.06</v>
      </c>
      <c r="N201" s="6" t="str">
        <f t="shared" si="8"/>
        <v>未买</v>
      </c>
      <c r="Q201" s="21">
        <v>199</v>
      </c>
    </row>
    <row r="202" spans="5:17" x14ac:dyDescent="0.15">
      <c r="E202" s="6"/>
      <c r="H202" s="21">
        <v>200</v>
      </c>
      <c r="I202">
        <v>128014</v>
      </c>
      <c r="J202" t="s">
        <v>307</v>
      </c>
      <c r="K202">
        <v>109.959</v>
      </c>
      <c r="L202">
        <v>0.74490000000000001</v>
      </c>
      <c r="M202">
        <v>184.45</v>
      </c>
      <c r="N202" s="6" t="str">
        <f t="shared" si="8"/>
        <v>未买</v>
      </c>
      <c r="Q202" s="21">
        <v>200</v>
      </c>
    </row>
    <row r="203" spans="5:17" x14ac:dyDescent="0.15">
      <c r="E203" s="6"/>
      <c r="H203" s="21">
        <v>201</v>
      </c>
      <c r="I203">
        <v>128116</v>
      </c>
      <c r="J203" t="s">
        <v>303</v>
      </c>
      <c r="K203">
        <v>105.98699999999999</v>
      </c>
      <c r="L203">
        <v>0.79479999999999995</v>
      </c>
      <c r="M203">
        <v>185.47</v>
      </c>
      <c r="N203" s="6" t="str">
        <f t="shared" si="8"/>
        <v>未买</v>
      </c>
      <c r="Q203" s="21">
        <v>201</v>
      </c>
    </row>
    <row r="204" spans="5:17" x14ac:dyDescent="0.15">
      <c r="E204" s="6"/>
      <c r="H204" s="21">
        <v>202</v>
      </c>
      <c r="I204">
        <v>123077</v>
      </c>
      <c r="J204" t="s">
        <v>334</v>
      </c>
      <c r="K204">
        <v>113.5</v>
      </c>
      <c r="L204">
        <v>0.72119999999999995</v>
      </c>
      <c r="M204">
        <v>185.62</v>
      </c>
      <c r="N204" s="6" t="str">
        <f t="shared" si="8"/>
        <v>未买</v>
      </c>
      <c r="Q204" s="21">
        <v>202</v>
      </c>
    </row>
    <row r="205" spans="5:17" x14ac:dyDescent="0.15">
      <c r="E205" s="6"/>
      <c r="H205" s="21">
        <v>203</v>
      </c>
      <c r="I205">
        <v>123096</v>
      </c>
      <c r="J205" t="s">
        <v>328</v>
      </c>
      <c r="K205">
        <v>108.357</v>
      </c>
      <c r="L205">
        <v>0.77449999999999997</v>
      </c>
      <c r="M205">
        <v>185.81</v>
      </c>
      <c r="N205" s="6" t="str">
        <f t="shared" si="8"/>
        <v>未买</v>
      </c>
      <c r="Q205" s="21">
        <v>203</v>
      </c>
    </row>
    <row r="206" spans="5:17" x14ac:dyDescent="0.15">
      <c r="E206" s="6"/>
      <c r="H206" s="21">
        <v>204</v>
      </c>
      <c r="I206">
        <v>113604</v>
      </c>
      <c r="J206" t="s">
        <v>280</v>
      </c>
      <c r="K206">
        <v>104.89</v>
      </c>
      <c r="L206">
        <v>0.81510000000000005</v>
      </c>
      <c r="M206">
        <v>186.4</v>
      </c>
      <c r="N206" s="6" t="str">
        <f t="shared" si="8"/>
        <v>未买</v>
      </c>
      <c r="Q206" s="21">
        <v>204</v>
      </c>
    </row>
    <row r="207" spans="5:17" x14ac:dyDescent="0.15">
      <c r="E207" s="6"/>
      <c r="H207" s="21">
        <v>205</v>
      </c>
      <c r="I207">
        <v>113582</v>
      </c>
      <c r="J207" t="s">
        <v>1134</v>
      </c>
      <c r="K207">
        <v>174.5</v>
      </c>
      <c r="L207">
        <v>0.1341</v>
      </c>
      <c r="M207">
        <v>187.91</v>
      </c>
      <c r="N207" s="6" t="str">
        <f t="shared" si="8"/>
        <v>未买</v>
      </c>
      <c r="Q207" s="21">
        <v>205</v>
      </c>
    </row>
    <row r="208" spans="5:17" x14ac:dyDescent="0.15">
      <c r="E208" s="6"/>
      <c r="H208" s="21">
        <v>206</v>
      </c>
      <c r="I208">
        <v>123132</v>
      </c>
      <c r="J208" t="s">
        <v>372</v>
      </c>
      <c r="K208">
        <v>113.893</v>
      </c>
      <c r="L208">
        <v>0.74490000000000001</v>
      </c>
      <c r="M208">
        <v>188.38</v>
      </c>
      <c r="N208" s="6" t="str">
        <f t="shared" si="8"/>
        <v>未买</v>
      </c>
      <c r="Q208" s="21">
        <v>206</v>
      </c>
    </row>
    <row r="209" spans="5:17" x14ac:dyDescent="0.15">
      <c r="E209" s="6"/>
      <c r="H209" s="21">
        <v>207</v>
      </c>
      <c r="I209">
        <v>128015</v>
      </c>
      <c r="J209" t="s">
        <v>281</v>
      </c>
      <c r="K209">
        <v>111.3</v>
      </c>
      <c r="L209">
        <v>0.79159999999999997</v>
      </c>
      <c r="M209">
        <v>190.46</v>
      </c>
      <c r="N209" s="6" t="str">
        <f t="shared" si="8"/>
        <v>未买</v>
      </c>
      <c r="Q209" s="21">
        <v>207</v>
      </c>
    </row>
    <row r="210" spans="5:17" x14ac:dyDescent="0.15">
      <c r="E210" s="6"/>
      <c r="H210" s="21">
        <v>208</v>
      </c>
      <c r="I210">
        <v>118006</v>
      </c>
      <c r="J210" t="s">
        <v>1192</v>
      </c>
      <c r="K210">
        <v>129.6</v>
      </c>
      <c r="L210">
        <v>0.60980000000000001</v>
      </c>
      <c r="M210">
        <v>190.58</v>
      </c>
      <c r="N210" s="6" t="str">
        <f t="shared" si="8"/>
        <v>未买</v>
      </c>
      <c r="Q210" s="21">
        <v>208</v>
      </c>
    </row>
    <row r="211" spans="5:17" x14ac:dyDescent="0.15">
      <c r="E211" s="6"/>
      <c r="H211" s="21">
        <v>209</v>
      </c>
      <c r="I211">
        <v>128142</v>
      </c>
      <c r="J211" t="s">
        <v>319</v>
      </c>
      <c r="K211">
        <v>112.878</v>
      </c>
      <c r="L211">
        <v>0.77890000000000004</v>
      </c>
      <c r="M211">
        <v>190.77</v>
      </c>
      <c r="N211" s="6" t="str">
        <f t="shared" si="8"/>
        <v>未买</v>
      </c>
      <c r="Q211" s="21">
        <v>209</v>
      </c>
    </row>
    <row r="212" spans="5:17" x14ac:dyDescent="0.15">
      <c r="E212" s="6"/>
      <c r="H212" s="21">
        <v>210</v>
      </c>
      <c r="I212">
        <v>123056</v>
      </c>
      <c r="J212" t="s">
        <v>276</v>
      </c>
      <c r="K212">
        <v>107.741</v>
      </c>
      <c r="L212">
        <v>0.83679999999999999</v>
      </c>
      <c r="M212">
        <v>191.42</v>
      </c>
      <c r="N212" s="6" t="str">
        <f t="shared" si="8"/>
        <v>未买</v>
      </c>
      <c r="Q212" s="21">
        <v>210</v>
      </c>
    </row>
    <row r="213" spans="5:17" x14ac:dyDescent="0.15">
      <c r="E213" s="6"/>
      <c r="H213" s="21">
        <v>211</v>
      </c>
      <c r="I213">
        <v>113594</v>
      </c>
      <c r="J213" t="s">
        <v>192</v>
      </c>
      <c r="K213">
        <v>112.92</v>
      </c>
      <c r="L213">
        <v>0.79159999999999997</v>
      </c>
      <c r="M213">
        <v>192.08</v>
      </c>
      <c r="N213" s="6" t="str">
        <f t="shared" si="8"/>
        <v>未买</v>
      </c>
      <c r="Q213" s="21">
        <v>211</v>
      </c>
    </row>
    <row r="214" spans="5:17" x14ac:dyDescent="0.15">
      <c r="E214" s="6"/>
      <c r="H214" s="21">
        <v>212</v>
      </c>
      <c r="I214">
        <v>113608</v>
      </c>
      <c r="J214" t="s">
        <v>182</v>
      </c>
      <c r="K214">
        <v>108.92</v>
      </c>
      <c r="L214">
        <v>0.83420000000000005</v>
      </c>
      <c r="M214">
        <v>192.34</v>
      </c>
      <c r="N214" s="6" t="str">
        <f t="shared" si="8"/>
        <v>未买</v>
      </c>
      <c r="Q214" s="21">
        <v>212</v>
      </c>
    </row>
    <row r="215" spans="5:17" x14ac:dyDescent="0.15">
      <c r="E215" s="6"/>
      <c r="H215" s="21">
        <v>213</v>
      </c>
      <c r="I215">
        <v>113566</v>
      </c>
      <c r="J215" t="s">
        <v>313</v>
      </c>
      <c r="K215">
        <v>115.76</v>
      </c>
      <c r="L215">
        <v>0.76839999999999997</v>
      </c>
      <c r="M215">
        <v>192.6</v>
      </c>
      <c r="N215" s="6" t="str">
        <f t="shared" si="8"/>
        <v>未买</v>
      </c>
      <c r="Q215" s="21">
        <v>213</v>
      </c>
    </row>
    <row r="216" spans="5:17" x14ac:dyDescent="0.15">
      <c r="E216" s="6"/>
      <c r="H216" s="21">
        <v>214</v>
      </c>
      <c r="I216">
        <v>128122</v>
      </c>
      <c r="J216" t="s">
        <v>321</v>
      </c>
      <c r="K216">
        <v>112.2</v>
      </c>
      <c r="L216">
        <v>0.80600000000000005</v>
      </c>
      <c r="M216">
        <v>192.8</v>
      </c>
      <c r="N216" s="6" t="str">
        <f t="shared" si="8"/>
        <v>未买</v>
      </c>
      <c r="Q216" s="21">
        <v>214</v>
      </c>
    </row>
    <row r="217" spans="5:17" x14ac:dyDescent="0.15">
      <c r="E217" s="6"/>
      <c r="H217" s="21">
        <v>215</v>
      </c>
      <c r="I217">
        <v>123088</v>
      </c>
      <c r="J217" t="s">
        <v>356</v>
      </c>
      <c r="K217">
        <v>109.39</v>
      </c>
      <c r="L217">
        <v>0.83530000000000004</v>
      </c>
      <c r="M217">
        <v>192.92</v>
      </c>
      <c r="N217" s="6" t="str">
        <f t="shared" si="8"/>
        <v>未买</v>
      </c>
      <c r="Q217" s="21">
        <v>215</v>
      </c>
    </row>
    <row r="218" spans="5:17" x14ac:dyDescent="0.15">
      <c r="E218" s="6"/>
      <c r="H218" s="21">
        <v>216</v>
      </c>
      <c r="I218">
        <v>128124</v>
      </c>
      <c r="J218" t="s">
        <v>289</v>
      </c>
      <c r="K218">
        <v>97</v>
      </c>
      <c r="L218">
        <v>0.96489999999999998</v>
      </c>
      <c r="M218">
        <v>193.49</v>
      </c>
      <c r="N218" s="6" t="str">
        <f t="shared" si="8"/>
        <v>未买</v>
      </c>
      <c r="Q218" s="21">
        <v>216</v>
      </c>
    </row>
    <row r="219" spans="5:17" x14ac:dyDescent="0.15">
      <c r="E219" s="6"/>
      <c r="H219" s="21">
        <v>217</v>
      </c>
      <c r="I219">
        <v>123139</v>
      </c>
      <c r="J219" t="s">
        <v>1118</v>
      </c>
      <c r="K219">
        <v>127.7</v>
      </c>
      <c r="L219">
        <v>0.66080000000000005</v>
      </c>
      <c r="M219">
        <v>193.78</v>
      </c>
      <c r="N219" s="6" t="str">
        <f t="shared" si="8"/>
        <v>未买</v>
      </c>
      <c r="Q219" s="21">
        <v>217</v>
      </c>
    </row>
    <row r="220" spans="5:17" x14ac:dyDescent="0.15">
      <c r="E220" s="6"/>
      <c r="H220" s="21">
        <v>218</v>
      </c>
      <c r="I220">
        <v>113625</v>
      </c>
      <c r="J220" t="s">
        <v>269</v>
      </c>
      <c r="K220">
        <v>111.85</v>
      </c>
      <c r="L220">
        <v>0.82620000000000005</v>
      </c>
      <c r="M220">
        <v>194.47</v>
      </c>
      <c r="N220" s="6" t="str">
        <f t="shared" si="8"/>
        <v>未买</v>
      </c>
      <c r="Q220" s="21">
        <v>218</v>
      </c>
    </row>
    <row r="221" spans="5:17" x14ac:dyDescent="0.15">
      <c r="E221" s="6"/>
      <c r="H221" s="21">
        <v>219</v>
      </c>
      <c r="I221">
        <v>113542</v>
      </c>
      <c r="J221" t="s">
        <v>296</v>
      </c>
      <c r="K221">
        <v>106.5</v>
      </c>
      <c r="L221">
        <v>0.89100000000000001</v>
      </c>
      <c r="M221">
        <v>195.6</v>
      </c>
      <c r="N221" s="6" t="str">
        <f t="shared" si="8"/>
        <v>未买</v>
      </c>
      <c r="Q221" s="21">
        <v>219</v>
      </c>
    </row>
    <row r="222" spans="5:17" x14ac:dyDescent="0.15">
      <c r="E222" s="6"/>
      <c r="H222" s="21">
        <v>220</v>
      </c>
      <c r="I222">
        <v>123010</v>
      </c>
      <c r="J222" t="s">
        <v>316</v>
      </c>
      <c r="K222">
        <v>109.236</v>
      </c>
      <c r="L222">
        <v>0.87790000000000001</v>
      </c>
      <c r="M222">
        <v>197.03</v>
      </c>
      <c r="N222" s="6" t="str">
        <f t="shared" si="8"/>
        <v>未买</v>
      </c>
      <c r="Q222" s="21">
        <v>220</v>
      </c>
    </row>
    <row r="223" spans="5:17" x14ac:dyDescent="0.15">
      <c r="E223" s="6"/>
      <c r="H223" s="21">
        <v>221</v>
      </c>
      <c r="I223">
        <v>113638</v>
      </c>
      <c r="J223" t="s">
        <v>427</v>
      </c>
      <c r="K223">
        <v>111.95</v>
      </c>
      <c r="L223">
        <v>0.85519999999999996</v>
      </c>
      <c r="M223">
        <v>197.47</v>
      </c>
      <c r="N223" s="6" t="str">
        <f t="shared" si="8"/>
        <v>未买</v>
      </c>
      <c r="Q223" s="21">
        <v>221</v>
      </c>
    </row>
    <row r="224" spans="5:17" x14ac:dyDescent="0.15">
      <c r="E224" s="6"/>
      <c r="H224" s="21">
        <v>222</v>
      </c>
      <c r="I224">
        <v>113593</v>
      </c>
      <c r="J224" t="s">
        <v>176</v>
      </c>
      <c r="K224">
        <v>111.37</v>
      </c>
      <c r="L224">
        <v>0.86229999999999996</v>
      </c>
      <c r="M224">
        <v>197.6</v>
      </c>
      <c r="N224" s="6" t="str">
        <f t="shared" si="8"/>
        <v>未买</v>
      </c>
      <c r="Q224" s="21">
        <v>222</v>
      </c>
    </row>
    <row r="225" spans="5:17" x14ac:dyDescent="0.15">
      <c r="E225" s="6"/>
      <c r="H225" s="21">
        <v>223</v>
      </c>
      <c r="I225">
        <v>127053</v>
      </c>
      <c r="J225" t="s">
        <v>1123</v>
      </c>
      <c r="K225">
        <v>107.37</v>
      </c>
      <c r="L225">
        <v>0.91190000000000004</v>
      </c>
      <c r="M225">
        <v>198.56</v>
      </c>
      <c r="N225" s="6" t="str">
        <f t="shared" si="8"/>
        <v>未买</v>
      </c>
      <c r="Q225" s="21">
        <v>223</v>
      </c>
    </row>
    <row r="226" spans="5:17" x14ac:dyDescent="0.15">
      <c r="E226" s="6"/>
      <c r="H226" s="21">
        <v>224</v>
      </c>
      <c r="I226">
        <v>128083</v>
      </c>
      <c r="J226" t="s">
        <v>308</v>
      </c>
      <c r="K226">
        <v>111.917</v>
      </c>
      <c r="L226">
        <v>0.87070000000000003</v>
      </c>
      <c r="M226">
        <v>198.99</v>
      </c>
      <c r="N226" s="6" t="str">
        <f t="shared" si="8"/>
        <v>未买</v>
      </c>
      <c r="Q226" s="21">
        <v>224</v>
      </c>
    </row>
    <row r="227" spans="5:17" x14ac:dyDescent="0.15">
      <c r="E227" s="6"/>
      <c r="H227" s="21">
        <v>225</v>
      </c>
      <c r="I227">
        <v>118007</v>
      </c>
      <c r="J227" t="s">
        <v>1211</v>
      </c>
      <c r="K227">
        <v>132.36000000000001</v>
      </c>
      <c r="L227">
        <v>0.66890000000000005</v>
      </c>
      <c r="M227">
        <v>199.25</v>
      </c>
      <c r="N227" s="6" t="str">
        <f t="shared" si="8"/>
        <v>未买</v>
      </c>
      <c r="Q227" s="21">
        <v>225</v>
      </c>
    </row>
    <row r="228" spans="5:17" x14ac:dyDescent="0.15">
      <c r="E228" s="6"/>
      <c r="H228" s="21">
        <v>226</v>
      </c>
      <c r="I228">
        <v>128074</v>
      </c>
      <c r="J228" t="s">
        <v>326</v>
      </c>
      <c r="K228">
        <v>108.233</v>
      </c>
      <c r="L228">
        <v>0.91720000000000002</v>
      </c>
      <c r="M228">
        <v>199.95</v>
      </c>
      <c r="N228" s="6" t="str">
        <f t="shared" si="8"/>
        <v>未买</v>
      </c>
      <c r="Q228" s="21">
        <v>226</v>
      </c>
    </row>
    <row r="229" spans="5:17" x14ac:dyDescent="0.15">
      <c r="E229" s="6"/>
      <c r="H229" s="21">
        <v>227</v>
      </c>
      <c r="I229">
        <v>113573</v>
      </c>
      <c r="J229" t="s">
        <v>263</v>
      </c>
      <c r="K229">
        <v>111.29</v>
      </c>
      <c r="L229">
        <v>0.89139999999999997</v>
      </c>
      <c r="M229">
        <v>200.43</v>
      </c>
      <c r="N229" s="6" t="str">
        <f t="shared" si="8"/>
        <v>未买</v>
      </c>
      <c r="Q229" s="21">
        <v>227</v>
      </c>
    </row>
    <row r="230" spans="5:17" x14ac:dyDescent="0.15">
      <c r="E230" s="6"/>
      <c r="H230" s="21">
        <v>228</v>
      </c>
      <c r="I230">
        <v>123109</v>
      </c>
      <c r="J230" t="s">
        <v>1196</v>
      </c>
      <c r="K230">
        <v>110.188</v>
      </c>
      <c r="L230">
        <v>0.90500000000000003</v>
      </c>
      <c r="M230">
        <v>200.69</v>
      </c>
      <c r="N230" s="6" t="str">
        <f t="shared" si="8"/>
        <v>未买</v>
      </c>
      <c r="Q230" s="21">
        <v>228</v>
      </c>
    </row>
    <row r="231" spans="5:17" x14ac:dyDescent="0.15">
      <c r="E231" s="6"/>
      <c r="H231" s="21">
        <v>229</v>
      </c>
      <c r="I231">
        <v>123116</v>
      </c>
      <c r="J231" t="s">
        <v>331</v>
      </c>
      <c r="K231">
        <v>114.313</v>
      </c>
      <c r="L231">
        <v>0.87160000000000004</v>
      </c>
      <c r="M231">
        <v>201.47</v>
      </c>
      <c r="N231" s="6" t="str">
        <f t="shared" si="8"/>
        <v>未买</v>
      </c>
      <c r="Q231" s="21">
        <v>229</v>
      </c>
    </row>
    <row r="232" spans="5:17" x14ac:dyDescent="0.15">
      <c r="E232" s="6"/>
      <c r="H232" s="21">
        <v>230</v>
      </c>
      <c r="I232">
        <v>113639</v>
      </c>
      <c r="J232" t="s">
        <v>1122</v>
      </c>
      <c r="K232">
        <v>105.6</v>
      </c>
      <c r="L232">
        <v>0.98360000000000003</v>
      </c>
      <c r="M232">
        <v>203.96</v>
      </c>
      <c r="N232" s="6" t="str">
        <f t="shared" si="8"/>
        <v>未买</v>
      </c>
      <c r="Q232" s="21">
        <v>230</v>
      </c>
    </row>
    <row r="233" spans="5:17" x14ac:dyDescent="0.15">
      <c r="E233" s="6"/>
      <c r="H233" s="21">
        <v>231</v>
      </c>
      <c r="I233">
        <v>123093</v>
      </c>
      <c r="J233" t="s">
        <v>261</v>
      </c>
      <c r="K233">
        <v>115.09</v>
      </c>
      <c r="L233">
        <v>0.89400000000000002</v>
      </c>
      <c r="M233">
        <v>204.49</v>
      </c>
      <c r="N233" s="6" t="str">
        <f t="shared" si="8"/>
        <v>未买</v>
      </c>
      <c r="Q233" s="21">
        <v>231</v>
      </c>
    </row>
    <row r="234" spans="5:17" x14ac:dyDescent="0.15">
      <c r="E234" s="6"/>
      <c r="H234" s="21">
        <v>232</v>
      </c>
      <c r="I234">
        <v>118004</v>
      </c>
      <c r="J234" t="s">
        <v>429</v>
      </c>
      <c r="K234">
        <v>112.38</v>
      </c>
      <c r="L234">
        <v>0.93799999999999994</v>
      </c>
      <c r="M234">
        <v>206.18</v>
      </c>
      <c r="N234" s="6" t="str">
        <f t="shared" si="8"/>
        <v>未买</v>
      </c>
      <c r="Q234" s="21">
        <v>232</v>
      </c>
    </row>
    <row r="235" spans="5:17" x14ac:dyDescent="0.15">
      <c r="E235" s="6"/>
      <c r="H235" s="21">
        <v>233</v>
      </c>
      <c r="I235">
        <v>128017</v>
      </c>
      <c r="J235" t="s">
        <v>1174</v>
      </c>
      <c r="K235">
        <v>195.8</v>
      </c>
      <c r="L235">
        <v>0.107</v>
      </c>
      <c r="M235">
        <v>206.5</v>
      </c>
      <c r="N235" s="6" t="str">
        <f t="shared" si="8"/>
        <v>未买</v>
      </c>
      <c r="Q235" s="21">
        <v>233</v>
      </c>
    </row>
    <row r="236" spans="5:17" x14ac:dyDescent="0.15">
      <c r="E236" s="6"/>
      <c r="H236" s="21">
        <v>234</v>
      </c>
      <c r="I236">
        <v>128072</v>
      </c>
      <c r="J236" t="s">
        <v>274</v>
      </c>
      <c r="K236">
        <v>108.925</v>
      </c>
      <c r="L236">
        <v>0.97919999999999996</v>
      </c>
      <c r="M236">
        <v>206.85</v>
      </c>
      <c r="N236" s="6" t="str">
        <f t="shared" si="8"/>
        <v>未买</v>
      </c>
      <c r="Q236" s="21">
        <v>234</v>
      </c>
    </row>
    <row r="237" spans="5:17" x14ac:dyDescent="0.15">
      <c r="E237" s="6"/>
      <c r="H237" s="21">
        <v>235</v>
      </c>
      <c r="I237">
        <v>123122</v>
      </c>
      <c r="J237" t="s">
        <v>295</v>
      </c>
      <c r="K237">
        <v>111.901</v>
      </c>
      <c r="L237">
        <v>0.9536</v>
      </c>
      <c r="M237">
        <v>207.26</v>
      </c>
      <c r="N237" s="6" t="str">
        <f t="shared" si="8"/>
        <v>未买</v>
      </c>
      <c r="Q237" s="21">
        <v>235</v>
      </c>
    </row>
    <row r="238" spans="5:17" x14ac:dyDescent="0.15">
      <c r="E238" s="6"/>
      <c r="H238" s="21">
        <v>236</v>
      </c>
      <c r="I238">
        <v>123136</v>
      </c>
      <c r="J238" t="s">
        <v>424</v>
      </c>
      <c r="K238">
        <v>132.69999999999999</v>
      </c>
      <c r="L238">
        <v>0.75549999999999995</v>
      </c>
      <c r="M238">
        <v>208.25</v>
      </c>
      <c r="N238" s="6" t="str">
        <f t="shared" si="8"/>
        <v>未买</v>
      </c>
      <c r="Q238" s="21">
        <v>236</v>
      </c>
    </row>
    <row r="239" spans="5:17" x14ac:dyDescent="0.15">
      <c r="E239" s="6"/>
      <c r="H239" s="21">
        <v>237</v>
      </c>
      <c r="I239">
        <v>118003</v>
      </c>
      <c r="J239" t="s">
        <v>371</v>
      </c>
      <c r="K239">
        <v>111.76</v>
      </c>
      <c r="L239">
        <v>0.96579999999999999</v>
      </c>
      <c r="M239">
        <v>208.34</v>
      </c>
      <c r="N239" s="6" t="str">
        <f t="shared" si="8"/>
        <v>未买</v>
      </c>
      <c r="Q239" s="21">
        <v>237</v>
      </c>
    </row>
    <row r="240" spans="5:17" x14ac:dyDescent="0.15">
      <c r="E240" s="6"/>
      <c r="H240" s="21">
        <v>238</v>
      </c>
      <c r="I240">
        <v>123138</v>
      </c>
      <c r="J240" t="s">
        <v>1119</v>
      </c>
      <c r="K240">
        <v>134.1</v>
      </c>
      <c r="L240">
        <v>0.74419999999999997</v>
      </c>
      <c r="M240">
        <v>208.52</v>
      </c>
      <c r="N240" s="6" t="str">
        <f t="shared" si="8"/>
        <v>未买</v>
      </c>
      <c r="Q240" s="21">
        <v>238</v>
      </c>
    </row>
    <row r="241" spans="5:17" x14ac:dyDescent="0.15">
      <c r="E241" s="6"/>
      <c r="H241" s="21">
        <v>239</v>
      </c>
      <c r="I241">
        <v>123099</v>
      </c>
      <c r="J241" t="s">
        <v>363</v>
      </c>
      <c r="K241">
        <v>110.997</v>
      </c>
      <c r="L241">
        <v>0.97650000000000003</v>
      </c>
      <c r="M241">
        <v>208.65</v>
      </c>
      <c r="N241" s="6" t="str">
        <f t="shared" si="8"/>
        <v>未买</v>
      </c>
      <c r="Q241" s="21">
        <v>239</v>
      </c>
    </row>
    <row r="242" spans="5:17" x14ac:dyDescent="0.15">
      <c r="E242" s="6"/>
      <c r="H242" s="21">
        <v>240</v>
      </c>
      <c r="I242">
        <v>113534</v>
      </c>
      <c r="J242" t="s">
        <v>1179</v>
      </c>
      <c r="K242">
        <v>200.9</v>
      </c>
      <c r="L242">
        <v>9.5799999999999996E-2</v>
      </c>
      <c r="M242">
        <v>210.48</v>
      </c>
      <c r="N242" s="6" t="str">
        <f t="shared" si="8"/>
        <v>未买</v>
      </c>
      <c r="Q242" s="21">
        <v>240</v>
      </c>
    </row>
    <row r="243" spans="5:17" x14ac:dyDescent="0.15">
      <c r="E243" s="6"/>
      <c r="H243" s="21">
        <v>241</v>
      </c>
      <c r="I243">
        <v>123070</v>
      </c>
      <c r="J243" t="s">
        <v>222</v>
      </c>
      <c r="K243">
        <v>202.50899999999999</v>
      </c>
      <c r="L243">
        <v>9.8699999999999996E-2</v>
      </c>
      <c r="M243">
        <v>212.38</v>
      </c>
      <c r="N243" s="6" t="str">
        <f t="shared" si="8"/>
        <v>未买</v>
      </c>
      <c r="Q243" s="21">
        <v>241</v>
      </c>
    </row>
    <row r="244" spans="5:17" x14ac:dyDescent="0.15">
      <c r="E244" s="6"/>
      <c r="H244" s="21">
        <v>242</v>
      </c>
      <c r="I244">
        <v>127041</v>
      </c>
      <c r="J244" t="s">
        <v>318</v>
      </c>
      <c r="K244">
        <v>109.2</v>
      </c>
      <c r="L244">
        <v>1.034</v>
      </c>
      <c r="M244">
        <v>212.6</v>
      </c>
      <c r="N244" s="6" t="str">
        <f t="shared" si="8"/>
        <v>未买</v>
      </c>
      <c r="Q244" s="21">
        <v>242</v>
      </c>
    </row>
    <row r="245" spans="5:17" x14ac:dyDescent="0.15">
      <c r="E245" s="6"/>
      <c r="H245" s="21">
        <v>243</v>
      </c>
      <c r="I245">
        <v>113597</v>
      </c>
      <c r="J245" t="s">
        <v>275</v>
      </c>
      <c r="K245">
        <v>125.5</v>
      </c>
      <c r="L245">
        <v>0.87560000000000004</v>
      </c>
      <c r="M245">
        <v>213.06</v>
      </c>
      <c r="N245" s="6" t="str">
        <f t="shared" si="8"/>
        <v>未买</v>
      </c>
      <c r="Q245" s="21">
        <v>243</v>
      </c>
    </row>
    <row r="246" spans="5:17" x14ac:dyDescent="0.15">
      <c r="E246" s="6"/>
      <c r="H246" s="21">
        <v>244</v>
      </c>
      <c r="I246">
        <v>128117</v>
      </c>
      <c r="J246" t="s">
        <v>273</v>
      </c>
      <c r="K246">
        <v>109.136</v>
      </c>
      <c r="L246">
        <v>1.0710999999999999</v>
      </c>
      <c r="M246">
        <v>216.25</v>
      </c>
      <c r="N246" s="6" t="str">
        <f t="shared" si="8"/>
        <v>未买</v>
      </c>
      <c r="Q246" s="21">
        <v>244</v>
      </c>
    </row>
    <row r="247" spans="5:17" x14ac:dyDescent="0.15">
      <c r="E247" s="6"/>
      <c r="H247" s="21">
        <v>245</v>
      </c>
      <c r="I247">
        <v>113624</v>
      </c>
      <c r="J247" t="s">
        <v>298</v>
      </c>
      <c r="K247">
        <v>107.89</v>
      </c>
      <c r="L247">
        <v>1.1032999999999999</v>
      </c>
      <c r="M247">
        <v>218.22</v>
      </c>
      <c r="N247" s="6" t="str">
        <f t="shared" si="8"/>
        <v>未买</v>
      </c>
      <c r="Q247" s="21">
        <v>245</v>
      </c>
    </row>
    <row r="248" spans="5:17" x14ac:dyDescent="0.15">
      <c r="E248" s="6"/>
      <c r="H248" s="21">
        <v>246</v>
      </c>
      <c r="I248">
        <v>128125</v>
      </c>
      <c r="J248" t="s">
        <v>268</v>
      </c>
      <c r="K248">
        <v>107.491</v>
      </c>
      <c r="L248">
        <v>1.1322000000000001</v>
      </c>
      <c r="M248">
        <v>220.71</v>
      </c>
      <c r="N248" s="6" t="str">
        <f t="shared" si="8"/>
        <v>未买</v>
      </c>
      <c r="Q248" s="21">
        <v>246</v>
      </c>
    </row>
    <row r="249" spans="5:17" x14ac:dyDescent="0.15">
      <c r="E249" s="6"/>
      <c r="H249" s="21">
        <v>247</v>
      </c>
      <c r="I249">
        <v>123126</v>
      </c>
      <c r="J249" t="s">
        <v>302</v>
      </c>
      <c r="K249">
        <v>111.499</v>
      </c>
      <c r="L249">
        <v>1.0958000000000001</v>
      </c>
      <c r="M249">
        <v>221.08</v>
      </c>
      <c r="N249" s="6" t="str">
        <f t="shared" si="8"/>
        <v>未买</v>
      </c>
      <c r="Q249" s="21">
        <v>247</v>
      </c>
    </row>
    <row r="250" spans="5:17" x14ac:dyDescent="0.15">
      <c r="E250" s="6"/>
      <c r="H250" s="21">
        <v>248</v>
      </c>
      <c r="I250">
        <v>110055</v>
      </c>
      <c r="J250" t="s">
        <v>1183</v>
      </c>
      <c r="K250">
        <v>201.95</v>
      </c>
      <c r="L250">
        <v>0.19339999999999999</v>
      </c>
      <c r="M250">
        <v>221.29</v>
      </c>
      <c r="N250" s="6" t="str">
        <f t="shared" si="8"/>
        <v>未买</v>
      </c>
      <c r="Q250" s="21">
        <v>248</v>
      </c>
    </row>
    <row r="251" spans="5:17" x14ac:dyDescent="0.15">
      <c r="E251" s="6"/>
      <c r="H251" s="21">
        <v>249</v>
      </c>
      <c r="I251">
        <v>123038</v>
      </c>
      <c r="J251" t="s">
        <v>190</v>
      </c>
      <c r="K251">
        <v>122.1</v>
      </c>
      <c r="L251">
        <v>1.0005999999999999</v>
      </c>
      <c r="M251">
        <v>222.16</v>
      </c>
      <c r="N251" s="6" t="str">
        <f t="shared" si="8"/>
        <v>未买</v>
      </c>
      <c r="Q251" s="21">
        <v>249</v>
      </c>
    </row>
    <row r="252" spans="5:17" x14ac:dyDescent="0.15">
      <c r="E252" s="6"/>
      <c r="H252" s="21">
        <v>250</v>
      </c>
      <c r="I252">
        <v>127051</v>
      </c>
      <c r="J252" t="s">
        <v>373</v>
      </c>
      <c r="K252">
        <v>121.497</v>
      </c>
      <c r="L252">
        <v>1.0348999999999999</v>
      </c>
      <c r="M252">
        <v>224.99</v>
      </c>
      <c r="N252" s="6" t="str">
        <f t="shared" si="8"/>
        <v>未买</v>
      </c>
      <c r="Q252" s="21">
        <v>250</v>
      </c>
    </row>
    <row r="253" spans="5:17" x14ac:dyDescent="0.15">
      <c r="E253" s="6"/>
      <c r="H253" s="21">
        <v>251</v>
      </c>
      <c r="I253">
        <v>123076</v>
      </c>
      <c r="J253" t="s">
        <v>279</v>
      </c>
      <c r="K253">
        <v>104.8</v>
      </c>
      <c r="L253">
        <v>1.2633000000000001</v>
      </c>
      <c r="M253">
        <v>231.13</v>
      </c>
      <c r="N253" s="6" t="str">
        <f t="shared" si="8"/>
        <v>未买</v>
      </c>
      <c r="Q253" s="21">
        <v>251</v>
      </c>
    </row>
    <row r="254" spans="5:17" x14ac:dyDescent="0.15">
      <c r="E254" s="6"/>
      <c r="H254" s="21">
        <v>252</v>
      </c>
      <c r="I254">
        <v>113595</v>
      </c>
      <c r="J254" t="s">
        <v>259</v>
      </c>
      <c r="K254">
        <v>100.17</v>
      </c>
      <c r="L254">
        <v>1.3106</v>
      </c>
      <c r="M254">
        <v>231.23</v>
      </c>
      <c r="N254" s="6" t="str">
        <f t="shared" si="8"/>
        <v>未买</v>
      </c>
      <c r="Q254" s="21">
        <v>252</v>
      </c>
    </row>
    <row r="255" spans="5:17" x14ac:dyDescent="0.15">
      <c r="E255" s="6"/>
      <c r="H255" s="21">
        <v>253</v>
      </c>
      <c r="I255">
        <v>128030</v>
      </c>
      <c r="J255" t="s">
        <v>1189</v>
      </c>
      <c r="K255">
        <v>195.55500000000001</v>
      </c>
      <c r="L255">
        <v>0.35749999999999998</v>
      </c>
      <c r="M255">
        <v>231.31</v>
      </c>
      <c r="N255" s="6" t="str">
        <f t="shared" si="8"/>
        <v>未买</v>
      </c>
      <c r="Q255" s="21">
        <v>253</v>
      </c>
    </row>
    <row r="256" spans="5:17" x14ac:dyDescent="0.15">
      <c r="E256" s="6"/>
      <c r="H256" s="21">
        <v>254</v>
      </c>
      <c r="I256">
        <v>123011</v>
      </c>
      <c r="J256" t="s">
        <v>290</v>
      </c>
      <c r="K256">
        <v>113.681</v>
      </c>
      <c r="L256">
        <v>1.1765000000000001</v>
      </c>
      <c r="M256">
        <v>231.33</v>
      </c>
      <c r="N256" s="6" t="str">
        <f t="shared" si="8"/>
        <v>未买</v>
      </c>
      <c r="Q256" s="21">
        <v>254</v>
      </c>
    </row>
    <row r="257" spans="5:17" x14ac:dyDescent="0.15">
      <c r="E257" s="6"/>
      <c r="H257" s="21">
        <v>255</v>
      </c>
      <c r="I257">
        <v>123117</v>
      </c>
      <c r="J257" t="s">
        <v>265</v>
      </c>
      <c r="K257">
        <v>109.99299999999999</v>
      </c>
      <c r="L257">
        <v>1.2544</v>
      </c>
      <c r="M257">
        <v>235.43</v>
      </c>
      <c r="N257" s="6" t="str">
        <f t="shared" si="8"/>
        <v>未买</v>
      </c>
      <c r="Q257" s="21">
        <v>255</v>
      </c>
    </row>
    <row r="258" spans="5:17" x14ac:dyDescent="0.15">
      <c r="E258" s="6"/>
      <c r="H258" s="21">
        <v>256</v>
      </c>
      <c r="I258">
        <v>123124</v>
      </c>
      <c r="J258" t="s">
        <v>317</v>
      </c>
      <c r="K258">
        <v>110.27200000000001</v>
      </c>
      <c r="L258">
        <v>1.2679</v>
      </c>
      <c r="M258">
        <v>237.06</v>
      </c>
      <c r="N258" s="6" t="str">
        <f t="shared" si="8"/>
        <v>未买</v>
      </c>
      <c r="Q258" s="21">
        <v>256</v>
      </c>
    </row>
    <row r="259" spans="5:17" x14ac:dyDescent="0.15">
      <c r="E259" s="6"/>
      <c r="H259" s="21">
        <v>257</v>
      </c>
      <c r="I259">
        <v>113589</v>
      </c>
      <c r="J259" t="s">
        <v>264</v>
      </c>
      <c r="K259">
        <v>99.99</v>
      </c>
      <c r="L259">
        <v>1.3908</v>
      </c>
      <c r="M259">
        <v>239.07</v>
      </c>
      <c r="N259" s="6" t="str">
        <f t="shared" si="8"/>
        <v>未买</v>
      </c>
      <c r="Q259" s="21">
        <v>257</v>
      </c>
    </row>
    <row r="260" spans="5:17" x14ac:dyDescent="0.15">
      <c r="E260" s="6"/>
      <c r="H260" s="21">
        <v>258</v>
      </c>
      <c r="I260">
        <v>113569</v>
      </c>
      <c r="J260" t="s">
        <v>258</v>
      </c>
      <c r="K260">
        <v>104.61</v>
      </c>
      <c r="L260">
        <v>1.3493999999999999</v>
      </c>
      <c r="M260">
        <v>239.55</v>
      </c>
      <c r="N260" s="6" t="str">
        <f t="shared" ref="N260:N286" si="9">IF(ISNA(MATCH(I260,$A$3:$A$1000,0)),"未买","Yes")</f>
        <v>未买</v>
      </c>
      <c r="Q260" s="21">
        <v>258</v>
      </c>
    </row>
    <row r="261" spans="5:17" x14ac:dyDescent="0.15">
      <c r="E261" s="6"/>
      <c r="H261" s="21">
        <v>259</v>
      </c>
      <c r="I261">
        <v>128138</v>
      </c>
      <c r="J261" t="s">
        <v>266</v>
      </c>
      <c r="K261">
        <v>112.724</v>
      </c>
      <c r="L261">
        <v>1.3120000000000001</v>
      </c>
      <c r="M261">
        <v>243.92</v>
      </c>
      <c r="N261" s="6" t="str">
        <f t="shared" si="9"/>
        <v>未买</v>
      </c>
      <c r="Q261" s="21">
        <v>259</v>
      </c>
    </row>
    <row r="262" spans="5:17" x14ac:dyDescent="0.15">
      <c r="E262" s="6"/>
      <c r="H262" s="21">
        <v>260</v>
      </c>
      <c r="I262">
        <v>123034</v>
      </c>
      <c r="J262" t="s">
        <v>1197</v>
      </c>
      <c r="K262">
        <v>176.2</v>
      </c>
      <c r="L262">
        <v>0.74009999999999998</v>
      </c>
      <c r="M262">
        <v>250.21</v>
      </c>
      <c r="N262" s="6" t="str">
        <f t="shared" si="9"/>
        <v>未买</v>
      </c>
      <c r="Q262" s="21">
        <v>260</v>
      </c>
    </row>
    <row r="263" spans="5:17" x14ac:dyDescent="0.15">
      <c r="E263" s="6"/>
      <c r="H263" s="21">
        <v>261</v>
      </c>
      <c r="I263">
        <v>123143</v>
      </c>
      <c r="J263" t="s">
        <v>1212</v>
      </c>
      <c r="K263">
        <v>155.9</v>
      </c>
      <c r="L263">
        <v>0.96550000000000002</v>
      </c>
      <c r="M263">
        <v>252.45</v>
      </c>
      <c r="N263" s="6" t="str">
        <f t="shared" si="9"/>
        <v>未买</v>
      </c>
      <c r="Q263" s="21">
        <v>261</v>
      </c>
    </row>
    <row r="264" spans="5:17" x14ac:dyDescent="0.15">
      <c r="E264" s="6"/>
      <c r="H264" s="21">
        <v>262</v>
      </c>
      <c r="I264">
        <v>123090</v>
      </c>
      <c r="J264" t="s">
        <v>301</v>
      </c>
      <c r="K264">
        <v>107.658</v>
      </c>
      <c r="L264">
        <v>1.4594</v>
      </c>
      <c r="M264">
        <v>253.6</v>
      </c>
      <c r="N264" s="6" t="str">
        <f t="shared" si="9"/>
        <v>未买</v>
      </c>
      <c r="Q264" s="21">
        <v>262</v>
      </c>
    </row>
    <row r="265" spans="5:17" x14ac:dyDescent="0.15">
      <c r="E265" s="6"/>
      <c r="H265" s="21">
        <v>263</v>
      </c>
      <c r="I265">
        <v>113016</v>
      </c>
      <c r="J265" t="s">
        <v>247</v>
      </c>
      <c r="K265">
        <v>253.76</v>
      </c>
      <c r="L265">
        <v>3.9800000000000002E-2</v>
      </c>
      <c r="M265">
        <v>257.74</v>
      </c>
      <c r="N265" s="6" t="str">
        <f t="shared" si="9"/>
        <v>未买</v>
      </c>
      <c r="Q265" s="21">
        <v>263</v>
      </c>
    </row>
    <row r="266" spans="5:17" x14ac:dyDescent="0.15">
      <c r="E266" s="6"/>
      <c r="H266" s="21">
        <v>264</v>
      </c>
      <c r="I266">
        <v>113627</v>
      </c>
      <c r="J266" t="s">
        <v>267</v>
      </c>
      <c r="K266">
        <v>106.73</v>
      </c>
      <c r="L266">
        <v>1.6095999999999999</v>
      </c>
      <c r="M266">
        <v>267.69</v>
      </c>
      <c r="N266" s="6" t="str">
        <f t="shared" si="9"/>
        <v>未买</v>
      </c>
      <c r="Q266" s="21">
        <v>264</v>
      </c>
    </row>
    <row r="267" spans="5:17" x14ac:dyDescent="0.15">
      <c r="E267" s="6"/>
      <c r="H267" s="21">
        <v>265</v>
      </c>
      <c r="I267">
        <v>123039</v>
      </c>
      <c r="J267" t="s">
        <v>286</v>
      </c>
      <c r="K267">
        <v>135</v>
      </c>
      <c r="L267">
        <v>1.3348</v>
      </c>
      <c r="M267">
        <v>268.48</v>
      </c>
      <c r="N267" s="6" t="str">
        <f t="shared" si="9"/>
        <v>未买</v>
      </c>
      <c r="Q267" s="21">
        <v>265</v>
      </c>
    </row>
    <row r="268" spans="5:17" x14ac:dyDescent="0.15">
      <c r="E268" s="6"/>
      <c r="H268" s="21">
        <v>266</v>
      </c>
      <c r="I268">
        <v>123046</v>
      </c>
      <c r="J268" t="s">
        <v>1129</v>
      </c>
      <c r="K268">
        <v>259.99900000000002</v>
      </c>
      <c r="L268">
        <v>9.4600000000000004E-2</v>
      </c>
      <c r="M268">
        <v>269.45999999999998</v>
      </c>
      <c r="N268" s="6" t="str">
        <f t="shared" si="9"/>
        <v>未买</v>
      </c>
      <c r="Q268" s="21">
        <v>266</v>
      </c>
    </row>
    <row r="269" spans="5:17" x14ac:dyDescent="0.15">
      <c r="E269" s="6"/>
      <c r="H269" s="21">
        <v>267</v>
      </c>
      <c r="I269">
        <v>123104</v>
      </c>
      <c r="J269" t="s">
        <v>297</v>
      </c>
      <c r="K269">
        <v>113.49</v>
      </c>
      <c r="L269">
        <v>1.6012</v>
      </c>
      <c r="M269">
        <v>273.61</v>
      </c>
      <c r="N269" s="6" t="str">
        <f t="shared" si="9"/>
        <v>未买</v>
      </c>
      <c r="Q269" s="21">
        <v>267</v>
      </c>
    </row>
    <row r="270" spans="5:17" x14ac:dyDescent="0.15">
      <c r="E270" s="6"/>
      <c r="H270" s="21">
        <v>268</v>
      </c>
      <c r="I270">
        <v>123018</v>
      </c>
      <c r="J270" t="s">
        <v>193</v>
      </c>
      <c r="K270">
        <v>194.298</v>
      </c>
      <c r="L270">
        <v>0.82150000000000001</v>
      </c>
      <c r="M270">
        <v>276.45</v>
      </c>
      <c r="N270" s="6" t="str">
        <f t="shared" si="9"/>
        <v>未买</v>
      </c>
      <c r="Q270" s="21">
        <v>268</v>
      </c>
    </row>
    <row r="271" spans="5:17" x14ac:dyDescent="0.15">
      <c r="E271" s="6"/>
      <c r="H271" s="21">
        <v>269</v>
      </c>
      <c r="I271">
        <v>113575</v>
      </c>
      <c r="J271" t="s">
        <v>270</v>
      </c>
      <c r="K271">
        <v>127.23</v>
      </c>
      <c r="L271">
        <v>1.5095000000000001</v>
      </c>
      <c r="M271">
        <v>278.18</v>
      </c>
      <c r="N271" s="6" t="str">
        <f t="shared" si="9"/>
        <v>未买</v>
      </c>
      <c r="Q271" s="21">
        <v>269</v>
      </c>
    </row>
    <row r="272" spans="5:17" x14ac:dyDescent="0.15">
      <c r="E272" s="6"/>
      <c r="H272" s="21">
        <v>270</v>
      </c>
      <c r="I272">
        <v>111003</v>
      </c>
      <c r="J272" t="s">
        <v>1213</v>
      </c>
      <c r="K272">
        <v>163.86</v>
      </c>
      <c r="L272">
        <v>1.1577999999999999</v>
      </c>
      <c r="M272">
        <v>279.64</v>
      </c>
      <c r="N272" s="6" t="str">
        <f t="shared" si="9"/>
        <v>未买</v>
      </c>
      <c r="Q272" s="21">
        <v>270</v>
      </c>
    </row>
    <row r="273" spans="5:17" x14ac:dyDescent="0.15">
      <c r="E273" s="6"/>
      <c r="H273" s="21">
        <v>271</v>
      </c>
      <c r="I273">
        <v>123101</v>
      </c>
      <c r="J273" t="s">
        <v>271</v>
      </c>
      <c r="K273">
        <v>106.54300000000001</v>
      </c>
      <c r="L273">
        <v>1.7977000000000001</v>
      </c>
      <c r="M273">
        <v>286.31</v>
      </c>
      <c r="N273" s="6" t="str">
        <f t="shared" si="9"/>
        <v>未买</v>
      </c>
      <c r="Q273" s="21">
        <v>271</v>
      </c>
    </row>
    <row r="274" spans="5:17" x14ac:dyDescent="0.15">
      <c r="E274" s="6"/>
      <c r="H274" s="21">
        <v>272</v>
      </c>
      <c r="I274">
        <v>123027</v>
      </c>
      <c r="J274" t="s">
        <v>1137</v>
      </c>
      <c r="K274">
        <v>266.39999999999998</v>
      </c>
      <c r="L274">
        <v>0.22409999999999999</v>
      </c>
      <c r="M274">
        <v>288.81</v>
      </c>
      <c r="N274" s="6" t="str">
        <f t="shared" si="9"/>
        <v>未买</v>
      </c>
      <c r="Q274" s="21">
        <v>272</v>
      </c>
    </row>
    <row r="275" spans="5:17" x14ac:dyDescent="0.15">
      <c r="E275" s="6"/>
      <c r="H275" s="21">
        <v>273</v>
      </c>
      <c r="I275">
        <v>127057</v>
      </c>
      <c r="J275" t="s">
        <v>1110</v>
      </c>
      <c r="K275">
        <v>228</v>
      </c>
      <c r="L275">
        <v>0.63060000000000005</v>
      </c>
      <c r="M275">
        <v>291.06</v>
      </c>
      <c r="N275" s="6" t="str">
        <f t="shared" si="9"/>
        <v>未买</v>
      </c>
      <c r="Q275" s="21">
        <v>273</v>
      </c>
    </row>
    <row r="276" spans="5:17" x14ac:dyDescent="0.15">
      <c r="E276" s="6"/>
      <c r="H276" s="21">
        <v>274</v>
      </c>
      <c r="I276">
        <v>127004</v>
      </c>
      <c r="J276" t="s">
        <v>256</v>
      </c>
      <c r="K276">
        <v>144.16</v>
      </c>
      <c r="L276">
        <v>1.4733000000000001</v>
      </c>
      <c r="M276">
        <v>291.49</v>
      </c>
      <c r="N276" s="6" t="str">
        <f t="shared" si="9"/>
        <v>未买</v>
      </c>
      <c r="Q276" s="21">
        <v>274</v>
      </c>
    </row>
    <row r="277" spans="5:17" x14ac:dyDescent="0.15">
      <c r="E277" s="6"/>
      <c r="H277" s="21">
        <v>275</v>
      </c>
      <c r="I277">
        <v>123140</v>
      </c>
      <c r="J277" t="s">
        <v>1121</v>
      </c>
      <c r="K277">
        <v>179</v>
      </c>
      <c r="L277">
        <v>1.1546000000000001</v>
      </c>
      <c r="M277">
        <v>294.45999999999998</v>
      </c>
      <c r="N277" s="6" t="str">
        <f t="shared" si="9"/>
        <v>未买</v>
      </c>
      <c r="Q277" s="21">
        <v>275</v>
      </c>
    </row>
    <row r="278" spans="5:17" x14ac:dyDescent="0.15">
      <c r="E278" s="6"/>
      <c r="H278" s="21">
        <v>276</v>
      </c>
      <c r="I278">
        <v>113576</v>
      </c>
      <c r="J278" t="s">
        <v>257</v>
      </c>
      <c r="K278">
        <v>108.45</v>
      </c>
      <c r="L278">
        <v>1.9488000000000001</v>
      </c>
      <c r="M278">
        <v>303.33</v>
      </c>
      <c r="N278" s="6" t="str">
        <f t="shared" si="9"/>
        <v>未买</v>
      </c>
      <c r="Q278" s="21">
        <v>276</v>
      </c>
    </row>
    <row r="279" spans="5:17" x14ac:dyDescent="0.15">
      <c r="E279" s="6"/>
      <c r="H279" s="21">
        <v>277</v>
      </c>
      <c r="I279">
        <v>123065</v>
      </c>
      <c r="J279" t="s">
        <v>255</v>
      </c>
      <c r="K279">
        <v>114.5</v>
      </c>
      <c r="L279">
        <v>1.9106000000000001</v>
      </c>
      <c r="M279">
        <v>305.56</v>
      </c>
      <c r="N279" s="6" t="str">
        <f t="shared" si="9"/>
        <v>未买</v>
      </c>
      <c r="Q279" s="21">
        <v>277</v>
      </c>
    </row>
    <row r="280" spans="5:17" x14ac:dyDescent="0.15">
      <c r="E280" s="6"/>
      <c r="H280" s="21">
        <v>278</v>
      </c>
      <c r="I280">
        <v>128095</v>
      </c>
      <c r="J280" t="s">
        <v>1184</v>
      </c>
      <c r="K280">
        <v>318</v>
      </c>
      <c r="L280">
        <v>0.13</v>
      </c>
      <c r="M280">
        <v>331</v>
      </c>
      <c r="N280" s="6" t="str">
        <f t="shared" si="9"/>
        <v>未买</v>
      </c>
      <c r="Q280" s="21">
        <v>278</v>
      </c>
    </row>
    <row r="281" spans="5:17" x14ac:dyDescent="0.15">
      <c r="E281" s="6"/>
      <c r="H281" s="21">
        <v>279</v>
      </c>
      <c r="I281">
        <v>110044</v>
      </c>
      <c r="J281" t="s">
        <v>254</v>
      </c>
      <c r="K281">
        <v>213.2</v>
      </c>
      <c r="L281">
        <v>1.3434999999999999</v>
      </c>
      <c r="M281">
        <v>347.55</v>
      </c>
      <c r="N281" s="6" t="str">
        <f t="shared" si="9"/>
        <v>未买</v>
      </c>
      <c r="Q281" s="21">
        <v>279</v>
      </c>
    </row>
    <row r="282" spans="5:17" x14ac:dyDescent="0.15">
      <c r="E282" s="6"/>
      <c r="H282" s="21">
        <v>280</v>
      </c>
      <c r="I282">
        <v>123134</v>
      </c>
      <c r="J282" t="s">
        <v>430</v>
      </c>
      <c r="K282">
        <v>208</v>
      </c>
      <c r="L282">
        <v>1.4186000000000001</v>
      </c>
      <c r="M282">
        <v>349.86</v>
      </c>
      <c r="N282" s="6" t="str">
        <f t="shared" si="9"/>
        <v>未买</v>
      </c>
      <c r="Q282" s="21">
        <v>280</v>
      </c>
    </row>
    <row r="283" spans="5:17" x14ac:dyDescent="0.15">
      <c r="E283" s="6"/>
      <c r="H283" s="21">
        <v>281</v>
      </c>
      <c r="I283">
        <v>113548</v>
      </c>
      <c r="J283" t="s">
        <v>1125</v>
      </c>
      <c r="K283">
        <v>378.76</v>
      </c>
      <c r="L283">
        <v>2.0000000000000001E-4</v>
      </c>
      <c r="M283">
        <v>378.78</v>
      </c>
      <c r="N283" s="6" t="str">
        <f t="shared" si="9"/>
        <v>未买</v>
      </c>
      <c r="Q283" s="21">
        <v>281</v>
      </c>
    </row>
    <row r="284" spans="5:17" x14ac:dyDescent="0.15">
      <c r="E284" s="6"/>
      <c r="H284" s="21">
        <v>282</v>
      </c>
      <c r="I284">
        <v>123031</v>
      </c>
      <c r="J284" t="s">
        <v>1210</v>
      </c>
      <c r="K284">
        <v>362.08</v>
      </c>
      <c r="L284">
        <v>0.58320000000000005</v>
      </c>
      <c r="M284">
        <v>420.4</v>
      </c>
      <c r="N284" s="6" t="str">
        <f t="shared" si="9"/>
        <v>未买</v>
      </c>
      <c r="Q284" s="21">
        <v>282</v>
      </c>
    </row>
    <row r="285" spans="5:17" x14ac:dyDescent="0.15">
      <c r="E285" s="6"/>
      <c r="H285" s="21">
        <v>283</v>
      </c>
      <c r="I285">
        <v>128041</v>
      </c>
      <c r="J285" t="s">
        <v>253</v>
      </c>
      <c r="K285">
        <v>249.2</v>
      </c>
      <c r="L285">
        <v>1.7816000000000001</v>
      </c>
      <c r="M285">
        <v>427.36</v>
      </c>
      <c r="N285" s="6" t="str">
        <f t="shared" si="9"/>
        <v>未买</v>
      </c>
      <c r="Q285" s="21">
        <v>283</v>
      </c>
    </row>
    <row r="286" spans="5:17" x14ac:dyDescent="0.15">
      <c r="E286" s="6"/>
      <c r="H286" s="21">
        <v>284</v>
      </c>
      <c r="I286">
        <v>128111</v>
      </c>
      <c r="J286" t="s">
        <v>1131</v>
      </c>
      <c r="K286">
        <v>479.99900000000002</v>
      </c>
      <c r="L286">
        <v>3.2300000000000002E-2</v>
      </c>
      <c r="M286">
        <v>483.23</v>
      </c>
      <c r="N286" s="6" t="str">
        <f t="shared" si="9"/>
        <v>未买</v>
      </c>
      <c r="Q286" s="21">
        <v>284</v>
      </c>
    </row>
    <row r="287" spans="5:17" x14ac:dyDescent="0.15">
      <c r="E287" s="6"/>
      <c r="H287" s="21">
        <v>285</v>
      </c>
      <c r="Q287" s="21">
        <v>285</v>
      </c>
    </row>
    <row r="288" spans="5:17" x14ac:dyDescent="0.15">
      <c r="E288" s="6"/>
      <c r="H288" s="21">
        <v>286</v>
      </c>
      <c r="Q288" s="21">
        <v>286</v>
      </c>
    </row>
    <row r="289" spans="5:17" x14ac:dyDescent="0.15">
      <c r="E289" s="6"/>
      <c r="H289" s="21">
        <v>287</v>
      </c>
      <c r="Q289" s="21">
        <v>287</v>
      </c>
    </row>
    <row r="290" spans="5:17" x14ac:dyDescent="0.15">
      <c r="E290" s="6"/>
      <c r="H290" s="21">
        <v>288</v>
      </c>
      <c r="Q290" s="21">
        <v>288</v>
      </c>
    </row>
    <row r="291" spans="5:17" x14ac:dyDescent="0.15">
      <c r="E291" s="6"/>
      <c r="H291" s="21">
        <v>289</v>
      </c>
      <c r="Q291" s="21">
        <v>289</v>
      </c>
    </row>
    <row r="292" spans="5:17" x14ac:dyDescent="0.15">
      <c r="E292" s="6"/>
      <c r="H292" s="21">
        <v>290</v>
      </c>
      <c r="Q292" s="21">
        <v>290</v>
      </c>
    </row>
    <row r="293" spans="5:17" x14ac:dyDescent="0.15">
      <c r="E293" s="6"/>
      <c r="H293" s="21">
        <v>291</v>
      </c>
      <c r="Q293" s="21">
        <v>291</v>
      </c>
    </row>
    <row r="294" spans="5:17" x14ac:dyDescent="0.15">
      <c r="E294" s="6"/>
      <c r="H294" s="21">
        <v>292</v>
      </c>
      <c r="Q294" s="21">
        <v>292</v>
      </c>
    </row>
    <row r="295" spans="5:17" x14ac:dyDescent="0.15">
      <c r="E295" s="6"/>
      <c r="H295" s="21">
        <v>293</v>
      </c>
      <c r="Q295" s="21">
        <v>293</v>
      </c>
    </row>
    <row r="296" spans="5:17" x14ac:dyDescent="0.15">
      <c r="E296" s="6"/>
      <c r="H296" s="21">
        <v>294</v>
      </c>
      <c r="Q296" s="21">
        <v>294</v>
      </c>
    </row>
    <row r="297" spans="5:17" x14ac:dyDescent="0.15">
      <c r="E297" s="6"/>
      <c r="H297" s="21">
        <v>295</v>
      </c>
      <c r="Q297" s="21">
        <v>295</v>
      </c>
    </row>
    <row r="298" spans="5:17" x14ac:dyDescent="0.15">
      <c r="E298" s="6"/>
      <c r="H298" s="21">
        <v>296</v>
      </c>
      <c r="Q298" s="21">
        <v>296</v>
      </c>
    </row>
    <row r="299" spans="5:17" x14ac:dyDescent="0.15">
      <c r="E299" s="6"/>
      <c r="H299" s="21">
        <v>297</v>
      </c>
      <c r="Q299" s="21">
        <v>297</v>
      </c>
    </row>
    <row r="300" spans="5:17" x14ac:dyDescent="0.15">
      <c r="E300" s="6"/>
      <c r="H300" s="21">
        <v>298</v>
      </c>
      <c r="Q300" s="21">
        <v>298</v>
      </c>
    </row>
    <row r="301" spans="5:17" x14ac:dyDescent="0.15">
      <c r="E301" s="6"/>
      <c r="H301" s="21">
        <v>299</v>
      </c>
      <c r="Q301" s="21">
        <v>299</v>
      </c>
    </row>
    <row r="302" spans="5:17" x14ac:dyDescent="0.15">
      <c r="E302" s="6"/>
      <c r="H302" s="21">
        <v>300</v>
      </c>
      <c r="Q302" s="21">
        <v>300</v>
      </c>
    </row>
    <row r="303" spans="5:17" x14ac:dyDescent="0.15">
      <c r="E303" s="6"/>
      <c r="H303" s="21">
        <v>301</v>
      </c>
      <c r="Q303" s="21">
        <v>301</v>
      </c>
    </row>
    <row r="304" spans="5:17" x14ac:dyDescent="0.15">
      <c r="E304" s="6"/>
      <c r="H304" s="21">
        <v>302</v>
      </c>
      <c r="Q304" s="21">
        <v>302</v>
      </c>
    </row>
    <row r="305" spans="5:17" x14ac:dyDescent="0.15">
      <c r="E305" s="6"/>
      <c r="H305" s="21">
        <v>303</v>
      </c>
      <c r="Q305" s="21">
        <v>303</v>
      </c>
    </row>
    <row r="306" spans="5:17" x14ac:dyDescent="0.15">
      <c r="E306" s="6"/>
      <c r="H306" s="21">
        <v>304</v>
      </c>
      <c r="Q306" s="21">
        <v>304</v>
      </c>
    </row>
    <row r="307" spans="5:17" x14ac:dyDescent="0.15">
      <c r="E307" s="6"/>
      <c r="H307" s="21">
        <v>305</v>
      </c>
      <c r="Q307" s="21">
        <v>305</v>
      </c>
    </row>
    <row r="308" spans="5:17" x14ac:dyDescent="0.15">
      <c r="E308" s="6"/>
      <c r="H308" s="21">
        <v>306</v>
      </c>
      <c r="Q308" s="21">
        <v>306</v>
      </c>
    </row>
    <row r="309" spans="5:17" x14ac:dyDescent="0.15">
      <c r="E309" s="6"/>
      <c r="H309" s="21">
        <v>307</v>
      </c>
      <c r="Q309" s="21">
        <v>307</v>
      </c>
    </row>
    <row r="310" spans="5:17" x14ac:dyDescent="0.15">
      <c r="E310" s="6"/>
      <c r="H310" s="21">
        <v>308</v>
      </c>
      <c r="Q310" s="21">
        <v>308</v>
      </c>
    </row>
    <row r="311" spans="5:17" x14ac:dyDescent="0.15">
      <c r="E311" s="6"/>
      <c r="H311" s="21">
        <v>309</v>
      </c>
      <c r="Q311" s="21">
        <v>309</v>
      </c>
    </row>
    <row r="312" spans="5:17" x14ac:dyDescent="0.15">
      <c r="E312" s="6"/>
      <c r="H312" s="21">
        <v>310</v>
      </c>
      <c r="Q312" s="21">
        <v>310</v>
      </c>
    </row>
    <row r="313" spans="5:17" x14ac:dyDescent="0.15">
      <c r="E313" s="6"/>
      <c r="H313" s="21">
        <v>311</v>
      </c>
      <c r="Q313" s="21">
        <v>311</v>
      </c>
    </row>
    <row r="314" spans="5:17" x14ac:dyDescent="0.15">
      <c r="E314" s="6"/>
      <c r="H314" s="21">
        <v>312</v>
      </c>
      <c r="Q314" s="21">
        <v>312</v>
      </c>
    </row>
    <row r="315" spans="5:17" x14ac:dyDescent="0.15">
      <c r="E315" s="6"/>
      <c r="H315" s="21">
        <v>313</v>
      </c>
      <c r="Q315" s="21">
        <v>313</v>
      </c>
    </row>
    <row r="316" spans="5:17" x14ac:dyDescent="0.15">
      <c r="E316" s="6"/>
      <c r="H316" s="21">
        <v>314</v>
      </c>
      <c r="Q316" s="21">
        <v>314</v>
      </c>
    </row>
    <row r="317" spans="5:17" x14ac:dyDescent="0.15">
      <c r="E317" s="6"/>
      <c r="H317" s="21">
        <v>315</v>
      </c>
      <c r="Q317" s="21">
        <v>315</v>
      </c>
    </row>
    <row r="318" spans="5:17" x14ac:dyDescent="0.15">
      <c r="E318" s="6"/>
      <c r="H318" s="21">
        <v>316</v>
      </c>
      <c r="Q318" s="21">
        <v>316</v>
      </c>
    </row>
    <row r="319" spans="5:17" x14ac:dyDescent="0.15">
      <c r="E319" s="6"/>
      <c r="H319" s="21">
        <v>317</v>
      </c>
      <c r="Q319" s="21">
        <v>317</v>
      </c>
    </row>
    <row r="320" spans="5:17" x14ac:dyDescent="0.15">
      <c r="E320" s="6"/>
      <c r="H320" s="21">
        <v>318</v>
      </c>
      <c r="Q320" s="21">
        <v>318</v>
      </c>
    </row>
    <row r="321" spans="5:17" x14ac:dyDescent="0.15">
      <c r="E321" s="6"/>
      <c r="H321" s="21">
        <v>319</v>
      </c>
      <c r="Q321" s="21">
        <v>319</v>
      </c>
    </row>
    <row r="322" spans="5:17" x14ac:dyDescent="0.15">
      <c r="E322" s="6"/>
      <c r="H322" s="21">
        <v>320</v>
      </c>
      <c r="Q322" s="21">
        <v>320</v>
      </c>
    </row>
    <row r="323" spans="5:17" x14ac:dyDescent="0.15">
      <c r="E323" s="6"/>
      <c r="H323" s="21">
        <v>321</v>
      </c>
      <c r="Q323" s="21">
        <v>321</v>
      </c>
    </row>
    <row r="324" spans="5:17" x14ac:dyDescent="0.15">
      <c r="E324" s="6"/>
      <c r="H324" s="21">
        <v>322</v>
      </c>
      <c r="Q324" s="21">
        <v>322</v>
      </c>
    </row>
    <row r="325" spans="5:17" x14ac:dyDescent="0.15">
      <c r="E325" s="6"/>
      <c r="H325" s="21">
        <v>323</v>
      </c>
      <c r="Q325" s="21">
        <v>323</v>
      </c>
    </row>
    <row r="326" spans="5:17" x14ac:dyDescent="0.15">
      <c r="E326" s="6"/>
      <c r="H326" s="21">
        <v>324</v>
      </c>
      <c r="Q326" s="21">
        <v>324</v>
      </c>
    </row>
    <row r="327" spans="5:17" x14ac:dyDescent="0.15">
      <c r="E327" s="6"/>
      <c r="H327" s="21">
        <v>325</v>
      </c>
      <c r="Q327" s="21">
        <v>325</v>
      </c>
    </row>
    <row r="328" spans="5:17" x14ac:dyDescent="0.15">
      <c r="E328" s="6"/>
      <c r="H328" s="21">
        <v>326</v>
      </c>
      <c r="Q328" s="21">
        <v>326</v>
      </c>
    </row>
    <row r="329" spans="5:17" x14ac:dyDescent="0.15">
      <c r="E329" s="6"/>
      <c r="H329" s="21">
        <v>327</v>
      </c>
      <c r="Q329" s="21">
        <v>327</v>
      </c>
    </row>
    <row r="330" spans="5:17" x14ac:dyDescent="0.15">
      <c r="E330" s="6"/>
      <c r="H330" s="21">
        <v>328</v>
      </c>
      <c r="Q330" s="21">
        <v>328</v>
      </c>
    </row>
    <row r="331" spans="5:17" x14ac:dyDescent="0.15">
      <c r="E331" s="6"/>
      <c r="H331" s="21">
        <v>329</v>
      </c>
      <c r="Q331" s="21">
        <v>329</v>
      </c>
    </row>
    <row r="332" spans="5:17" x14ac:dyDescent="0.15">
      <c r="E332" s="6"/>
      <c r="H332" s="21">
        <v>330</v>
      </c>
      <c r="Q332" s="21">
        <v>330</v>
      </c>
    </row>
    <row r="333" spans="5:17" x14ac:dyDescent="0.15">
      <c r="E333" s="6"/>
      <c r="H333" s="21">
        <v>331</v>
      </c>
      <c r="Q333" s="21">
        <v>331</v>
      </c>
    </row>
    <row r="334" spans="5:17" x14ac:dyDescent="0.15">
      <c r="E334" s="6"/>
      <c r="H334" s="21">
        <v>332</v>
      </c>
      <c r="Q334" s="21">
        <v>332</v>
      </c>
    </row>
    <row r="335" spans="5:17" x14ac:dyDescent="0.15">
      <c r="E335" s="6"/>
      <c r="H335" s="21">
        <v>333</v>
      </c>
      <c r="Q335" s="21">
        <v>333</v>
      </c>
    </row>
    <row r="336" spans="5:17" x14ac:dyDescent="0.15">
      <c r="E336" s="6"/>
      <c r="H336" s="21">
        <v>334</v>
      </c>
      <c r="Q336" s="21">
        <v>334</v>
      </c>
    </row>
    <row r="337" spans="5:17" x14ac:dyDescent="0.15">
      <c r="E337" s="6"/>
      <c r="H337" s="21">
        <v>335</v>
      </c>
      <c r="Q337" s="21">
        <v>335</v>
      </c>
    </row>
    <row r="338" spans="5:17" x14ac:dyDescent="0.15">
      <c r="E338" s="6"/>
      <c r="H338" s="21">
        <v>336</v>
      </c>
      <c r="Q338" s="21">
        <v>336</v>
      </c>
    </row>
    <row r="339" spans="5:17" x14ac:dyDescent="0.15">
      <c r="E339" s="6"/>
      <c r="H339" s="21">
        <v>337</v>
      </c>
      <c r="Q339" s="21">
        <v>337</v>
      </c>
    </row>
    <row r="340" spans="5:17" x14ac:dyDescent="0.15">
      <c r="E340" s="6"/>
      <c r="H340" s="21">
        <v>338</v>
      </c>
      <c r="Q340" s="21">
        <v>338</v>
      </c>
    </row>
    <row r="341" spans="5:17" x14ac:dyDescent="0.15">
      <c r="E341" s="6"/>
      <c r="H341" s="21">
        <v>339</v>
      </c>
      <c r="Q341" s="21">
        <v>339</v>
      </c>
    </row>
    <row r="342" spans="5:17" x14ac:dyDescent="0.15">
      <c r="E342" s="6"/>
      <c r="H342" s="21">
        <v>340</v>
      </c>
      <c r="Q342" s="21">
        <v>340</v>
      </c>
    </row>
    <row r="343" spans="5:17" x14ac:dyDescent="0.15">
      <c r="E343" s="6"/>
      <c r="H343" s="21">
        <v>341</v>
      </c>
      <c r="Q343" s="21">
        <v>341</v>
      </c>
    </row>
    <row r="344" spans="5:17" x14ac:dyDescent="0.15">
      <c r="E344" s="6"/>
      <c r="H344" s="21">
        <v>342</v>
      </c>
      <c r="Q344" s="21">
        <v>342</v>
      </c>
    </row>
    <row r="345" spans="5:17" x14ac:dyDescent="0.15">
      <c r="E345" s="6"/>
      <c r="H345" s="21">
        <v>343</v>
      </c>
      <c r="Q345" s="21">
        <v>343</v>
      </c>
    </row>
    <row r="346" spans="5:17" x14ac:dyDescent="0.15">
      <c r="E346" s="6"/>
      <c r="H346" s="21">
        <v>344</v>
      </c>
      <c r="Q346" s="21">
        <v>344</v>
      </c>
    </row>
    <row r="347" spans="5:17" x14ac:dyDescent="0.15">
      <c r="E347" s="6"/>
      <c r="H347" s="21">
        <v>345</v>
      </c>
      <c r="Q347" s="21">
        <v>345</v>
      </c>
    </row>
    <row r="348" spans="5:17" x14ac:dyDescent="0.15">
      <c r="E348" s="6"/>
      <c r="H348" s="21">
        <v>346</v>
      </c>
      <c r="Q348" s="21">
        <v>346</v>
      </c>
    </row>
    <row r="349" spans="5:17" x14ac:dyDescent="0.15">
      <c r="E349" s="6"/>
      <c r="H349" s="21">
        <v>347</v>
      </c>
      <c r="Q349" s="21">
        <v>347</v>
      </c>
    </row>
    <row r="350" spans="5:17" x14ac:dyDescent="0.15">
      <c r="E350" s="6"/>
      <c r="H350" s="21">
        <v>348</v>
      </c>
      <c r="Q350" s="21">
        <v>348</v>
      </c>
    </row>
    <row r="351" spans="5:17" x14ac:dyDescent="0.15">
      <c r="E351" s="6"/>
      <c r="H351" s="21">
        <v>349</v>
      </c>
      <c r="Q351" s="21">
        <v>349</v>
      </c>
    </row>
    <row r="352" spans="5:17" x14ac:dyDescent="0.15">
      <c r="E352" s="6"/>
      <c r="H352" s="21">
        <v>350</v>
      </c>
      <c r="Q352" s="21">
        <v>350</v>
      </c>
    </row>
    <row r="353" spans="5:17" x14ac:dyDescent="0.15">
      <c r="E353" s="6"/>
      <c r="H353" s="21">
        <v>351</v>
      </c>
      <c r="Q353" s="21">
        <v>351</v>
      </c>
    </row>
    <row r="354" spans="5:17" x14ac:dyDescent="0.15">
      <c r="E354" s="6"/>
      <c r="H354" s="21">
        <v>352</v>
      </c>
      <c r="Q354" s="21">
        <v>352</v>
      </c>
    </row>
    <row r="355" spans="5:17" x14ac:dyDescent="0.15">
      <c r="E355" s="6"/>
      <c r="H355" s="21">
        <v>353</v>
      </c>
      <c r="Q355" s="21">
        <v>353</v>
      </c>
    </row>
    <row r="356" spans="5:17" x14ac:dyDescent="0.15">
      <c r="E356" s="6"/>
      <c r="H356" s="21">
        <v>354</v>
      </c>
      <c r="Q356" s="21">
        <v>354</v>
      </c>
    </row>
    <row r="357" spans="5:17" x14ac:dyDescent="0.15">
      <c r="E357" s="6"/>
      <c r="H357" s="21">
        <v>355</v>
      </c>
      <c r="Q357" s="21">
        <v>355</v>
      </c>
    </row>
    <row r="358" spans="5:17" x14ac:dyDescent="0.15">
      <c r="E358" s="6"/>
      <c r="H358" s="21">
        <v>356</v>
      </c>
      <c r="Q358" s="21">
        <v>356</v>
      </c>
    </row>
    <row r="359" spans="5:17" x14ac:dyDescent="0.15">
      <c r="E359" s="6"/>
      <c r="H359" s="21">
        <v>357</v>
      </c>
      <c r="Q359" s="21">
        <v>357</v>
      </c>
    </row>
    <row r="360" spans="5:17" x14ac:dyDescent="0.15">
      <c r="E360" s="6"/>
      <c r="H360" s="21">
        <v>358</v>
      </c>
      <c r="Q360" s="21">
        <v>358</v>
      </c>
    </row>
    <row r="361" spans="5:17" x14ac:dyDescent="0.15">
      <c r="E361" s="6"/>
      <c r="H361" s="21">
        <v>359</v>
      </c>
      <c r="Q361" s="21">
        <v>359</v>
      </c>
    </row>
    <row r="362" spans="5:17" x14ac:dyDescent="0.15">
      <c r="E362" s="6"/>
      <c r="H362" s="21">
        <v>360</v>
      </c>
      <c r="Q362" s="21">
        <v>360</v>
      </c>
    </row>
    <row r="363" spans="5:17" x14ac:dyDescent="0.15">
      <c r="E363" s="6"/>
      <c r="H363" s="21">
        <v>361</v>
      </c>
      <c r="Q363" s="21">
        <v>361</v>
      </c>
    </row>
    <row r="364" spans="5:17" x14ac:dyDescent="0.15">
      <c r="E364" s="6"/>
      <c r="H364" s="21">
        <v>362</v>
      </c>
      <c r="Q364" s="21">
        <v>362</v>
      </c>
    </row>
    <row r="365" spans="5:17" x14ac:dyDescent="0.15">
      <c r="E365" s="6"/>
      <c r="H365" s="21">
        <v>363</v>
      </c>
      <c r="Q365" s="21">
        <v>363</v>
      </c>
    </row>
    <row r="366" spans="5:17" x14ac:dyDescent="0.15">
      <c r="E366" s="6"/>
      <c r="H366" s="21">
        <v>364</v>
      </c>
      <c r="Q366" s="21">
        <v>364</v>
      </c>
    </row>
    <row r="367" spans="5:17" x14ac:dyDescent="0.15">
      <c r="E367" s="6"/>
      <c r="H367" s="21">
        <v>365</v>
      </c>
      <c r="Q367" s="21">
        <v>365</v>
      </c>
    </row>
    <row r="368" spans="5:17" x14ac:dyDescent="0.15">
      <c r="E368" s="6"/>
      <c r="H368" s="21">
        <v>366</v>
      </c>
      <c r="Q368" s="21">
        <v>366</v>
      </c>
    </row>
    <row r="369" spans="5:17" x14ac:dyDescent="0.15">
      <c r="E369" s="6"/>
      <c r="H369" s="21">
        <v>367</v>
      </c>
      <c r="Q369" s="21">
        <v>367</v>
      </c>
    </row>
    <row r="370" spans="5:17" x14ac:dyDescent="0.15">
      <c r="E370" s="6"/>
      <c r="H370" s="21">
        <v>368</v>
      </c>
      <c r="Q370" s="21">
        <v>368</v>
      </c>
    </row>
    <row r="371" spans="5:17" x14ac:dyDescent="0.15">
      <c r="E371" s="6"/>
      <c r="H371" s="21">
        <v>369</v>
      </c>
      <c r="Q371" s="21">
        <v>369</v>
      </c>
    </row>
    <row r="372" spans="5:17" x14ac:dyDescent="0.15">
      <c r="E372" s="6"/>
      <c r="H372" s="21">
        <v>370</v>
      </c>
      <c r="Q372" s="21">
        <v>370</v>
      </c>
    </row>
    <row r="373" spans="5:17" x14ac:dyDescent="0.15">
      <c r="E373" s="6"/>
      <c r="H373" s="21">
        <v>371</v>
      </c>
      <c r="Q373" s="21">
        <v>371</v>
      </c>
    </row>
    <row r="374" spans="5:17" x14ac:dyDescent="0.15">
      <c r="E374" s="6"/>
      <c r="H374" s="21">
        <v>372</v>
      </c>
      <c r="Q374" s="21">
        <v>372</v>
      </c>
    </row>
    <row r="375" spans="5:17" x14ac:dyDescent="0.15">
      <c r="E375" s="6"/>
      <c r="H375" s="21">
        <v>373</v>
      </c>
      <c r="Q375" s="21">
        <v>373</v>
      </c>
    </row>
    <row r="376" spans="5:17" x14ac:dyDescent="0.15">
      <c r="E376" s="6"/>
      <c r="H376" s="21">
        <v>374</v>
      </c>
      <c r="Q376" s="21">
        <v>374</v>
      </c>
    </row>
    <row r="377" spans="5:17" x14ac:dyDescent="0.15">
      <c r="E377" s="6"/>
      <c r="H377" s="21">
        <v>375</v>
      </c>
      <c r="Q377" s="21">
        <v>375</v>
      </c>
    </row>
    <row r="378" spans="5:17" x14ac:dyDescent="0.15">
      <c r="E378" s="6"/>
      <c r="H378" s="21">
        <v>376</v>
      </c>
      <c r="Q378" s="21">
        <v>376</v>
      </c>
    </row>
    <row r="379" spans="5:17" x14ac:dyDescent="0.15">
      <c r="E379" s="6"/>
      <c r="H379" s="21">
        <v>377</v>
      </c>
      <c r="Q379" s="21">
        <v>377</v>
      </c>
    </row>
    <row r="380" spans="5:17" x14ac:dyDescent="0.15">
      <c r="E380" s="6"/>
      <c r="H380" s="21">
        <v>378</v>
      </c>
      <c r="Q380" s="21">
        <v>378</v>
      </c>
    </row>
    <row r="381" spans="5:17" x14ac:dyDescent="0.15">
      <c r="E381" s="6"/>
      <c r="H381" s="21">
        <v>379</v>
      </c>
      <c r="Q381" s="21">
        <v>379</v>
      </c>
    </row>
    <row r="382" spans="5:17" x14ac:dyDescent="0.15">
      <c r="E382" s="6"/>
      <c r="H382" s="21">
        <v>380</v>
      </c>
      <c r="Q382" s="21">
        <v>380</v>
      </c>
    </row>
    <row r="383" spans="5:17" x14ac:dyDescent="0.15">
      <c r="E383" s="6"/>
      <c r="H383" s="21">
        <v>381</v>
      </c>
      <c r="Q383" s="21">
        <v>381</v>
      </c>
    </row>
    <row r="384" spans="5:17" x14ac:dyDescent="0.15">
      <c r="E384" s="6"/>
      <c r="H384" s="21">
        <v>382</v>
      </c>
      <c r="Q384" s="21">
        <v>382</v>
      </c>
    </row>
    <row r="385" spans="5:17" x14ac:dyDescent="0.15">
      <c r="E385" s="6"/>
      <c r="H385" s="21">
        <v>383</v>
      </c>
      <c r="Q385" s="21">
        <v>383</v>
      </c>
    </row>
    <row r="386" spans="5:17" x14ac:dyDescent="0.15">
      <c r="E386" s="6"/>
      <c r="H386" s="21">
        <v>384</v>
      </c>
      <c r="Q386" s="21">
        <v>384</v>
      </c>
    </row>
    <row r="387" spans="5:17" x14ac:dyDescent="0.15">
      <c r="E387" s="6"/>
      <c r="H387" s="21">
        <v>385</v>
      </c>
      <c r="Q387" s="21">
        <v>385</v>
      </c>
    </row>
    <row r="388" spans="5:17" x14ac:dyDescent="0.15">
      <c r="E388" s="6"/>
      <c r="H388" s="21">
        <v>386</v>
      </c>
      <c r="Q388" s="21">
        <v>386</v>
      </c>
    </row>
    <row r="389" spans="5:17" x14ac:dyDescent="0.15">
      <c r="E389" s="6"/>
      <c r="H389" s="21">
        <v>387</v>
      </c>
      <c r="Q389" s="21">
        <v>387</v>
      </c>
    </row>
    <row r="390" spans="5:17" x14ac:dyDescent="0.15">
      <c r="E390" s="6"/>
      <c r="H390" s="21">
        <v>388</v>
      </c>
      <c r="Q390" s="21">
        <v>388</v>
      </c>
    </row>
    <row r="391" spans="5:17" x14ac:dyDescent="0.15">
      <c r="E391" s="6"/>
      <c r="H391" s="21">
        <v>389</v>
      </c>
      <c r="Q391" s="21">
        <v>389</v>
      </c>
    </row>
    <row r="392" spans="5:17" x14ac:dyDescent="0.15">
      <c r="E392" s="6"/>
      <c r="H392" s="21">
        <v>390</v>
      </c>
      <c r="Q392" s="21">
        <v>390</v>
      </c>
    </row>
    <row r="393" spans="5:17" x14ac:dyDescent="0.15">
      <c r="E393" s="6"/>
      <c r="H393" s="21">
        <v>391</v>
      </c>
      <c r="Q393" s="21">
        <v>391</v>
      </c>
    </row>
    <row r="394" spans="5:17" x14ac:dyDescent="0.15">
      <c r="E394" s="6"/>
      <c r="H394" s="21">
        <v>392</v>
      </c>
      <c r="Q394" s="21">
        <v>392</v>
      </c>
    </row>
    <row r="395" spans="5:17" x14ac:dyDescent="0.15">
      <c r="E395" s="6"/>
      <c r="H395" s="21">
        <v>393</v>
      </c>
      <c r="Q395" s="21">
        <v>393</v>
      </c>
    </row>
    <row r="396" spans="5:17" x14ac:dyDescent="0.15">
      <c r="E396" s="6"/>
      <c r="H396" s="21">
        <v>394</v>
      </c>
      <c r="Q396" s="21">
        <v>394</v>
      </c>
    </row>
    <row r="397" spans="5:17" x14ac:dyDescent="0.15">
      <c r="E397" s="6"/>
      <c r="H397" s="21">
        <v>395</v>
      </c>
      <c r="Q397" s="21">
        <v>395</v>
      </c>
    </row>
    <row r="398" spans="5:17" x14ac:dyDescent="0.15">
      <c r="E398" s="6"/>
      <c r="H398" s="21">
        <v>396</v>
      </c>
      <c r="Q398" s="21">
        <v>396</v>
      </c>
    </row>
    <row r="399" spans="5:17" x14ac:dyDescent="0.15">
      <c r="E399" s="6"/>
      <c r="H399" s="21">
        <v>397</v>
      </c>
      <c r="Q399" s="21">
        <v>397</v>
      </c>
    </row>
    <row r="400" spans="5:17" x14ac:dyDescent="0.15">
      <c r="E400" s="6"/>
      <c r="H400" s="21">
        <v>398</v>
      </c>
      <c r="Q400" s="21">
        <v>398</v>
      </c>
    </row>
    <row r="401" spans="5:17" x14ac:dyDescent="0.15">
      <c r="E401" s="6"/>
      <c r="H401" s="21">
        <v>399</v>
      </c>
      <c r="Q401" s="21">
        <v>399</v>
      </c>
    </row>
    <row r="402" spans="5:17" x14ac:dyDescent="0.15">
      <c r="E402" s="6"/>
      <c r="H402" s="21">
        <v>400</v>
      </c>
      <c r="Q402" s="21">
        <v>400</v>
      </c>
    </row>
    <row r="403" spans="5:17" x14ac:dyDescent="0.15">
      <c r="E403" s="6"/>
      <c r="H403" s="21">
        <v>401</v>
      </c>
      <c r="Q403" s="21">
        <v>401</v>
      </c>
    </row>
    <row r="404" spans="5:17" x14ac:dyDescent="0.15">
      <c r="E404" s="6"/>
      <c r="H404" s="21">
        <v>402</v>
      </c>
      <c r="Q404" s="21">
        <v>402</v>
      </c>
    </row>
    <row r="405" spans="5:17" x14ac:dyDescent="0.15">
      <c r="E405" s="6"/>
      <c r="H405" s="21">
        <v>403</v>
      </c>
      <c r="Q405" s="21">
        <v>403</v>
      </c>
    </row>
    <row r="406" spans="5:17" x14ac:dyDescent="0.15">
      <c r="E406" s="6"/>
      <c r="H406" s="21">
        <v>404</v>
      </c>
      <c r="Q406" s="21">
        <v>404</v>
      </c>
    </row>
    <row r="407" spans="5:17" x14ac:dyDescent="0.15">
      <c r="E407" s="6"/>
      <c r="H407" s="21">
        <v>405</v>
      </c>
      <c r="Q407" s="21">
        <v>405</v>
      </c>
    </row>
    <row r="408" spans="5:17" x14ac:dyDescent="0.15">
      <c r="E408" s="6"/>
      <c r="H408" s="21">
        <v>406</v>
      </c>
      <c r="Q408" s="21">
        <v>406</v>
      </c>
    </row>
    <row r="409" spans="5:17" x14ac:dyDescent="0.15">
      <c r="E409" s="6"/>
      <c r="H409" s="21">
        <v>407</v>
      </c>
      <c r="Q409" s="21">
        <v>407</v>
      </c>
    </row>
    <row r="410" spans="5:17" x14ac:dyDescent="0.15">
      <c r="E410" s="6"/>
      <c r="H410" s="21">
        <v>408</v>
      </c>
      <c r="Q410" s="21">
        <v>408</v>
      </c>
    </row>
    <row r="411" spans="5:17" x14ac:dyDescent="0.15">
      <c r="E411" s="6"/>
      <c r="H411" s="21">
        <v>409</v>
      </c>
      <c r="Q411" s="21">
        <v>409</v>
      </c>
    </row>
    <row r="412" spans="5:17" x14ac:dyDescent="0.15">
      <c r="E412" s="6"/>
      <c r="H412" s="21">
        <v>410</v>
      </c>
      <c r="Q412" s="21">
        <v>410</v>
      </c>
    </row>
    <row r="413" spans="5:17" x14ac:dyDescent="0.15">
      <c r="E413" s="6"/>
      <c r="H413" s="21">
        <v>411</v>
      </c>
      <c r="Q413" s="21">
        <v>411</v>
      </c>
    </row>
    <row r="414" spans="5:17" x14ac:dyDescent="0.15">
      <c r="E414" s="6"/>
      <c r="H414" s="21">
        <v>412</v>
      </c>
      <c r="Q414" s="21">
        <v>412</v>
      </c>
    </row>
    <row r="415" spans="5:17" x14ac:dyDescent="0.15">
      <c r="E415" s="6"/>
      <c r="H415" s="21">
        <v>413</v>
      </c>
      <c r="Q415" s="21">
        <v>413</v>
      </c>
    </row>
    <row r="416" spans="5:17" x14ac:dyDescent="0.15">
      <c r="E416" s="6"/>
      <c r="H416" s="21">
        <v>414</v>
      </c>
      <c r="Q416" s="21">
        <v>414</v>
      </c>
    </row>
    <row r="417" spans="5:17" x14ac:dyDescent="0.15">
      <c r="E417" s="6"/>
      <c r="H417" s="21">
        <v>415</v>
      </c>
      <c r="Q417" s="21">
        <v>415</v>
      </c>
    </row>
    <row r="418" spans="5:17" x14ac:dyDescent="0.15">
      <c r="E418" s="6"/>
      <c r="H418" s="21">
        <v>416</v>
      </c>
      <c r="Q418" s="21">
        <v>416</v>
      </c>
    </row>
    <row r="419" spans="5:17" x14ac:dyDescent="0.15">
      <c r="E419" s="6"/>
      <c r="H419" s="21">
        <v>417</v>
      </c>
      <c r="Q419" s="21">
        <v>417</v>
      </c>
    </row>
    <row r="420" spans="5:17" x14ac:dyDescent="0.15">
      <c r="E420" s="6"/>
      <c r="H420" s="21">
        <v>418</v>
      </c>
      <c r="Q420" s="21">
        <v>418</v>
      </c>
    </row>
    <row r="421" spans="5:17" x14ac:dyDescent="0.15">
      <c r="E421" s="6"/>
      <c r="H421" s="21">
        <v>419</v>
      </c>
      <c r="Q421" s="21">
        <v>419</v>
      </c>
    </row>
    <row r="422" spans="5:17" x14ac:dyDescent="0.15">
      <c r="E422" s="6"/>
      <c r="H422" s="21">
        <v>420</v>
      </c>
      <c r="Q422" s="21">
        <v>420</v>
      </c>
    </row>
    <row r="423" spans="5:17" x14ac:dyDescent="0.15">
      <c r="E423" s="6"/>
      <c r="H423" s="21">
        <v>421</v>
      </c>
      <c r="Q423" s="21">
        <v>421</v>
      </c>
    </row>
    <row r="424" spans="5:17" x14ac:dyDescent="0.15">
      <c r="E424" s="6"/>
      <c r="H424" s="21">
        <v>422</v>
      </c>
      <c r="Q424" s="21">
        <v>422</v>
      </c>
    </row>
    <row r="425" spans="5:17" x14ac:dyDescent="0.15">
      <c r="E425" s="6"/>
      <c r="H425" s="21">
        <v>423</v>
      </c>
      <c r="Q425" s="21">
        <v>423</v>
      </c>
    </row>
    <row r="426" spans="5:17" x14ac:dyDescent="0.15">
      <c r="E426" s="6"/>
      <c r="H426" s="21">
        <v>424</v>
      </c>
      <c r="Q426" s="21">
        <v>424</v>
      </c>
    </row>
    <row r="427" spans="5:17" x14ac:dyDescent="0.15">
      <c r="E427" s="6"/>
      <c r="H427" s="21">
        <v>425</v>
      </c>
      <c r="Q427" s="21">
        <v>425</v>
      </c>
    </row>
    <row r="428" spans="5:17" x14ac:dyDescent="0.15">
      <c r="E428" s="6"/>
      <c r="H428" s="21">
        <v>426</v>
      </c>
      <c r="Q428" s="21">
        <v>426</v>
      </c>
    </row>
    <row r="429" spans="5:17" x14ac:dyDescent="0.15">
      <c r="E429" s="6"/>
      <c r="H429" s="21">
        <v>427</v>
      </c>
      <c r="Q429" s="21">
        <v>427</v>
      </c>
    </row>
    <row r="430" spans="5:17" x14ac:dyDescent="0.15">
      <c r="E430" s="6"/>
      <c r="H430" s="21">
        <v>428</v>
      </c>
      <c r="Q430" s="21">
        <v>428</v>
      </c>
    </row>
    <row r="431" spans="5:17" x14ac:dyDescent="0.15">
      <c r="E431" s="6"/>
      <c r="H431" s="21">
        <v>429</v>
      </c>
      <c r="Q431" s="21">
        <v>429</v>
      </c>
    </row>
    <row r="432" spans="5:17" x14ac:dyDescent="0.15">
      <c r="E432" s="6"/>
      <c r="H432" s="21">
        <v>430</v>
      </c>
      <c r="Q432" s="21">
        <v>430</v>
      </c>
    </row>
    <row r="433" spans="5:17" x14ac:dyDescent="0.15">
      <c r="E433" s="6"/>
      <c r="H433" s="21">
        <v>431</v>
      </c>
      <c r="Q433" s="21">
        <v>431</v>
      </c>
    </row>
    <row r="434" spans="5:17" x14ac:dyDescent="0.15">
      <c r="E434" s="6"/>
      <c r="H434" s="21">
        <v>432</v>
      </c>
      <c r="Q434" s="21">
        <v>432</v>
      </c>
    </row>
    <row r="435" spans="5:17" x14ac:dyDescent="0.15">
      <c r="E435" s="6"/>
      <c r="H435" s="21">
        <v>433</v>
      </c>
      <c r="Q435" s="21">
        <v>433</v>
      </c>
    </row>
    <row r="436" spans="5:17" x14ac:dyDescent="0.15">
      <c r="E436" s="6"/>
      <c r="H436" s="21">
        <v>434</v>
      </c>
      <c r="Q436" s="21">
        <v>434</v>
      </c>
    </row>
    <row r="437" spans="5:17" x14ac:dyDescent="0.15">
      <c r="E437" s="6"/>
      <c r="H437" s="21">
        <v>435</v>
      </c>
      <c r="Q437" s="21">
        <v>435</v>
      </c>
    </row>
    <row r="438" spans="5:17" x14ac:dyDescent="0.15">
      <c r="E438" s="6"/>
      <c r="H438" s="21">
        <v>436</v>
      </c>
      <c r="Q438" s="21">
        <v>436</v>
      </c>
    </row>
    <row r="439" spans="5:17" x14ac:dyDescent="0.15">
      <c r="E439" s="6"/>
      <c r="H439" s="21">
        <v>437</v>
      </c>
      <c r="Q439" s="21">
        <v>437</v>
      </c>
    </row>
    <row r="440" spans="5:17" x14ac:dyDescent="0.15">
      <c r="E440" s="6"/>
      <c r="H440" s="21">
        <v>438</v>
      </c>
      <c r="Q440" s="21">
        <v>438</v>
      </c>
    </row>
    <row r="441" spans="5:17" x14ac:dyDescent="0.15">
      <c r="E441" s="6"/>
      <c r="H441" s="21">
        <v>439</v>
      </c>
      <c r="Q441" s="21">
        <v>439</v>
      </c>
    </row>
    <row r="442" spans="5:17" x14ac:dyDescent="0.15">
      <c r="E442" s="6"/>
      <c r="H442" s="21">
        <v>440</v>
      </c>
      <c r="Q442" s="21">
        <v>440</v>
      </c>
    </row>
    <row r="443" spans="5:17" x14ac:dyDescent="0.15">
      <c r="E443" s="6"/>
      <c r="H443" s="21">
        <v>441</v>
      </c>
      <c r="Q443" s="21">
        <v>441</v>
      </c>
    </row>
    <row r="444" spans="5:17" x14ac:dyDescent="0.15">
      <c r="E444" s="6"/>
      <c r="H444" s="21">
        <v>442</v>
      </c>
      <c r="Q444" s="21">
        <v>442</v>
      </c>
    </row>
    <row r="445" spans="5:17" x14ac:dyDescent="0.15">
      <c r="E445" s="6"/>
      <c r="H445" s="21">
        <v>443</v>
      </c>
      <c r="Q445" s="21">
        <v>443</v>
      </c>
    </row>
    <row r="446" spans="5:17" x14ac:dyDescent="0.15">
      <c r="E446" s="6"/>
      <c r="H446" s="21">
        <v>444</v>
      </c>
      <c r="Q446" s="21">
        <v>444</v>
      </c>
    </row>
    <row r="447" spans="5:17" x14ac:dyDescent="0.15">
      <c r="E447" s="6"/>
      <c r="H447" s="21">
        <v>445</v>
      </c>
      <c r="Q447" s="21">
        <v>445</v>
      </c>
    </row>
    <row r="448" spans="5:17" x14ac:dyDescent="0.15">
      <c r="E448" s="6"/>
      <c r="H448" s="21">
        <v>446</v>
      </c>
      <c r="Q448" s="21">
        <v>446</v>
      </c>
    </row>
    <row r="449" spans="5:17" x14ac:dyDescent="0.15">
      <c r="E449" s="6"/>
      <c r="H449" s="21">
        <v>447</v>
      </c>
      <c r="Q449" s="21">
        <v>447</v>
      </c>
    </row>
    <row r="450" spans="5:17" x14ac:dyDescent="0.15">
      <c r="E450" s="6"/>
      <c r="H450" s="21">
        <v>448</v>
      </c>
      <c r="Q450" s="21">
        <v>448</v>
      </c>
    </row>
    <row r="451" spans="5:17" x14ac:dyDescent="0.15">
      <c r="E451" s="6"/>
      <c r="H451" s="21">
        <v>449</v>
      </c>
      <c r="Q451" s="21">
        <v>449</v>
      </c>
    </row>
    <row r="452" spans="5:17" x14ac:dyDescent="0.15">
      <c r="E452" s="6"/>
      <c r="H452" s="21">
        <v>450</v>
      </c>
      <c r="Q452" s="21">
        <v>450</v>
      </c>
    </row>
    <row r="453" spans="5:17" x14ac:dyDescent="0.15">
      <c r="E453" s="6"/>
      <c r="H453" s="21">
        <v>451</v>
      </c>
      <c r="Q453" s="21">
        <v>451</v>
      </c>
    </row>
    <row r="454" spans="5:17" x14ac:dyDescent="0.15">
      <c r="E454" s="6"/>
      <c r="H454" s="21">
        <v>452</v>
      </c>
      <c r="Q454" s="21">
        <v>452</v>
      </c>
    </row>
    <row r="455" spans="5:17" x14ac:dyDescent="0.15">
      <c r="E455" s="6"/>
      <c r="H455" s="21">
        <v>453</v>
      </c>
      <c r="Q455" s="21">
        <v>453</v>
      </c>
    </row>
    <row r="456" spans="5:17" x14ac:dyDescent="0.15">
      <c r="E456" s="6"/>
      <c r="H456" s="21">
        <v>454</v>
      </c>
      <c r="Q456" s="21">
        <v>454</v>
      </c>
    </row>
    <row r="457" spans="5:17" x14ac:dyDescent="0.15">
      <c r="E457" s="6"/>
      <c r="H457" s="21">
        <v>455</v>
      </c>
      <c r="Q457" s="21">
        <v>455</v>
      </c>
    </row>
    <row r="458" spans="5:17" x14ac:dyDescent="0.15">
      <c r="E458" s="6"/>
      <c r="H458" s="21">
        <v>456</v>
      </c>
      <c r="Q458" s="21">
        <v>456</v>
      </c>
    </row>
    <row r="459" spans="5:17" x14ac:dyDescent="0.15">
      <c r="E459" s="6"/>
      <c r="H459" s="21">
        <v>457</v>
      </c>
      <c r="Q459" s="21">
        <v>457</v>
      </c>
    </row>
    <row r="460" spans="5:17" x14ac:dyDescent="0.15">
      <c r="E460" s="6"/>
      <c r="H460" s="21">
        <v>458</v>
      </c>
      <c r="Q460" s="21">
        <v>458</v>
      </c>
    </row>
    <row r="461" spans="5:17" x14ac:dyDescent="0.15">
      <c r="E461" s="6"/>
      <c r="H461" s="21">
        <v>459</v>
      </c>
      <c r="Q461" s="21">
        <v>459</v>
      </c>
    </row>
    <row r="462" spans="5:17" x14ac:dyDescent="0.15">
      <c r="E462" s="6"/>
      <c r="H462" s="21">
        <v>460</v>
      </c>
      <c r="Q462" s="21">
        <v>460</v>
      </c>
    </row>
    <row r="463" spans="5:17" x14ac:dyDescent="0.15">
      <c r="E463" s="6"/>
      <c r="H463" s="21">
        <v>461</v>
      </c>
      <c r="Q463" s="21">
        <v>461</v>
      </c>
    </row>
    <row r="464" spans="5:17" x14ac:dyDescent="0.15">
      <c r="E464" s="6"/>
      <c r="H464" s="21">
        <v>462</v>
      </c>
      <c r="Q464" s="21">
        <v>462</v>
      </c>
    </row>
    <row r="465" spans="5:17" x14ac:dyDescent="0.15">
      <c r="E465" s="6"/>
      <c r="H465" s="21">
        <v>463</v>
      </c>
      <c r="Q465" s="21">
        <v>463</v>
      </c>
    </row>
    <row r="466" spans="5:17" x14ac:dyDescent="0.15">
      <c r="E466" s="6"/>
      <c r="H466" s="21">
        <v>464</v>
      </c>
      <c r="Q466" s="21">
        <v>464</v>
      </c>
    </row>
    <row r="467" spans="5:17" x14ac:dyDescent="0.15">
      <c r="E467" s="6"/>
      <c r="H467" s="21">
        <v>465</v>
      </c>
      <c r="Q467" s="21">
        <v>465</v>
      </c>
    </row>
    <row r="468" spans="5:17" x14ac:dyDescent="0.15">
      <c r="E468" s="6"/>
      <c r="H468" s="21">
        <v>466</v>
      </c>
      <c r="Q468" s="21">
        <v>466</v>
      </c>
    </row>
    <row r="469" spans="5:17" x14ac:dyDescent="0.15">
      <c r="E469" s="6"/>
      <c r="H469" s="21">
        <v>467</v>
      </c>
      <c r="Q469" s="21">
        <v>467</v>
      </c>
    </row>
    <row r="470" spans="5:17" x14ac:dyDescent="0.15">
      <c r="E470" s="6"/>
      <c r="H470" s="21">
        <v>468</v>
      </c>
      <c r="Q470" s="21">
        <v>468</v>
      </c>
    </row>
    <row r="471" spans="5:17" x14ac:dyDescent="0.15">
      <c r="E471" s="6"/>
      <c r="H471" s="21">
        <v>469</v>
      </c>
      <c r="Q471" s="21">
        <v>469</v>
      </c>
    </row>
    <row r="472" spans="5:17" x14ac:dyDescent="0.15">
      <c r="E472" s="6"/>
      <c r="H472" s="21">
        <v>470</v>
      </c>
      <c r="Q472" s="21">
        <v>470</v>
      </c>
    </row>
    <row r="473" spans="5:17" x14ac:dyDescent="0.15">
      <c r="E473" s="6"/>
      <c r="H473" s="21">
        <v>471</v>
      </c>
      <c r="Q473" s="21">
        <v>471</v>
      </c>
    </row>
    <row r="474" spans="5:17" x14ac:dyDescent="0.15">
      <c r="E474" s="6"/>
      <c r="H474" s="21">
        <v>472</v>
      </c>
      <c r="Q474" s="21">
        <v>472</v>
      </c>
    </row>
    <row r="475" spans="5:17" x14ac:dyDescent="0.15">
      <c r="E475" s="6"/>
      <c r="H475" s="21">
        <v>473</v>
      </c>
      <c r="Q475" s="21">
        <v>473</v>
      </c>
    </row>
    <row r="476" spans="5:17" x14ac:dyDescent="0.15">
      <c r="E476" s="6"/>
      <c r="H476" s="21">
        <v>474</v>
      </c>
      <c r="Q476" s="21">
        <v>474</v>
      </c>
    </row>
    <row r="477" spans="5:17" x14ac:dyDescent="0.15">
      <c r="E477" s="6"/>
      <c r="H477" s="21">
        <v>475</v>
      </c>
      <c r="Q477" s="21">
        <v>475</v>
      </c>
    </row>
    <row r="478" spans="5:17" x14ac:dyDescent="0.15">
      <c r="E478" s="6"/>
      <c r="H478" s="21">
        <v>476</v>
      </c>
      <c r="Q478" s="21">
        <v>476</v>
      </c>
    </row>
    <row r="479" spans="5:17" x14ac:dyDescent="0.15">
      <c r="E479" s="6"/>
      <c r="H479" s="21">
        <v>477</v>
      </c>
      <c r="Q479" s="21">
        <v>477</v>
      </c>
    </row>
    <row r="480" spans="5:17" x14ac:dyDescent="0.15">
      <c r="E480" s="6"/>
      <c r="H480" s="21">
        <v>478</v>
      </c>
      <c r="Q480" s="21">
        <v>478</v>
      </c>
    </row>
    <row r="481" spans="5:17" x14ac:dyDescent="0.15">
      <c r="E481" s="6"/>
      <c r="H481" s="21">
        <v>479</v>
      </c>
      <c r="Q481" s="21">
        <v>479</v>
      </c>
    </row>
    <row r="482" spans="5:17" x14ac:dyDescent="0.15">
      <c r="E482" s="6"/>
      <c r="H482" s="21">
        <v>480</v>
      </c>
      <c r="Q482" s="21">
        <v>480</v>
      </c>
    </row>
    <row r="483" spans="5:17" x14ac:dyDescent="0.15">
      <c r="E483" s="6"/>
      <c r="H483" s="21">
        <v>481</v>
      </c>
      <c r="Q483" s="21">
        <v>481</v>
      </c>
    </row>
    <row r="484" spans="5:17" x14ac:dyDescent="0.15">
      <c r="E484" s="6"/>
      <c r="H484" s="21">
        <v>482</v>
      </c>
      <c r="Q484" s="21">
        <v>482</v>
      </c>
    </row>
    <row r="485" spans="5:17" x14ac:dyDescent="0.15">
      <c r="E485" s="6"/>
      <c r="H485" s="21">
        <v>483</v>
      </c>
      <c r="Q485" s="21">
        <v>483</v>
      </c>
    </row>
    <row r="486" spans="5:17" x14ac:dyDescent="0.15">
      <c r="E486" s="6"/>
      <c r="H486" s="21">
        <v>484</v>
      </c>
      <c r="Q486" s="21">
        <v>484</v>
      </c>
    </row>
    <row r="487" spans="5:17" x14ac:dyDescent="0.15">
      <c r="E487" s="6"/>
      <c r="H487" s="21">
        <v>485</v>
      </c>
      <c r="Q487" s="21">
        <v>485</v>
      </c>
    </row>
    <row r="488" spans="5:17" x14ac:dyDescent="0.15">
      <c r="E488" s="6"/>
      <c r="H488" s="21">
        <v>486</v>
      </c>
      <c r="Q488" s="21">
        <v>486</v>
      </c>
    </row>
    <row r="489" spans="5:17" x14ac:dyDescent="0.15">
      <c r="E489" s="6"/>
      <c r="H489" s="21">
        <v>487</v>
      </c>
      <c r="Q489" s="21">
        <v>487</v>
      </c>
    </row>
    <row r="490" spans="5:17" x14ac:dyDescent="0.15">
      <c r="E490" s="6"/>
      <c r="H490" s="21">
        <v>488</v>
      </c>
      <c r="Q490" s="21">
        <v>488</v>
      </c>
    </row>
    <row r="491" spans="5:17" x14ac:dyDescent="0.15">
      <c r="E491" s="6"/>
      <c r="H491" s="21">
        <v>489</v>
      </c>
      <c r="Q491" s="21">
        <v>489</v>
      </c>
    </row>
    <row r="492" spans="5:17" x14ac:dyDescent="0.15">
      <c r="E492" s="6"/>
      <c r="H492" s="21">
        <v>490</v>
      </c>
      <c r="Q492" s="21">
        <v>490</v>
      </c>
    </row>
    <row r="493" spans="5:17" x14ac:dyDescent="0.15">
      <c r="E493" s="6"/>
      <c r="H493" s="21">
        <v>491</v>
      </c>
      <c r="Q493" s="21">
        <v>491</v>
      </c>
    </row>
    <row r="494" spans="5:17" x14ac:dyDescent="0.15">
      <c r="E494" s="6"/>
      <c r="H494" s="21">
        <v>492</v>
      </c>
      <c r="Q494" s="21">
        <v>492</v>
      </c>
    </row>
    <row r="495" spans="5:17" x14ac:dyDescent="0.15">
      <c r="E495" s="6"/>
      <c r="H495" s="21">
        <v>493</v>
      </c>
      <c r="Q495" s="21">
        <v>493</v>
      </c>
    </row>
    <row r="496" spans="5:17" x14ac:dyDescent="0.15">
      <c r="E496" s="6"/>
      <c r="H496" s="21">
        <v>494</v>
      </c>
      <c r="Q496" s="21">
        <v>494</v>
      </c>
    </row>
    <row r="497" spans="5:17" x14ac:dyDescent="0.15">
      <c r="E497" s="6"/>
      <c r="H497" s="21">
        <v>495</v>
      </c>
      <c r="Q497" s="21">
        <v>495</v>
      </c>
    </row>
    <row r="498" spans="5:17" x14ac:dyDescent="0.15">
      <c r="E498" s="6"/>
      <c r="H498" s="21">
        <v>496</v>
      </c>
      <c r="Q498" s="21">
        <v>496</v>
      </c>
    </row>
    <row r="499" spans="5:17" x14ac:dyDescent="0.15">
      <c r="E499" s="6"/>
      <c r="H499" s="21">
        <v>497</v>
      </c>
      <c r="Q499" s="21">
        <v>497</v>
      </c>
    </row>
    <row r="500" spans="5:17" x14ac:dyDescent="0.15">
      <c r="E500" s="6"/>
      <c r="H500" s="21">
        <v>498</v>
      </c>
      <c r="Q500" s="21">
        <v>498</v>
      </c>
    </row>
    <row r="501" spans="5:17" x14ac:dyDescent="0.15">
      <c r="E501" s="6"/>
      <c r="H501" s="21">
        <v>499</v>
      </c>
      <c r="Q501" s="21">
        <v>499</v>
      </c>
    </row>
    <row r="502" spans="5:17" x14ac:dyDescent="0.15">
      <c r="E502" s="6"/>
      <c r="H502" s="21">
        <v>500</v>
      </c>
      <c r="Q502" s="21">
        <v>500</v>
      </c>
    </row>
    <row r="503" spans="5:17" x14ac:dyDescent="0.15">
      <c r="E503" s="6"/>
      <c r="H503" s="21">
        <v>501</v>
      </c>
      <c r="Q503" s="21">
        <v>501</v>
      </c>
    </row>
    <row r="504" spans="5:17" x14ac:dyDescent="0.15">
      <c r="E504" s="6"/>
      <c r="H504" s="21">
        <v>502</v>
      </c>
      <c r="Q504" s="21">
        <v>502</v>
      </c>
    </row>
    <row r="505" spans="5:17" x14ac:dyDescent="0.15">
      <c r="E505" s="6"/>
      <c r="H505" s="21">
        <v>503</v>
      </c>
      <c r="Q505" s="21">
        <v>503</v>
      </c>
    </row>
    <row r="506" spans="5:17" x14ac:dyDescent="0.15">
      <c r="E506" s="6"/>
      <c r="H506" s="21">
        <v>504</v>
      </c>
      <c r="Q506" s="21">
        <v>504</v>
      </c>
    </row>
    <row r="507" spans="5:17" x14ac:dyDescent="0.15">
      <c r="E507" s="6"/>
      <c r="H507" s="21">
        <v>505</v>
      </c>
      <c r="Q507" s="21">
        <v>505</v>
      </c>
    </row>
    <row r="508" spans="5:17" x14ac:dyDescent="0.15">
      <c r="E508" s="6"/>
      <c r="H508" s="21">
        <v>506</v>
      </c>
      <c r="Q508" s="21">
        <v>506</v>
      </c>
    </row>
    <row r="509" spans="5:17" x14ac:dyDescent="0.15">
      <c r="E509" s="6"/>
      <c r="H509" s="21">
        <v>507</v>
      </c>
      <c r="Q509" s="21">
        <v>507</v>
      </c>
    </row>
    <row r="510" spans="5:17" x14ac:dyDescent="0.15">
      <c r="E510" s="6"/>
      <c r="H510" s="21">
        <v>508</v>
      </c>
      <c r="Q510" s="21">
        <v>508</v>
      </c>
    </row>
    <row r="511" spans="5:17" x14ac:dyDescent="0.15">
      <c r="E511" s="6"/>
      <c r="H511" s="21">
        <v>509</v>
      </c>
      <c r="Q511" s="21">
        <v>509</v>
      </c>
    </row>
    <row r="512" spans="5:17" x14ac:dyDescent="0.15">
      <c r="E512" s="6"/>
      <c r="H512" s="21">
        <v>510</v>
      </c>
      <c r="Q512" s="21">
        <v>510</v>
      </c>
    </row>
    <row r="513" spans="5:17" x14ac:dyDescent="0.15">
      <c r="E513" s="6"/>
      <c r="H513" s="21">
        <v>511</v>
      </c>
      <c r="Q513" s="21">
        <v>511</v>
      </c>
    </row>
    <row r="514" spans="5:17" x14ac:dyDescent="0.15">
      <c r="E514" s="6"/>
      <c r="H514" s="21">
        <v>512</v>
      </c>
      <c r="Q514" s="21">
        <v>512</v>
      </c>
    </row>
    <row r="515" spans="5:17" x14ac:dyDescent="0.15">
      <c r="E515" s="6"/>
      <c r="H515" s="21">
        <v>513</v>
      </c>
      <c r="Q515" s="21">
        <v>513</v>
      </c>
    </row>
    <row r="516" spans="5:17" x14ac:dyDescent="0.15">
      <c r="E516" s="6"/>
      <c r="H516" s="21">
        <v>514</v>
      </c>
      <c r="Q516" s="21">
        <v>514</v>
      </c>
    </row>
    <row r="517" spans="5:17" x14ac:dyDescent="0.15">
      <c r="E517" s="6"/>
      <c r="H517" s="21">
        <v>515</v>
      </c>
      <c r="Q517" s="21">
        <v>515</v>
      </c>
    </row>
    <row r="518" spans="5:17" x14ac:dyDescent="0.15">
      <c r="E518" s="6"/>
      <c r="H518" s="21">
        <v>516</v>
      </c>
      <c r="Q518" s="21">
        <v>516</v>
      </c>
    </row>
    <row r="519" spans="5:17" x14ac:dyDescent="0.15">
      <c r="E519" s="6"/>
      <c r="H519" s="21">
        <v>517</v>
      </c>
      <c r="Q519" s="21">
        <v>517</v>
      </c>
    </row>
    <row r="520" spans="5:17" x14ac:dyDescent="0.15">
      <c r="E520" s="6"/>
      <c r="H520" s="21">
        <v>518</v>
      </c>
      <c r="Q520" s="21">
        <v>518</v>
      </c>
    </row>
    <row r="521" spans="5:17" x14ac:dyDescent="0.15">
      <c r="E521" s="6"/>
      <c r="H521" s="21">
        <v>519</v>
      </c>
      <c r="Q521" s="21">
        <v>519</v>
      </c>
    </row>
    <row r="522" spans="5:17" x14ac:dyDescent="0.15">
      <c r="E522" s="6"/>
      <c r="H522" s="21">
        <v>520</v>
      </c>
      <c r="Q522" s="21">
        <v>520</v>
      </c>
    </row>
    <row r="523" spans="5:17" x14ac:dyDescent="0.15">
      <c r="E523" s="6"/>
      <c r="H523" s="21">
        <v>521</v>
      </c>
      <c r="Q523" s="21">
        <v>521</v>
      </c>
    </row>
    <row r="524" spans="5:17" x14ac:dyDescent="0.15">
      <c r="E524" s="6"/>
      <c r="H524" s="21">
        <v>522</v>
      </c>
      <c r="Q524" s="21">
        <v>522</v>
      </c>
    </row>
    <row r="525" spans="5:17" x14ac:dyDescent="0.15">
      <c r="E525" s="6"/>
      <c r="H525" s="21">
        <v>523</v>
      </c>
      <c r="Q525" s="21">
        <v>523</v>
      </c>
    </row>
    <row r="526" spans="5:17" x14ac:dyDescent="0.15">
      <c r="E526" s="6"/>
      <c r="H526" s="21">
        <v>524</v>
      </c>
      <c r="Q526" s="21">
        <v>524</v>
      </c>
    </row>
    <row r="527" spans="5:17" x14ac:dyDescent="0.15">
      <c r="E527" s="6"/>
      <c r="H527" s="21">
        <v>525</v>
      </c>
      <c r="Q527" s="21">
        <v>525</v>
      </c>
    </row>
    <row r="528" spans="5:17" x14ac:dyDescent="0.15">
      <c r="E528" s="6"/>
      <c r="H528" s="21">
        <v>526</v>
      </c>
      <c r="Q528" s="21">
        <v>526</v>
      </c>
    </row>
    <row r="529" spans="5:17" x14ac:dyDescent="0.15">
      <c r="E529" s="6"/>
      <c r="H529" s="21">
        <v>527</v>
      </c>
      <c r="Q529" s="21">
        <v>527</v>
      </c>
    </row>
    <row r="530" spans="5:17" x14ac:dyDescent="0.15">
      <c r="E530" s="6"/>
      <c r="H530" s="21">
        <v>528</v>
      </c>
      <c r="Q530" s="21">
        <v>528</v>
      </c>
    </row>
    <row r="531" spans="5:17" x14ac:dyDescent="0.15">
      <c r="E531" s="6"/>
      <c r="H531" s="21">
        <v>529</v>
      </c>
      <c r="Q531" s="21">
        <v>529</v>
      </c>
    </row>
    <row r="532" spans="5:17" x14ac:dyDescent="0.15">
      <c r="E532" s="6"/>
      <c r="H532" s="21">
        <v>530</v>
      </c>
      <c r="Q532" s="21">
        <v>530</v>
      </c>
    </row>
    <row r="533" spans="5:17" x14ac:dyDescent="0.15">
      <c r="E533" s="6"/>
      <c r="H533" s="21">
        <v>531</v>
      </c>
      <c r="Q533" s="21">
        <v>531</v>
      </c>
    </row>
    <row r="534" spans="5:17" x14ac:dyDescent="0.15">
      <c r="E534" s="6"/>
      <c r="H534" s="21">
        <v>532</v>
      </c>
      <c r="Q534" s="21">
        <v>532</v>
      </c>
    </row>
    <row r="535" spans="5:17" x14ac:dyDescent="0.15">
      <c r="E535" s="6"/>
      <c r="H535" s="21">
        <v>533</v>
      </c>
      <c r="Q535" s="21">
        <v>533</v>
      </c>
    </row>
    <row r="536" spans="5:17" x14ac:dyDescent="0.15">
      <c r="E536" s="6"/>
      <c r="H536" s="21">
        <v>534</v>
      </c>
      <c r="Q536" s="21">
        <v>534</v>
      </c>
    </row>
    <row r="537" spans="5:17" x14ac:dyDescent="0.15">
      <c r="E537" s="6"/>
      <c r="H537" s="21">
        <v>535</v>
      </c>
      <c r="Q537" s="21">
        <v>535</v>
      </c>
    </row>
    <row r="538" spans="5:17" x14ac:dyDescent="0.15">
      <c r="E538" s="6"/>
      <c r="H538" s="21">
        <v>536</v>
      </c>
      <c r="Q538" s="21">
        <v>536</v>
      </c>
    </row>
    <row r="539" spans="5:17" x14ac:dyDescent="0.15">
      <c r="E539" s="6"/>
      <c r="H539" s="21">
        <v>537</v>
      </c>
      <c r="Q539" s="21">
        <v>537</v>
      </c>
    </row>
    <row r="540" spans="5:17" x14ac:dyDescent="0.15">
      <c r="E540" s="6"/>
      <c r="H540" s="21">
        <v>538</v>
      </c>
      <c r="Q540" s="21">
        <v>538</v>
      </c>
    </row>
    <row r="541" spans="5:17" x14ac:dyDescent="0.15">
      <c r="E541" s="6"/>
      <c r="H541" s="21">
        <v>539</v>
      </c>
      <c r="Q541" s="21">
        <v>539</v>
      </c>
    </row>
    <row r="542" spans="5:17" x14ac:dyDescent="0.15">
      <c r="E542" s="6"/>
      <c r="H542" s="21">
        <v>540</v>
      </c>
      <c r="Q542" s="21">
        <v>540</v>
      </c>
    </row>
    <row r="543" spans="5:17" x14ac:dyDescent="0.15">
      <c r="E543" s="6"/>
      <c r="H543" s="21">
        <v>541</v>
      </c>
      <c r="Q543" s="21">
        <v>541</v>
      </c>
    </row>
    <row r="544" spans="5:17" x14ac:dyDescent="0.15">
      <c r="E544" s="6"/>
      <c r="H544" s="21">
        <v>542</v>
      </c>
      <c r="Q544" s="21">
        <v>542</v>
      </c>
    </row>
    <row r="545" spans="5:17" x14ac:dyDescent="0.15">
      <c r="E545" s="6"/>
      <c r="H545" s="21">
        <v>543</v>
      </c>
      <c r="Q545" s="21">
        <v>543</v>
      </c>
    </row>
    <row r="546" spans="5:17" x14ac:dyDescent="0.15">
      <c r="E546" s="6"/>
      <c r="H546" s="21">
        <v>544</v>
      </c>
      <c r="Q546" s="21">
        <v>544</v>
      </c>
    </row>
    <row r="547" spans="5:17" x14ac:dyDescent="0.15">
      <c r="E547" s="6"/>
      <c r="H547" s="21">
        <v>545</v>
      </c>
      <c r="Q547" s="21">
        <v>545</v>
      </c>
    </row>
    <row r="548" spans="5:17" x14ac:dyDescent="0.15">
      <c r="E548" s="6"/>
      <c r="H548" s="21">
        <v>546</v>
      </c>
      <c r="Q548" s="21">
        <v>546</v>
      </c>
    </row>
    <row r="549" spans="5:17" x14ac:dyDescent="0.15">
      <c r="E549" s="6"/>
      <c r="H549" s="21">
        <v>547</v>
      </c>
      <c r="Q549" s="21">
        <v>547</v>
      </c>
    </row>
    <row r="550" spans="5:17" x14ac:dyDescent="0.15">
      <c r="E550" s="6"/>
      <c r="H550" s="21">
        <v>548</v>
      </c>
      <c r="Q550" s="21">
        <v>548</v>
      </c>
    </row>
    <row r="551" spans="5:17" x14ac:dyDescent="0.15">
      <c r="E551" s="6"/>
      <c r="H551" s="21">
        <v>549</v>
      </c>
      <c r="Q551" s="21">
        <v>549</v>
      </c>
    </row>
    <row r="552" spans="5:17" x14ac:dyDescent="0.15">
      <c r="E552" s="6"/>
      <c r="H552" s="21">
        <v>550</v>
      </c>
      <c r="Q552" s="21">
        <v>550</v>
      </c>
    </row>
    <row r="553" spans="5:17" x14ac:dyDescent="0.15">
      <c r="E553" s="6"/>
      <c r="H553" s="21">
        <v>551</v>
      </c>
      <c r="Q553" s="21">
        <v>551</v>
      </c>
    </row>
    <row r="554" spans="5:17" x14ac:dyDescent="0.15">
      <c r="E554" s="6"/>
      <c r="H554" s="21">
        <v>552</v>
      </c>
      <c r="Q554" s="21">
        <v>552</v>
      </c>
    </row>
    <row r="555" spans="5:17" x14ac:dyDescent="0.15">
      <c r="E555" s="6"/>
      <c r="H555" s="21">
        <v>553</v>
      </c>
      <c r="Q555" s="21">
        <v>553</v>
      </c>
    </row>
    <row r="556" spans="5:17" x14ac:dyDescent="0.15">
      <c r="E556" s="6"/>
      <c r="H556" s="21">
        <v>554</v>
      </c>
      <c r="Q556" s="21">
        <v>554</v>
      </c>
    </row>
    <row r="557" spans="5:17" x14ac:dyDescent="0.15">
      <c r="E557" s="6"/>
      <c r="H557" s="21">
        <v>555</v>
      </c>
      <c r="Q557" s="21">
        <v>555</v>
      </c>
    </row>
    <row r="558" spans="5:17" x14ac:dyDescent="0.15">
      <c r="E558" s="6"/>
      <c r="H558" s="21">
        <v>556</v>
      </c>
      <c r="Q558" s="21">
        <v>556</v>
      </c>
    </row>
    <row r="559" spans="5:17" x14ac:dyDescent="0.15">
      <c r="E559" s="6"/>
      <c r="H559" s="21">
        <v>557</v>
      </c>
      <c r="Q559" s="21">
        <v>557</v>
      </c>
    </row>
    <row r="560" spans="5:17" x14ac:dyDescent="0.15">
      <c r="E560" s="6"/>
      <c r="H560" s="21">
        <v>558</v>
      </c>
      <c r="Q560" s="21">
        <v>558</v>
      </c>
    </row>
    <row r="561" spans="5:17" x14ac:dyDescent="0.15">
      <c r="E561" s="6"/>
      <c r="H561" s="21">
        <v>559</v>
      </c>
      <c r="Q561" s="21">
        <v>559</v>
      </c>
    </row>
    <row r="562" spans="5:17" x14ac:dyDescent="0.15">
      <c r="E562" s="6"/>
      <c r="H562" s="21">
        <v>560</v>
      </c>
      <c r="Q562" s="21">
        <v>560</v>
      </c>
    </row>
    <row r="563" spans="5:17" x14ac:dyDescent="0.15">
      <c r="E563" s="6"/>
      <c r="H563" s="21">
        <v>561</v>
      </c>
      <c r="Q563" s="21">
        <v>561</v>
      </c>
    </row>
    <row r="564" spans="5:17" x14ac:dyDescent="0.15">
      <c r="E564" s="6"/>
      <c r="H564" s="21">
        <v>562</v>
      </c>
      <c r="Q564" s="21">
        <v>562</v>
      </c>
    </row>
    <row r="565" spans="5:17" x14ac:dyDescent="0.15">
      <c r="E565" s="6"/>
      <c r="H565" s="21">
        <v>563</v>
      </c>
      <c r="Q565" s="21">
        <v>563</v>
      </c>
    </row>
    <row r="566" spans="5:17" x14ac:dyDescent="0.15">
      <c r="E566" s="6"/>
      <c r="H566" s="21">
        <v>564</v>
      </c>
      <c r="Q566" s="21">
        <v>564</v>
      </c>
    </row>
    <row r="567" spans="5:17" x14ac:dyDescent="0.15">
      <c r="E567" s="6"/>
      <c r="H567" s="21">
        <v>565</v>
      </c>
      <c r="Q567" s="21">
        <v>565</v>
      </c>
    </row>
    <row r="568" spans="5:17" x14ac:dyDescent="0.15">
      <c r="E568" s="6"/>
      <c r="H568" s="21">
        <v>566</v>
      </c>
      <c r="Q568" s="21">
        <v>566</v>
      </c>
    </row>
    <row r="569" spans="5:17" x14ac:dyDescent="0.15">
      <c r="E569" s="6"/>
      <c r="H569" s="21">
        <v>567</v>
      </c>
      <c r="Q569" s="21">
        <v>567</v>
      </c>
    </row>
    <row r="570" spans="5:17" x14ac:dyDescent="0.15">
      <c r="E570" s="6"/>
      <c r="H570" s="21">
        <v>568</v>
      </c>
      <c r="Q570" s="21">
        <v>568</v>
      </c>
    </row>
    <row r="571" spans="5:17" x14ac:dyDescent="0.15">
      <c r="E571" s="6"/>
      <c r="H571" s="21">
        <v>569</v>
      </c>
      <c r="Q571" s="21">
        <v>569</v>
      </c>
    </row>
    <row r="572" spans="5:17" x14ac:dyDescent="0.15">
      <c r="E572" s="6"/>
      <c r="H572" s="21">
        <v>570</v>
      </c>
      <c r="Q572" s="21">
        <v>570</v>
      </c>
    </row>
    <row r="573" spans="5:17" x14ac:dyDescent="0.15">
      <c r="E573" s="6"/>
      <c r="H573" s="21">
        <v>571</v>
      </c>
      <c r="Q573" s="21">
        <v>571</v>
      </c>
    </row>
    <row r="574" spans="5:17" x14ac:dyDescent="0.15">
      <c r="E574" s="6"/>
      <c r="H574" s="21">
        <v>572</v>
      </c>
      <c r="Q574" s="21">
        <v>572</v>
      </c>
    </row>
    <row r="575" spans="5:17" x14ac:dyDescent="0.15">
      <c r="E575" s="6"/>
      <c r="H575" s="21">
        <v>573</v>
      </c>
      <c r="Q575" s="21">
        <v>573</v>
      </c>
    </row>
    <row r="576" spans="5:17" x14ac:dyDescent="0.15">
      <c r="E576" s="6"/>
      <c r="H576" s="21">
        <v>574</v>
      </c>
      <c r="Q576" s="21">
        <v>574</v>
      </c>
    </row>
    <row r="577" spans="5:17" x14ac:dyDescent="0.15">
      <c r="E577" s="6"/>
      <c r="H577" s="21">
        <v>575</v>
      </c>
      <c r="Q577" s="21">
        <v>575</v>
      </c>
    </row>
    <row r="578" spans="5:17" x14ac:dyDescent="0.15">
      <c r="E578" s="6"/>
      <c r="H578" s="21">
        <v>576</v>
      </c>
      <c r="Q578" s="21">
        <v>576</v>
      </c>
    </row>
    <row r="579" spans="5:17" x14ac:dyDescent="0.15">
      <c r="E579" s="6"/>
      <c r="H579" s="21">
        <v>577</v>
      </c>
      <c r="Q579" s="21">
        <v>577</v>
      </c>
    </row>
    <row r="580" spans="5:17" x14ac:dyDescent="0.15">
      <c r="E580" s="6"/>
      <c r="H580" s="21">
        <v>578</v>
      </c>
      <c r="Q580" s="21">
        <v>578</v>
      </c>
    </row>
    <row r="581" spans="5:17" x14ac:dyDescent="0.15">
      <c r="E581" s="6"/>
      <c r="H581" s="21">
        <v>579</v>
      </c>
      <c r="Q581" s="21">
        <v>579</v>
      </c>
    </row>
    <row r="582" spans="5:17" x14ac:dyDescent="0.15">
      <c r="E582" s="6"/>
      <c r="H582" s="21">
        <v>580</v>
      </c>
      <c r="Q582" s="21">
        <v>580</v>
      </c>
    </row>
    <row r="583" spans="5:17" x14ac:dyDescent="0.15">
      <c r="E583" s="6"/>
      <c r="H583" s="21">
        <v>581</v>
      </c>
      <c r="Q583" s="21">
        <v>581</v>
      </c>
    </row>
    <row r="584" spans="5:17" x14ac:dyDescent="0.15">
      <c r="E584" s="6"/>
      <c r="H584" s="21">
        <v>582</v>
      </c>
      <c r="Q584" s="21">
        <v>582</v>
      </c>
    </row>
    <row r="585" spans="5:17" x14ac:dyDescent="0.15">
      <c r="E585" s="6"/>
      <c r="H585" s="21">
        <v>583</v>
      </c>
      <c r="Q585" s="21">
        <v>583</v>
      </c>
    </row>
    <row r="586" spans="5:17" x14ac:dyDescent="0.15">
      <c r="E586" s="6"/>
      <c r="H586" s="21">
        <v>584</v>
      </c>
      <c r="Q586" s="21">
        <v>584</v>
      </c>
    </row>
    <row r="587" spans="5:17" x14ac:dyDescent="0.15">
      <c r="E587" s="6"/>
      <c r="H587" s="21">
        <v>585</v>
      </c>
      <c r="Q587" s="21">
        <v>585</v>
      </c>
    </row>
    <row r="588" spans="5:17" x14ac:dyDescent="0.15">
      <c r="E588" s="6"/>
      <c r="H588" s="21">
        <v>586</v>
      </c>
      <c r="Q588" s="21">
        <v>586</v>
      </c>
    </row>
    <row r="589" spans="5:17" x14ac:dyDescent="0.15">
      <c r="E589" s="6"/>
      <c r="H589" s="21">
        <v>587</v>
      </c>
      <c r="Q589" s="21">
        <v>587</v>
      </c>
    </row>
    <row r="590" spans="5:17" x14ac:dyDescent="0.15">
      <c r="E590" s="6"/>
      <c r="H590" s="21">
        <v>588</v>
      </c>
      <c r="Q590" s="21">
        <v>588</v>
      </c>
    </row>
    <row r="591" spans="5:17" x14ac:dyDescent="0.15">
      <c r="E591" s="6"/>
      <c r="H591" s="21">
        <v>589</v>
      </c>
      <c r="Q591" s="21">
        <v>589</v>
      </c>
    </row>
    <row r="592" spans="5:17" x14ac:dyDescent="0.15">
      <c r="E592" s="6"/>
      <c r="H592" s="21">
        <v>590</v>
      </c>
      <c r="Q592" s="21">
        <v>590</v>
      </c>
    </row>
    <row r="593" spans="5:17" x14ac:dyDescent="0.15">
      <c r="E593" s="6"/>
      <c r="H593" s="21">
        <v>591</v>
      </c>
      <c r="Q593" s="21">
        <v>591</v>
      </c>
    </row>
    <row r="594" spans="5:17" x14ac:dyDescent="0.15">
      <c r="E594" s="6"/>
      <c r="H594" s="21">
        <v>592</v>
      </c>
      <c r="Q594" s="21">
        <v>592</v>
      </c>
    </row>
    <row r="595" spans="5:17" x14ac:dyDescent="0.15">
      <c r="E595" s="6"/>
      <c r="H595" s="21">
        <v>593</v>
      </c>
      <c r="Q595" s="21">
        <v>593</v>
      </c>
    </row>
    <row r="596" spans="5:17" x14ac:dyDescent="0.15">
      <c r="E596" s="6"/>
      <c r="H596" s="21">
        <v>594</v>
      </c>
      <c r="Q596" s="21">
        <v>594</v>
      </c>
    </row>
    <row r="597" spans="5:17" x14ac:dyDescent="0.15">
      <c r="E597" s="6"/>
      <c r="H597" s="21">
        <v>595</v>
      </c>
      <c r="Q597" s="21">
        <v>595</v>
      </c>
    </row>
    <row r="598" spans="5:17" x14ac:dyDescent="0.15">
      <c r="E598" s="6"/>
      <c r="H598" s="21">
        <v>596</v>
      </c>
      <c r="Q598" s="21">
        <v>596</v>
      </c>
    </row>
    <row r="599" spans="5:17" x14ac:dyDescent="0.15">
      <c r="E599" s="6"/>
      <c r="H599" s="21">
        <v>597</v>
      </c>
      <c r="Q599" s="21">
        <v>597</v>
      </c>
    </row>
    <row r="600" spans="5:17" x14ac:dyDescent="0.15">
      <c r="E600" s="6"/>
      <c r="H600" s="21">
        <v>598</v>
      </c>
      <c r="Q600" s="21">
        <v>598</v>
      </c>
    </row>
    <row r="601" spans="5:17" x14ac:dyDescent="0.15">
      <c r="E601" s="6"/>
      <c r="H601" s="21">
        <v>599</v>
      </c>
      <c r="Q601" s="21">
        <v>599</v>
      </c>
    </row>
    <row r="602" spans="5:17" x14ac:dyDescent="0.15">
      <c r="E602" s="6"/>
      <c r="H602" s="21">
        <v>600</v>
      </c>
      <c r="Q602" s="21">
        <v>600</v>
      </c>
    </row>
    <row r="603" spans="5:17" x14ac:dyDescent="0.15">
      <c r="E603" s="6"/>
      <c r="H603" s="21">
        <v>601</v>
      </c>
      <c r="Q603" s="21">
        <v>601</v>
      </c>
    </row>
    <row r="604" spans="5:17" x14ac:dyDescent="0.15">
      <c r="E604" s="6"/>
      <c r="H604" s="21">
        <v>602</v>
      </c>
      <c r="Q604" s="21">
        <v>602</v>
      </c>
    </row>
    <row r="605" spans="5:17" x14ac:dyDescent="0.15">
      <c r="E605" s="6"/>
      <c r="H605" s="21">
        <v>603</v>
      </c>
      <c r="Q605" s="21">
        <v>603</v>
      </c>
    </row>
    <row r="606" spans="5:17" x14ac:dyDescent="0.15">
      <c r="E606" s="6"/>
      <c r="H606" s="21">
        <v>604</v>
      </c>
      <c r="Q606" s="21">
        <v>604</v>
      </c>
    </row>
    <row r="607" spans="5:17" x14ac:dyDescent="0.15">
      <c r="E607" s="6"/>
      <c r="H607" s="21">
        <v>605</v>
      </c>
      <c r="Q607" s="21">
        <v>605</v>
      </c>
    </row>
    <row r="608" spans="5:17" x14ac:dyDescent="0.15">
      <c r="E608" s="6"/>
      <c r="H608" s="21">
        <v>606</v>
      </c>
      <c r="Q608" s="21">
        <v>606</v>
      </c>
    </row>
    <row r="609" spans="5:17" x14ac:dyDescent="0.15">
      <c r="E609" s="6"/>
      <c r="H609" s="21">
        <v>607</v>
      </c>
      <c r="Q609" s="21">
        <v>607</v>
      </c>
    </row>
    <row r="610" spans="5:17" x14ac:dyDescent="0.15">
      <c r="E610" s="6"/>
      <c r="H610" s="21">
        <v>608</v>
      </c>
      <c r="Q610" s="21">
        <v>608</v>
      </c>
    </row>
    <row r="611" spans="5:17" x14ac:dyDescent="0.15">
      <c r="E611" s="6"/>
      <c r="H611" s="21">
        <v>609</v>
      </c>
      <c r="Q611" s="21">
        <v>609</v>
      </c>
    </row>
    <row r="612" spans="5:17" x14ac:dyDescent="0.15">
      <c r="E612" s="6"/>
      <c r="H612" s="21">
        <v>610</v>
      </c>
      <c r="Q612" s="21">
        <v>610</v>
      </c>
    </row>
    <row r="613" spans="5:17" x14ac:dyDescent="0.15">
      <c r="E613" s="6"/>
      <c r="H613" s="21">
        <v>611</v>
      </c>
      <c r="Q613" s="21">
        <v>611</v>
      </c>
    </row>
    <row r="614" spans="5:17" x14ac:dyDescent="0.15">
      <c r="E614" s="6"/>
      <c r="H614" s="21">
        <v>612</v>
      </c>
      <c r="Q614" s="21">
        <v>612</v>
      </c>
    </row>
    <row r="615" spans="5:17" x14ac:dyDescent="0.15">
      <c r="E615" s="6"/>
      <c r="H615" s="21">
        <v>613</v>
      </c>
      <c r="Q615" s="21">
        <v>613</v>
      </c>
    </row>
    <row r="616" spans="5:17" x14ac:dyDescent="0.15">
      <c r="E616" s="6"/>
      <c r="H616" s="21">
        <v>614</v>
      </c>
      <c r="Q616" s="21">
        <v>614</v>
      </c>
    </row>
    <row r="617" spans="5:17" x14ac:dyDescent="0.15">
      <c r="E617" s="6"/>
      <c r="H617" s="21">
        <v>615</v>
      </c>
      <c r="Q617" s="21">
        <v>615</v>
      </c>
    </row>
    <row r="618" spans="5:17" x14ac:dyDescent="0.15">
      <c r="E618" s="6"/>
      <c r="H618" s="21">
        <v>616</v>
      </c>
      <c r="Q618" s="21">
        <v>616</v>
      </c>
    </row>
    <row r="619" spans="5:17" x14ac:dyDescent="0.15">
      <c r="E619" s="6"/>
      <c r="H619" s="21">
        <v>617</v>
      </c>
      <c r="Q619" s="21">
        <v>617</v>
      </c>
    </row>
    <row r="620" spans="5:17" x14ac:dyDescent="0.15">
      <c r="E620" s="6"/>
      <c r="H620" s="21">
        <v>618</v>
      </c>
      <c r="Q620" s="21">
        <v>618</v>
      </c>
    </row>
    <row r="621" spans="5:17" x14ac:dyDescent="0.15">
      <c r="E621" s="6"/>
      <c r="H621" s="21">
        <v>619</v>
      </c>
      <c r="Q621" s="21">
        <v>619</v>
      </c>
    </row>
    <row r="622" spans="5:17" x14ac:dyDescent="0.15">
      <c r="E622" s="6"/>
      <c r="H622" s="21">
        <v>620</v>
      </c>
      <c r="Q622" s="21">
        <v>620</v>
      </c>
    </row>
    <row r="623" spans="5:17" x14ac:dyDescent="0.15">
      <c r="E623" s="6"/>
      <c r="H623" s="21">
        <v>621</v>
      </c>
      <c r="Q623" s="21">
        <v>621</v>
      </c>
    </row>
    <row r="624" spans="5:17" x14ac:dyDescent="0.15">
      <c r="E624" s="6"/>
      <c r="H624" s="21">
        <v>622</v>
      </c>
      <c r="Q624" s="21">
        <v>622</v>
      </c>
    </row>
    <row r="625" spans="5:17" x14ac:dyDescent="0.15">
      <c r="E625" s="6"/>
      <c r="H625" s="21">
        <v>623</v>
      </c>
      <c r="Q625" s="21">
        <v>623</v>
      </c>
    </row>
    <row r="626" spans="5:17" x14ac:dyDescent="0.15">
      <c r="E626" s="6"/>
      <c r="H626" s="21">
        <v>624</v>
      </c>
      <c r="Q626" s="21">
        <v>624</v>
      </c>
    </row>
    <row r="627" spans="5:17" x14ac:dyDescent="0.15">
      <c r="E627" s="6"/>
      <c r="H627" s="21">
        <v>625</v>
      </c>
      <c r="Q627" s="21">
        <v>625</v>
      </c>
    </row>
    <row r="628" spans="5:17" x14ac:dyDescent="0.15">
      <c r="E628" s="6"/>
      <c r="H628" s="21">
        <v>626</v>
      </c>
      <c r="Q628" s="21">
        <v>626</v>
      </c>
    </row>
    <row r="629" spans="5:17" x14ac:dyDescent="0.15">
      <c r="E629" s="6"/>
      <c r="H629" s="21">
        <v>627</v>
      </c>
      <c r="Q629" s="21">
        <v>627</v>
      </c>
    </row>
    <row r="630" spans="5:17" x14ac:dyDescent="0.15">
      <c r="E630" s="6"/>
      <c r="H630" s="21">
        <v>628</v>
      </c>
      <c r="Q630" s="21">
        <v>628</v>
      </c>
    </row>
    <row r="631" spans="5:17" x14ac:dyDescent="0.15">
      <c r="E631" s="6"/>
      <c r="H631" s="21">
        <v>629</v>
      </c>
      <c r="Q631" s="21">
        <v>629</v>
      </c>
    </row>
    <row r="632" spans="5:17" x14ac:dyDescent="0.15">
      <c r="E632" s="6"/>
      <c r="H632" s="21">
        <v>630</v>
      </c>
      <c r="Q632" s="21">
        <v>630</v>
      </c>
    </row>
    <row r="633" spans="5:17" x14ac:dyDescent="0.15">
      <c r="E633" s="6"/>
      <c r="H633" s="21">
        <v>631</v>
      </c>
      <c r="Q633" s="21">
        <v>631</v>
      </c>
    </row>
    <row r="634" spans="5:17" x14ac:dyDescent="0.15">
      <c r="E634" s="6"/>
      <c r="H634" s="21">
        <v>632</v>
      </c>
      <c r="Q634" s="21">
        <v>632</v>
      </c>
    </row>
    <row r="635" spans="5:17" x14ac:dyDescent="0.15">
      <c r="E635" s="6"/>
      <c r="H635" s="21">
        <v>633</v>
      </c>
      <c r="Q635" s="21">
        <v>633</v>
      </c>
    </row>
    <row r="636" spans="5:17" x14ac:dyDescent="0.15">
      <c r="E636" s="6"/>
      <c r="H636" s="21">
        <v>634</v>
      </c>
      <c r="Q636" s="21">
        <v>634</v>
      </c>
    </row>
    <row r="637" spans="5:17" x14ac:dyDescent="0.15">
      <c r="E637" s="6"/>
      <c r="H637" s="21">
        <v>635</v>
      </c>
      <c r="Q637" s="21">
        <v>635</v>
      </c>
    </row>
    <row r="638" spans="5:17" x14ac:dyDescent="0.15">
      <c r="E638" s="6"/>
      <c r="H638" s="21">
        <v>636</v>
      </c>
      <c r="Q638" s="21">
        <v>636</v>
      </c>
    </row>
    <row r="639" spans="5:17" x14ac:dyDescent="0.15">
      <c r="E639" s="6"/>
      <c r="H639" s="21">
        <v>637</v>
      </c>
      <c r="Q639" s="21">
        <v>637</v>
      </c>
    </row>
    <row r="640" spans="5:17" x14ac:dyDescent="0.15">
      <c r="E640" s="6"/>
      <c r="H640" s="21">
        <v>638</v>
      </c>
      <c r="Q640" s="21">
        <v>638</v>
      </c>
    </row>
    <row r="641" spans="5:17" x14ac:dyDescent="0.15">
      <c r="E641" s="6"/>
      <c r="H641" s="21">
        <v>639</v>
      </c>
      <c r="Q641" s="21">
        <v>639</v>
      </c>
    </row>
    <row r="642" spans="5:17" x14ac:dyDescent="0.15">
      <c r="E642" s="6"/>
      <c r="H642" s="21">
        <v>640</v>
      </c>
      <c r="Q642" s="21">
        <v>640</v>
      </c>
    </row>
    <row r="643" spans="5:17" x14ac:dyDescent="0.15">
      <c r="E643" s="6"/>
      <c r="H643" s="21">
        <v>641</v>
      </c>
      <c r="Q643" s="21">
        <v>641</v>
      </c>
    </row>
    <row r="644" spans="5:17" x14ac:dyDescent="0.15">
      <c r="E644" s="6"/>
      <c r="H644" s="21">
        <v>642</v>
      </c>
      <c r="Q644" s="21">
        <v>642</v>
      </c>
    </row>
    <row r="645" spans="5:17" x14ac:dyDescent="0.15">
      <c r="E645" s="6"/>
      <c r="H645" s="21">
        <v>643</v>
      </c>
      <c r="Q645" s="21">
        <v>643</v>
      </c>
    </row>
    <row r="646" spans="5:17" x14ac:dyDescent="0.15">
      <c r="E646" s="6"/>
      <c r="H646" s="21">
        <v>644</v>
      </c>
      <c r="Q646" s="21">
        <v>644</v>
      </c>
    </row>
    <row r="647" spans="5:17" x14ac:dyDescent="0.15">
      <c r="E647" s="6"/>
      <c r="H647" s="21">
        <v>645</v>
      </c>
      <c r="Q647" s="21">
        <v>645</v>
      </c>
    </row>
    <row r="648" spans="5:17" x14ac:dyDescent="0.15">
      <c r="E648" s="6"/>
      <c r="H648" s="21">
        <v>646</v>
      </c>
      <c r="Q648" s="21">
        <v>646</v>
      </c>
    </row>
    <row r="649" spans="5:17" x14ac:dyDescent="0.15">
      <c r="E649" s="6"/>
      <c r="H649" s="21">
        <v>647</v>
      </c>
      <c r="Q649" s="21">
        <v>647</v>
      </c>
    </row>
    <row r="650" spans="5:17" x14ac:dyDescent="0.15">
      <c r="E650" s="6"/>
      <c r="H650" s="21">
        <v>648</v>
      </c>
      <c r="Q650" s="21">
        <v>648</v>
      </c>
    </row>
    <row r="651" spans="5:17" x14ac:dyDescent="0.15">
      <c r="E651" s="6"/>
      <c r="H651" s="21">
        <v>649</v>
      </c>
      <c r="Q651" s="21">
        <v>649</v>
      </c>
    </row>
    <row r="652" spans="5:17" x14ac:dyDescent="0.15">
      <c r="E652" s="6"/>
      <c r="H652" s="21">
        <v>650</v>
      </c>
      <c r="Q652" s="21">
        <v>650</v>
      </c>
    </row>
    <row r="653" spans="5:17" x14ac:dyDescent="0.15">
      <c r="E653" s="6"/>
      <c r="H653" s="21">
        <v>651</v>
      </c>
      <c r="Q653" s="21">
        <v>651</v>
      </c>
    </row>
    <row r="654" spans="5:17" x14ac:dyDescent="0.15">
      <c r="E654" s="6"/>
      <c r="H654" s="21">
        <v>652</v>
      </c>
      <c r="Q654" s="21">
        <v>652</v>
      </c>
    </row>
    <row r="655" spans="5:17" x14ac:dyDescent="0.15">
      <c r="E655" s="6"/>
      <c r="H655" s="21">
        <v>653</v>
      </c>
      <c r="Q655" s="21">
        <v>653</v>
      </c>
    </row>
    <row r="656" spans="5:17" x14ac:dyDescent="0.15">
      <c r="E656" s="6"/>
      <c r="H656" s="21">
        <v>654</v>
      </c>
      <c r="Q656" s="21">
        <v>654</v>
      </c>
    </row>
    <row r="657" spans="5:17" x14ac:dyDescent="0.15">
      <c r="E657" s="6"/>
      <c r="H657" s="21">
        <v>655</v>
      </c>
      <c r="Q657" s="21">
        <v>655</v>
      </c>
    </row>
    <row r="658" spans="5:17" x14ac:dyDescent="0.15">
      <c r="E658" s="6"/>
      <c r="H658" s="21">
        <v>656</v>
      </c>
      <c r="Q658" s="21">
        <v>656</v>
      </c>
    </row>
    <row r="659" spans="5:17" x14ac:dyDescent="0.15">
      <c r="E659" s="6"/>
      <c r="H659" s="21">
        <v>657</v>
      </c>
      <c r="Q659" s="21">
        <v>657</v>
      </c>
    </row>
    <row r="660" spans="5:17" x14ac:dyDescent="0.15">
      <c r="E660" s="6"/>
      <c r="H660" s="21">
        <v>658</v>
      </c>
      <c r="Q660" s="21">
        <v>658</v>
      </c>
    </row>
    <row r="661" spans="5:17" x14ac:dyDescent="0.15">
      <c r="E661" s="6"/>
      <c r="H661" s="21">
        <v>659</v>
      </c>
      <c r="Q661" s="21">
        <v>659</v>
      </c>
    </row>
    <row r="662" spans="5:17" x14ac:dyDescent="0.15">
      <c r="E662" s="6"/>
      <c r="H662" s="21">
        <v>660</v>
      </c>
      <c r="Q662" s="21">
        <v>660</v>
      </c>
    </row>
    <row r="663" spans="5:17" x14ac:dyDescent="0.15">
      <c r="E663" s="6"/>
      <c r="H663" s="21">
        <v>661</v>
      </c>
      <c r="Q663" s="21">
        <v>661</v>
      </c>
    </row>
    <row r="664" spans="5:17" x14ac:dyDescent="0.15">
      <c r="E664" s="6"/>
      <c r="H664" s="21">
        <v>662</v>
      </c>
      <c r="Q664" s="21">
        <v>662</v>
      </c>
    </row>
    <row r="665" spans="5:17" x14ac:dyDescent="0.15">
      <c r="E665" s="6"/>
      <c r="H665" s="21">
        <v>663</v>
      </c>
      <c r="Q665" s="21">
        <v>663</v>
      </c>
    </row>
    <row r="666" spans="5:17" x14ac:dyDescent="0.15">
      <c r="E666" s="6"/>
      <c r="H666" s="21">
        <v>664</v>
      </c>
      <c r="Q666" s="21">
        <v>664</v>
      </c>
    </row>
    <row r="667" spans="5:17" x14ac:dyDescent="0.15">
      <c r="E667" s="6"/>
      <c r="H667" s="21">
        <v>665</v>
      </c>
      <c r="Q667" s="21">
        <v>665</v>
      </c>
    </row>
    <row r="668" spans="5:17" x14ac:dyDescent="0.15">
      <c r="E668" s="6"/>
      <c r="H668" s="21">
        <v>666</v>
      </c>
      <c r="Q668" s="21">
        <v>666</v>
      </c>
    </row>
    <row r="669" spans="5:17" x14ac:dyDescent="0.15">
      <c r="E669" s="6"/>
      <c r="H669" s="21">
        <v>667</v>
      </c>
      <c r="Q669" s="21">
        <v>667</v>
      </c>
    </row>
    <row r="670" spans="5:17" x14ac:dyDescent="0.15">
      <c r="E670" s="6"/>
      <c r="H670" s="21">
        <v>668</v>
      </c>
      <c r="Q670" s="21">
        <v>668</v>
      </c>
    </row>
    <row r="671" spans="5:17" x14ac:dyDescent="0.15">
      <c r="E671" s="6"/>
      <c r="H671" s="21">
        <v>669</v>
      </c>
      <c r="Q671" s="21">
        <v>669</v>
      </c>
    </row>
    <row r="672" spans="5:17" x14ac:dyDescent="0.15">
      <c r="E672" s="6"/>
      <c r="H672" s="21">
        <v>670</v>
      </c>
      <c r="Q672" s="21">
        <v>670</v>
      </c>
    </row>
    <row r="673" spans="5:17" x14ac:dyDescent="0.15">
      <c r="E673" s="6"/>
      <c r="H673" s="21">
        <v>671</v>
      </c>
      <c r="Q673" s="21">
        <v>671</v>
      </c>
    </row>
    <row r="674" spans="5:17" x14ac:dyDescent="0.15">
      <c r="E674" s="6"/>
      <c r="H674" s="21">
        <v>672</v>
      </c>
      <c r="Q674" s="21">
        <v>672</v>
      </c>
    </row>
    <row r="675" spans="5:17" x14ac:dyDescent="0.15">
      <c r="E675" s="6"/>
      <c r="H675" s="21">
        <v>673</v>
      </c>
      <c r="Q675" s="21">
        <v>673</v>
      </c>
    </row>
    <row r="676" spans="5:17" x14ac:dyDescent="0.15">
      <c r="E676" s="6"/>
      <c r="H676" s="21">
        <v>674</v>
      </c>
      <c r="Q676" s="21">
        <v>674</v>
      </c>
    </row>
    <row r="677" spans="5:17" x14ac:dyDescent="0.15">
      <c r="E677" s="6"/>
      <c r="H677" s="21">
        <v>675</v>
      </c>
      <c r="Q677" s="21">
        <v>675</v>
      </c>
    </row>
    <row r="678" spans="5:17" x14ac:dyDescent="0.15">
      <c r="E678" s="6"/>
      <c r="H678" s="21">
        <v>676</v>
      </c>
      <c r="Q678" s="21">
        <v>676</v>
      </c>
    </row>
    <row r="679" spans="5:17" x14ac:dyDescent="0.15">
      <c r="E679" s="6"/>
      <c r="H679" s="21">
        <v>677</v>
      </c>
      <c r="Q679" s="21">
        <v>677</v>
      </c>
    </row>
    <row r="680" spans="5:17" x14ac:dyDescent="0.15">
      <c r="E680" s="6"/>
      <c r="H680" s="21">
        <v>678</v>
      </c>
      <c r="Q680" s="21">
        <v>678</v>
      </c>
    </row>
    <row r="681" spans="5:17" x14ac:dyDescent="0.15">
      <c r="E681" s="6"/>
      <c r="H681" s="21">
        <v>679</v>
      </c>
      <c r="Q681" s="21">
        <v>679</v>
      </c>
    </row>
    <row r="682" spans="5:17" x14ac:dyDescent="0.15">
      <c r="E682" s="6"/>
      <c r="H682" s="21">
        <v>680</v>
      </c>
      <c r="Q682" s="21">
        <v>680</v>
      </c>
    </row>
    <row r="683" spans="5:17" x14ac:dyDescent="0.15">
      <c r="E683" s="6"/>
      <c r="H683" s="21">
        <v>681</v>
      </c>
      <c r="Q683" s="21">
        <v>681</v>
      </c>
    </row>
    <row r="684" spans="5:17" x14ac:dyDescent="0.15">
      <c r="E684" s="6"/>
      <c r="H684" s="21">
        <v>682</v>
      </c>
      <c r="Q684" s="21">
        <v>682</v>
      </c>
    </row>
    <row r="685" spans="5:17" x14ac:dyDescent="0.15">
      <c r="E685" s="6"/>
      <c r="H685" s="21">
        <v>683</v>
      </c>
      <c r="Q685" s="21">
        <v>683</v>
      </c>
    </row>
    <row r="686" spans="5:17" x14ac:dyDescent="0.15">
      <c r="E686" s="6"/>
      <c r="H686" s="21">
        <v>684</v>
      </c>
      <c r="Q686" s="21">
        <v>684</v>
      </c>
    </row>
    <row r="687" spans="5:17" x14ac:dyDescent="0.15">
      <c r="E687" s="6"/>
      <c r="H687" s="21">
        <v>685</v>
      </c>
      <c r="Q687" s="21">
        <v>685</v>
      </c>
    </row>
    <row r="688" spans="5:17" x14ac:dyDescent="0.15">
      <c r="E688" s="6"/>
      <c r="H688" s="21">
        <v>686</v>
      </c>
      <c r="Q688" s="21">
        <v>686</v>
      </c>
    </row>
    <row r="689" spans="5:17" x14ac:dyDescent="0.15">
      <c r="E689" s="6"/>
      <c r="H689" s="21">
        <v>687</v>
      </c>
      <c r="Q689" s="21">
        <v>687</v>
      </c>
    </row>
    <row r="690" spans="5:17" x14ac:dyDescent="0.15">
      <c r="E690" s="6"/>
      <c r="H690" s="21">
        <v>688</v>
      </c>
      <c r="Q690" s="21">
        <v>688</v>
      </c>
    </row>
    <row r="691" spans="5:17" x14ac:dyDescent="0.15">
      <c r="E691" s="6"/>
      <c r="H691" s="21">
        <v>689</v>
      </c>
      <c r="Q691" s="21">
        <v>689</v>
      </c>
    </row>
    <row r="692" spans="5:17" x14ac:dyDescent="0.15">
      <c r="E692" s="6"/>
      <c r="H692" s="21">
        <v>690</v>
      </c>
      <c r="Q692" s="21">
        <v>690</v>
      </c>
    </row>
    <row r="693" spans="5:17" x14ac:dyDescent="0.15">
      <c r="E693" s="6"/>
      <c r="H693" s="21">
        <v>691</v>
      </c>
      <c r="Q693" s="21">
        <v>691</v>
      </c>
    </row>
    <row r="694" spans="5:17" x14ac:dyDescent="0.15">
      <c r="E694" s="6"/>
      <c r="H694" s="21">
        <v>692</v>
      </c>
      <c r="Q694" s="21">
        <v>692</v>
      </c>
    </row>
    <row r="695" spans="5:17" x14ac:dyDescent="0.15">
      <c r="E695" s="6"/>
      <c r="H695" s="21">
        <v>693</v>
      </c>
      <c r="Q695" s="21">
        <v>693</v>
      </c>
    </row>
    <row r="696" spans="5:17" x14ac:dyDescent="0.15">
      <c r="E696" s="6"/>
      <c r="H696" s="21">
        <v>694</v>
      </c>
      <c r="Q696" s="21">
        <v>694</v>
      </c>
    </row>
    <row r="697" spans="5:17" x14ac:dyDescent="0.15">
      <c r="E697" s="6"/>
      <c r="H697" s="21">
        <v>695</v>
      </c>
      <c r="Q697" s="21">
        <v>695</v>
      </c>
    </row>
    <row r="698" spans="5:17" x14ac:dyDescent="0.15">
      <c r="E698" s="6"/>
      <c r="H698" s="21">
        <v>696</v>
      </c>
      <c r="Q698" s="21">
        <v>696</v>
      </c>
    </row>
    <row r="699" spans="5:17" x14ac:dyDescent="0.15">
      <c r="E699" s="6"/>
      <c r="H699" s="21">
        <v>697</v>
      </c>
      <c r="Q699" s="21">
        <v>697</v>
      </c>
    </row>
    <row r="700" spans="5:17" x14ac:dyDescent="0.15">
      <c r="E700" s="6"/>
      <c r="H700" s="21">
        <v>698</v>
      </c>
      <c r="Q700" s="21">
        <v>698</v>
      </c>
    </row>
    <row r="701" spans="5:17" x14ac:dyDescent="0.15">
      <c r="E701" s="6"/>
      <c r="H701" s="21">
        <v>699</v>
      </c>
      <c r="Q701" s="21">
        <v>699</v>
      </c>
    </row>
    <row r="702" spans="5:17" x14ac:dyDescent="0.15">
      <c r="E702" s="6"/>
      <c r="H702" s="21">
        <v>700</v>
      </c>
      <c r="Q702" s="21">
        <v>700</v>
      </c>
    </row>
    <row r="703" spans="5:17" x14ac:dyDescent="0.15">
      <c r="E703" s="6"/>
      <c r="H703" s="21">
        <v>701</v>
      </c>
      <c r="Q703" s="21">
        <v>701</v>
      </c>
    </row>
    <row r="704" spans="5:17" x14ac:dyDescent="0.15">
      <c r="E704" s="6"/>
      <c r="H704" s="21">
        <v>702</v>
      </c>
      <c r="Q704" s="21">
        <v>702</v>
      </c>
    </row>
    <row r="705" spans="5:17" x14ac:dyDescent="0.15">
      <c r="E705" s="6"/>
      <c r="H705" s="21">
        <v>703</v>
      </c>
      <c r="Q705" s="21">
        <v>703</v>
      </c>
    </row>
    <row r="706" spans="5:17" x14ac:dyDescent="0.15">
      <c r="E706" s="6"/>
      <c r="H706" s="21">
        <v>704</v>
      </c>
      <c r="Q706" s="21">
        <v>704</v>
      </c>
    </row>
    <row r="707" spans="5:17" x14ac:dyDescent="0.15">
      <c r="E707" s="6"/>
      <c r="H707" s="21">
        <v>705</v>
      </c>
      <c r="Q707" s="21">
        <v>705</v>
      </c>
    </row>
    <row r="708" spans="5:17" x14ac:dyDescent="0.15">
      <c r="E708" s="6"/>
      <c r="H708" s="21">
        <v>706</v>
      </c>
      <c r="Q708" s="21">
        <v>706</v>
      </c>
    </row>
    <row r="709" spans="5:17" x14ac:dyDescent="0.15">
      <c r="E709" s="6"/>
      <c r="H709" s="21">
        <v>707</v>
      </c>
      <c r="Q709" s="21">
        <v>707</v>
      </c>
    </row>
    <row r="710" spans="5:17" x14ac:dyDescent="0.15">
      <c r="E710" s="6"/>
      <c r="H710" s="21">
        <v>708</v>
      </c>
      <c r="Q710" s="21">
        <v>708</v>
      </c>
    </row>
    <row r="711" spans="5:17" x14ac:dyDescent="0.15">
      <c r="E711" s="6"/>
      <c r="H711" s="21">
        <v>709</v>
      </c>
      <c r="Q711" s="21">
        <v>709</v>
      </c>
    </row>
    <row r="712" spans="5:17" x14ac:dyDescent="0.15">
      <c r="E712" s="6"/>
      <c r="H712" s="21">
        <v>710</v>
      </c>
      <c r="Q712" s="21">
        <v>710</v>
      </c>
    </row>
    <row r="713" spans="5:17" x14ac:dyDescent="0.15">
      <c r="E713" s="6"/>
      <c r="H713" s="21">
        <v>711</v>
      </c>
      <c r="Q713" s="21">
        <v>711</v>
      </c>
    </row>
    <row r="714" spans="5:17" x14ac:dyDescent="0.15">
      <c r="E714" s="6"/>
      <c r="H714" s="21">
        <v>712</v>
      </c>
      <c r="Q714" s="21">
        <v>712</v>
      </c>
    </row>
    <row r="715" spans="5:17" x14ac:dyDescent="0.15">
      <c r="E715" s="6"/>
      <c r="H715" s="21">
        <v>713</v>
      </c>
      <c r="Q715" s="21">
        <v>713</v>
      </c>
    </row>
    <row r="716" spans="5:17" x14ac:dyDescent="0.15">
      <c r="E716" s="6"/>
      <c r="H716" s="21">
        <v>714</v>
      </c>
      <c r="Q716" s="21">
        <v>714</v>
      </c>
    </row>
    <row r="717" spans="5:17" x14ac:dyDescent="0.15">
      <c r="E717" s="6"/>
      <c r="H717" s="21">
        <v>715</v>
      </c>
      <c r="Q717" s="21">
        <v>715</v>
      </c>
    </row>
    <row r="718" spans="5:17" x14ac:dyDescent="0.15">
      <c r="E718" s="6"/>
      <c r="H718" s="21">
        <v>716</v>
      </c>
      <c r="Q718" s="21">
        <v>716</v>
      </c>
    </row>
    <row r="719" spans="5:17" x14ac:dyDescent="0.15">
      <c r="E719" s="6"/>
      <c r="H719" s="21">
        <v>717</v>
      </c>
      <c r="Q719" s="21">
        <v>717</v>
      </c>
    </row>
    <row r="720" spans="5:17" x14ac:dyDescent="0.15">
      <c r="E720" s="6"/>
      <c r="H720" s="21">
        <v>718</v>
      </c>
      <c r="Q720" s="21">
        <v>718</v>
      </c>
    </row>
    <row r="721" spans="5:17" x14ac:dyDescent="0.15">
      <c r="E721" s="6"/>
      <c r="H721" s="21">
        <v>719</v>
      </c>
      <c r="Q721" s="21">
        <v>719</v>
      </c>
    </row>
    <row r="722" spans="5:17" x14ac:dyDescent="0.15">
      <c r="E722" s="6"/>
      <c r="H722" s="21">
        <v>720</v>
      </c>
      <c r="Q722" s="21">
        <v>720</v>
      </c>
    </row>
    <row r="723" spans="5:17" x14ac:dyDescent="0.15">
      <c r="E723" s="6"/>
      <c r="H723" s="21">
        <v>721</v>
      </c>
      <c r="Q723" s="21">
        <v>721</v>
      </c>
    </row>
    <row r="724" spans="5:17" x14ac:dyDescent="0.15">
      <c r="E724" s="6"/>
      <c r="H724" s="21">
        <v>722</v>
      </c>
      <c r="Q724" s="21">
        <v>722</v>
      </c>
    </row>
    <row r="725" spans="5:17" x14ac:dyDescent="0.15">
      <c r="E725" s="6"/>
      <c r="H725" s="21">
        <v>723</v>
      </c>
      <c r="Q725" s="21">
        <v>723</v>
      </c>
    </row>
    <row r="726" spans="5:17" x14ac:dyDescent="0.15">
      <c r="E726" s="6"/>
      <c r="H726" s="21">
        <v>724</v>
      </c>
      <c r="Q726" s="21">
        <v>724</v>
      </c>
    </row>
    <row r="727" spans="5:17" x14ac:dyDescent="0.15">
      <c r="E727" s="6"/>
      <c r="H727" s="21">
        <v>725</v>
      </c>
      <c r="Q727" s="21">
        <v>725</v>
      </c>
    </row>
    <row r="728" spans="5:17" x14ac:dyDescent="0.15">
      <c r="E728" s="6"/>
      <c r="H728" s="21">
        <v>726</v>
      </c>
      <c r="Q728" s="21">
        <v>726</v>
      </c>
    </row>
    <row r="729" spans="5:17" x14ac:dyDescent="0.15">
      <c r="E729" s="6"/>
      <c r="H729" s="21">
        <v>727</v>
      </c>
      <c r="Q729" s="21">
        <v>727</v>
      </c>
    </row>
    <row r="730" spans="5:17" x14ac:dyDescent="0.15">
      <c r="E730" s="6"/>
      <c r="H730" s="21">
        <v>728</v>
      </c>
      <c r="Q730" s="21">
        <v>728</v>
      </c>
    </row>
    <row r="731" spans="5:17" x14ac:dyDescent="0.15">
      <c r="E731" s="6"/>
      <c r="H731" s="21">
        <v>729</v>
      </c>
      <c r="Q731" s="21">
        <v>729</v>
      </c>
    </row>
    <row r="732" spans="5:17" x14ac:dyDescent="0.15">
      <c r="E732" s="6"/>
      <c r="H732" s="21">
        <v>730</v>
      </c>
      <c r="Q732" s="21">
        <v>730</v>
      </c>
    </row>
    <row r="733" spans="5:17" x14ac:dyDescent="0.15">
      <c r="E733" s="6"/>
      <c r="H733" s="21">
        <v>731</v>
      </c>
      <c r="Q733" s="21">
        <v>731</v>
      </c>
    </row>
    <row r="734" spans="5:17" x14ac:dyDescent="0.15">
      <c r="E734" s="6"/>
      <c r="H734" s="21">
        <v>732</v>
      </c>
      <c r="Q734" s="21">
        <v>732</v>
      </c>
    </row>
    <row r="735" spans="5:17" x14ac:dyDescent="0.15">
      <c r="E735" s="6"/>
      <c r="H735" s="21">
        <v>733</v>
      </c>
      <c r="Q735" s="21">
        <v>733</v>
      </c>
    </row>
    <row r="736" spans="5:17" x14ac:dyDescent="0.15">
      <c r="E736" s="6"/>
      <c r="H736" s="21">
        <v>734</v>
      </c>
      <c r="Q736" s="21">
        <v>734</v>
      </c>
    </row>
    <row r="737" spans="5:17" x14ac:dyDescent="0.15">
      <c r="E737" s="6"/>
      <c r="H737" s="21">
        <v>735</v>
      </c>
      <c r="Q737" s="21">
        <v>735</v>
      </c>
    </row>
    <row r="738" spans="5:17" x14ac:dyDescent="0.15">
      <c r="E738" s="6"/>
      <c r="H738" s="21">
        <v>736</v>
      </c>
      <c r="Q738" s="21">
        <v>736</v>
      </c>
    </row>
    <row r="739" spans="5:17" x14ac:dyDescent="0.15">
      <c r="E739" s="6"/>
      <c r="H739" s="21">
        <v>737</v>
      </c>
      <c r="Q739" s="21">
        <v>737</v>
      </c>
    </row>
    <row r="740" spans="5:17" x14ac:dyDescent="0.15">
      <c r="E740" s="6"/>
      <c r="H740" s="21">
        <v>738</v>
      </c>
      <c r="Q740" s="21">
        <v>738</v>
      </c>
    </row>
    <row r="741" spans="5:17" x14ac:dyDescent="0.15">
      <c r="E741" s="6"/>
      <c r="H741" s="21">
        <v>739</v>
      </c>
      <c r="Q741" s="21">
        <v>739</v>
      </c>
    </row>
    <row r="742" spans="5:17" x14ac:dyDescent="0.15">
      <c r="E742" s="6"/>
      <c r="H742" s="21">
        <v>740</v>
      </c>
      <c r="Q742" s="21">
        <v>740</v>
      </c>
    </row>
    <row r="743" spans="5:17" x14ac:dyDescent="0.15">
      <c r="E743" s="6"/>
      <c r="H743" s="21">
        <v>741</v>
      </c>
      <c r="Q743" s="21">
        <v>741</v>
      </c>
    </row>
    <row r="744" spans="5:17" x14ac:dyDescent="0.15">
      <c r="E744" s="6"/>
      <c r="H744" s="21">
        <v>742</v>
      </c>
      <c r="Q744" s="21">
        <v>742</v>
      </c>
    </row>
    <row r="745" spans="5:17" x14ac:dyDescent="0.15">
      <c r="E745" s="6"/>
      <c r="H745" s="21">
        <v>743</v>
      </c>
      <c r="Q745" s="21">
        <v>743</v>
      </c>
    </row>
    <row r="746" spans="5:17" x14ac:dyDescent="0.15">
      <c r="E746" s="6"/>
      <c r="H746" s="21">
        <v>744</v>
      </c>
      <c r="Q746" s="21">
        <v>744</v>
      </c>
    </row>
    <row r="747" spans="5:17" x14ac:dyDescent="0.15">
      <c r="E747" s="6"/>
      <c r="H747" s="21">
        <v>745</v>
      </c>
      <c r="Q747" s="21">
        <v>745</v>
      </c>
    </row>
    <row r="748" spans="5:17" x14ac:dyDescent="0.15">
      <c r="E748" s="6"/>
      <c r="H748" s="21">
        <v>746</v>
      </c>
      <c r="Q748" s="21">
        <v>746</v>
      </c>
    </row>
    <row r="749" spans="5:17" x14ac:dyDescent="0.15">
      <c r="E749" s="6"/>
      <c r="H749" s="21">
        <v>747</v>
      </c>
      <c r="Q749" s="21">
        <v>747</v>
      </c>
    </row>
    <row r="750" spans="5:17" x14ac:dyDescent="0.15">
      <c r="E750" s="6"/>
      <c r="H750" s="21">
        <v>748</v>
      </c>
      <c r="Q750" s="21">
        <v>748</v>
      </c>
    </row>
  </sheetData>
  <autoFilter ref="A2:U750"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665"/>
  <sheetViews>
    <sheetView workbookViewId="0">
      <pane ySplit="2" topLeftCell="A42" activePane="bottomLeft" state="frozen"/>
      <selection pane="bottomLeft" activeCell="G58" sqref="G58"/>
    </sheetView>
  </sheetViews>
  <sheetFormatPr defaultRowHeight="14.25" x14ac:dyDescent="0.15"/>
  <cols>
    <col min="1" max="1" width="13.75" bestFit="1" customWidth="1"/>
    <col min="2" max="2" width="17.25" bestFit="1" customWidth="1"/>
    <col min="3" max="3" width="13.75" bestFit="1" customWidth="1"/>
    <col min="5" max="5" width="4.5" style="12" bestFit="1" customWidth="1"/>
    <col min="6" max="6" width="13.75" bestFit="1" customWidth="1"/>
    <col min="7" max="7" width="18.375" bestFit="1" customWidth="1"/>
    <col min="8" max="8" width="13.75" bestFit="1" customWidth="1"/>
    <col min="9" max="9" width="20.625" bestFit="1" customWidth="1"/>
    <col min="10" max="10" width="11.75" bestFit="1" customWidth="1"/>
    <col min="11" max="11" width="13.75" bestFit="1" customWidth="1"/>
    <col min="12" max="12" width="28.5" bestFit="1" customWidth="1"/>
    <col min="13" max="13" width="19.375" bestFit="1" customWidth="1"/>
  </cols>
  <sheetData>
    <row r="1" spans="1:16" x14ac:dyDescent="0.15">
      <c r="A1" s="10" t="s">
        <v>436</v>
      </c>
      <c r="F1" s="10" t="s">
        <v>1109</v>
      </c>
    </row>
    <row r="2" spans="1:16" x14ac:dyDescent="0.15">
      <c r="A2" s="3" t="s">
        <v>147</v>
      </c>
      <c r="B2" s="3" t="s">
        <v>146</v>
      </c>
      <c r="C2" s="3" t="s">
        <v>434</v>
      </c>
      <c r="F2" s="3" t="s">
        <v>147</v>
      </c>
      <c r="G2" s="3" t="s">
        <v>146</v>
      </c>
      <c r="H2" s="3" t="s">
        <v>145</v>
      </c>
      <c r="I2" s="3" t="s">
        <v>144</v>
      </c>
      <c r="J2" s="3" t="s">
        <v>143</v>
      </c>
      <c r="K2" s="3" t="s">
        <v>142</v>
      </c>
      <c r="L2" s="3" t="s">
        <v>141</v>
      </c>
      <c r="M2" s="3" t="s">
        <v>140</v>
      </c>
    </row>
    <row r="3" spans="1:16" x14ac:dyDescent="0.15">
      <c r="A3">
        <v>501085</v>
      </c>
      <c r="B3" t="s">
        <v>375</v>
      </c>
      <c r="C3">
        <f t="shared" ref="C3:C21" si="0">MATCH(IF(A3&lt;499999,"SZ"&amp;A3,"SH"&amp;A3),$F$3:$F$665,0)</f>
        <v>57</v>
      </c>
      <c r="E3" s="12">
        <v>0</v>
      </c>
      <c r="F3" s="11" t="s">
        <v>611</v>
      </c>
      <c r="G3" t="s">
        <v>1232</v>
      </c>
      <c r="H3" t="s">
        <v>1233</v>
      </c>
      <c r="I3">
        <v>3.24</v>
      </c>
      <c r="J3">
        <v>-5.42</v>
      </c>
      <c r="K3">
        <v>189.45</v>
      </c>
      <c r="L3">
        <v>99.65</v>
      </c>
      <c r="M3">
        <v>89.8</v>
      </c>
      <c r="O3" s="10"/>
      <c r="P3" s="10"/>
    </row>
    <row r="4" spans="1:16" x14ac:dyDescent="0.15">
      <c r="A4">
        <v>159981</v>
      </c>
      <c r="B4" t="s">
        <v>139</v>
      </c>
      <c r="C4">
        <f t="shared" si="0"/>
        <v>301</v>
      </c>
      <c r="E4" s="12">
        <v>1</v>
      </c>
      <c r="F4" s="11" t="s">
        <v>1234</v>
      </c>
      <c r="G4" t="s">
        <v>1235</v>
      </c>
      <c r="H4" t="s">
        <v>1233</v>
      </c>
      <c r="I4">
        <v>0.72</v>
      </c>
      <c r="J4">
        <v>-4.9000000000000004</v>
      </c>
      <c r="K4">
        <v>184.7</v>
      </c>
      <c r="L4">
        <v>97.45</v>
      </c>
      <c r="M4">
        <v>87.25</v>
      </c>
      <c r="O4" s="10"/>
      <c r="P4" s="10"/>
    </row>
    <row r="5" spans="1:16" x14ac:dyDescent="0.15">
      <c r="A5">
        <v>160526</v>
      </c>
      <c r="B5" t="s">
        <v>376</v>
      </c>
      <c r="C5" t="e">
        <f t="shared" si="0"/>
        <v>#N/A</v>
      </c>
      <c r="E5" s="12">
        <v>2</v>
      </c>
      <c r="F5" s="11" t="s">
        <v>790</v>
      </c>
      <c r="G5" t="s">
        <v>150</v>
      </c>
      <c r="H5" t="s">
        <v>1233</v>
      </c>
      <c r="I5">
        <v>2.2999999999999998</v>
      </c>
      <c r="J5">
        <v>-4.26</v>
      </c>
      <c r="K5">
        <v>183.89</v>
      </c>
      <c r="L5">
        <v>99.3</v>
      </c>
      <c r="M5">
        <v>84.59</v>
      </c>
      <c r="O5" s="10"/>
      <c r="P5" s="10"/>
    </row>
    <row r="6" spans="1:16" x14ac:dyDescent="0.15">
      <c r="A6">
        <v>160416</v>
      </c>
      <c r="B6" t="s">
        <v>138</v>
      </c>
      <c r="C6">
        <f t="shared" si="0"/>
        <v>508</v>
      </c>
      <c r="E6" s="12">
        <v>3</v>
      </c>
      <c r="F6" s="11" t="s">
        <v>1236</v>
      </c>
      <c r="G6" t="s">
        <v>1237</v>
      </c>
      <c r="H6" t="s">
        <v>1233</v>
      </c>
      <c r="I6">
        <v>-0.61</v>
      </c>
      <c r="J6">
        <v>-5.44</v>
      </c>
      <c r="K6">
        <v>182.5</v>
      </c>
      <c r="L6">
        <v>92.47</v>
      </c>
      <c r="M6">
        <v>90.03</v>
      </c>
      <c r="O6" s="10"/>
      <c r="P6" s="10"/>
    </row>
    <row r="7" spans="1:16" x14ac:dyDescent="0.15">
      <c r="A7">
        <v>164906</v>
      </c>
      <c r="B7" t="s">
        <v>137</v>
      </c>
      <c r="C7">
        <f t="shared" si="0"/>
        <v>481</v>
      </c>
      <c r="E7" s="12">
        <v>4</v>
      </c>
      <c r="F7" s="11" t="s">
        <v>522</v>
      </c>
      <c r="G7" t="s">
        <v>149</v>
      </c>
      <c r="H7" t="s">
        <v>1233</v>
      </c>
      <c r="I7">
        <v>1.31</v>
      </c>
      <c r="J7">
        <v>-4.01</v>
      </c>
      <c r="K7">
        <v>181.57999999999998</v>
      </c>
      <c r="L7">
        <v>98.38</v>
      </c>
      <c r="M7">
        <v>83.2</v>
      </c>
      <c r="O7" s="10"/>
      <c r="P7" s="10"/>
    </row>
    <row r="8" spans="1:16" x14ac:dyDescent="0.15">
      <c r="A8">
        <v>159985</v>
      </c>
      <c r="B8" t="s">
        <v>136</v>
      </c>
      <c r="C8">
        <f t="shared" si="0"/>
        <v>345</v>
      </c>
      <c r="E8" s="12">
        <v>5</v>
      </c>
      <c r="F8" s="11" t="s">
        <v>699</v>
      </c>
      <c r="G8" t="s">
        <v>156</v>
      </c>
      <c r="H8" t="s">
        <v>1233</v>
      </c>
      <c r="I8">
        <v>-1.84</v>
      </c>
      <c r="J8">
        <v>-5.55</v>
      </c>
      <c r="K8">
        <v>180.07</v>
      </c>
      <c r="L8">
        <v>89.69</v>
      </c>
      <c r="M8">
        <v>90.38</v>
      </c>
    </row>
    <row r="9" spans="1:16" x14ac:dyDescent="0.15">
      <c r="A9">
        <v>501046</v>
      </c>
      <c r="B9" t="s">
        <v>153</v>
      </c>
      <c r="C9">
        <f t="shared" si="0"/>
        <v>20</v>
      </c>
      <c r="E9" s="12">
        <v>6</v>
      </c>
      <c r="F9" s="11" t="s">
        <v>539</v>
      </c>
      <c r="G9" t="s">
        <v>1238</v>
      </c>
      <c r="H9" t="s">
        <v>1233</v>
      </c>
      <c r="I9">
        <v>-3.01</v>
      </c>
      <c r="J9">
        <v>-6.14</v>
      </c>
      <c r="K9">
        <v>179.61</v>
      </c>
      <c r="L9">
        <v>87.95</v>
      </c>
      <c r="M9">
        <v>91.66</v>
      </c>
    </row>
    <row r="10" spans="1:16" x14ac:dyDescent="0.15">
      <c r="A10">
        <v>161229</v>
      </c>
      <c r="B10" t="s">
        <v>135</v>
      </c>
      <c r="C10" t="e">
        <f t="shared" si="0"/>
        <v>#N/A</v>
      </c>
      <c r="E10" s="12">
        <v>7</v>
      </c>
      <c r="F10" s="11" t="s">
        <v>1239</v>
      </c>
      <c r="G10" t="s">
        <v>1240</v>
      </c>
      <c r="H10" t="s">
        <v>1233</v>
      </c>
      <c r="I10">
        <v>-4.8</v>
      </c>
      <c r="J10">
        <v>-9.07</v>
      </c>
      <c r="K10">
        <v>179.14</v>
      </c>
      <c r="L10">
        <v>82.04</v>
      </c>
      <c r="M10">
        <v>97.1</v>
      </c>
    </row>
    <row r="11" spans="1:16" x14ac:dyDescent="0.15">
      <c r="A11">
        <v>159980</v>
      </c>
      <c r="B11" t="s">
        <v>134</v>
      </c>
      <c r="C11">
        <f t="shared" si="0"/>
        <v>367</v>
      </c>
      <c r="E11" s="12">
        <v>8</v>
      </c>
      <c r="F11" s="11" t="s">
        <v>639</v>
      </c>
      <c r="G11" t="s">
        <v>1241</v>
      </c>
      <c r="H11" t="s">
        <v>1233</v>
      </c>
      <c r="I11">
        <v>-0.55000000000000004</v>
      </c>
      <c r="J11">
        <v>-4.33</v>
      </c>
      <c r="K11">
        <v>178.20999999999998</v>
      </c>
      <c r="L11">
        <v>93.16</v>
      </c>
      <c r="M11">
        <v>85.05</v>
      </c>
    </row>
    <row r="12" spans="1:16" x14ac:dyDescent="0.15">
      <c r="A12">
        <v>160216</v>
      </c>
      <c r="B12" t="s">
        <v>133</v>
      </c>
      <c r="C12">
        <f t="shared" si="0"/>
        <v>509</v>
      </c>
      <c r="E12" s="12">
        <v>9</v>
      </c>
      <c r="F12" s="11" t="s">
        <v>651</v>
      </c>
      <c r="G12" t="s">
        <v>1242</v>
      </c>
      <c r="H12" t="s">
        <v>1233</v>
      </c>
      <c r="I12">
        <v>-2.39</v>
      </c>
      <c r="J12">
        <v>-5.08</v>
      </c>
      <c r="K12">
        <v>177.64</v>
      </c>
      <c r="L12">
        <v>89.11</v>
      </c>
      <c r="M12">
        <v>88.53</v>
      </c>
    </row>
    <row r="13" spans="1:16" x14ac:dyDescent="0.15">
      <c r="A13">
        <v>513680</v>
      </c>
      <c r="B13" t="s">
        <v>377</v>
      </c>
      <c r="C13" t="e">
        <f t="shared" si="0"/>
        <v>#N/A</v>
      </c>
      <c r="E13" s="12">
        <v>10</v>
      </c>
      <c r="F13" s="11" t="s">
        <v>545</v>
      </c>
      <c r="G13" t="s">
        <v>155</v>
      </c>
      <c r="H13" t="s">
        <v>1233</v>
      </c>
      <c r="I13">
        <v>-3.73</v>
      </c>
      <c r="J13">
        <v>-6.34</v>
      </c>
      <c r="K13">
        <v>177.63</v>
      </c>
      <c r="L13">
        <v>85.05</v>
      </c>
      <c r="M13">
        <v>92.58</v>
      </c>
    </row>
    <row r="14" spans="1:16" x14ac:dyDescent="0.15">
      <c r="A14">
        <v>165513</v>
      </c>
      <c r="B14" t="s">
        <v>131</v>
      </c>
      <c r="C14">
        <f t="shared" si="0"/>
        <v>498</v>
      </c>
      <c r="E14" s="12">
        <v>11</v>
      </c>
      <c r="F14" s="11" t="s">
        <v>503</v>
      </c>
      <c r="G14" t="s">
        <v>1243</v>
      </c>
      <c r="H14" t="s">
        <v>1233</v>
      </c>
      <c r="I14">
        <v>-3.17</v>
      </c>
      <c r="J14">
        <v>-5.43</v>
      </c>
      <c r="K14">
        <v>177.29000000000002</v>
      </c>
      <c r="L14">
        <v>87.37</v>
      </c>
      <c r="M14">
        <v>89.92</v>
      </c>
    </row>
    <row r="15" spans="1:16" x14ac:dyDescent="0.15">
      <c r="A15">
        <v>163208</v>
      </c>
      <c r="B15" t="s">
        <v>129</v>
      </c>
      <c r="C15">
        <f t="shared" si="0"/>
        <v>500</v>
      </c>
      <c r="E15" s="12">
        <v>12</v>
      </c>
      <c r="F15" s="11" t="s">
        <v>623</v>
      </c>
      <c r="G15" t="s">
        <v>1244</v>
      </c>
      <c r="H15" t="s">
        <v>1233</v>
      </c>
      <c r="I15">
        <v>-3.01</v>
      </c>
      <c r="J15">
        <v>-5.28</v>
      </c>
      <c r="K15">
        <v>177.29</v>
      </c>
      <c r="L15">
        <v>87.83</v>
      </c>
      <c r="M15">
        <v>89.46</v>
      </c>
    </row>
    <row r="16" spans="1:16" x14ac:dyDescent="0.15">
      <c r="A16">
        <v>501015</v>
      </c>
      <c r="B16" t="s">
        <v>378</v>
      </c>
      <c r="C16">
        <f t="shared" si="0"/>
        <v>527</v>
      </c>
      <c r="E16" s="12">
        <v>13</v>
      </c>
      <c r="F16" s="11" t="s">
        <v>451</v>
      </c>
      <c r="G16" t="s">
        <v>1245</v>
      </c>
      <c r="H16" t="s">
        <v>1233</v>
      </c>
      <c r="I16">
        <v>-6.12</v>
      </c>
      <c r="J16">
        <v>-10.47</v>
      </c>
      <c r="K16">
        <v>176.58999999999997</v>
      </c>
      <c r="L16">
        <v>77.52</v>
      </c>
      <c r="M16">
        <v>99.07</v>
      </c>
    </row>
    <row r="17" spans="1:13" x14ac:dyDescent="0.15">
      <c r="A17">
        <v>160717</v>
      </c>
      <c r="B17" t="s">
        <v>130</v>
      </c>
      <c r="C17" t="e">
        <f t="shared" si="0"/>
        <v>#N/A</v>
      </c>
      <c r="E17" s="12">
        <v>14</v>
      </c>
      <c r="F17" s="11" t="s">
        <v>491</v>
      </c>
      <c r="G17" t="s">
        <v>1246</v>
      </c>
      <c r="H17" t="s">
        <v>1233</v>
      </c>
      <c r="I17">
        <v>-1.21</v>
      </c>
      <c r="J17">
        <v>-4.4400000000000004</v>
      </c>
      <c r="K17">
        <v>176.24</v>
      </c>
      <c r="L17">
        <v>90.96</v>
      </c>
      <c r="M17">
        <v>85.28</v>
      </c>
    </row>
    <row r="18" spans="1:13" x14ac:dyDescent="0.15">
      <c r="A18">
        <v>501309</v>
      </c>
      <c r="B18" t="s">
        <v>379</v>
      </c>
      <c r="C18" t="e">
        <f t="shared" si="0"/>
        <v>#N/A</v>
      </c>
      <c r="E18" s="12">
        <v>15</v>
      </c>
      <c r="F18" s="11" t="s">
        <v>519</v>
      </c>
      <c r="G18" t="s">
        <v>1247</v>
      </c>
      <c r="H18" t="s">
        <v>1233</v>
      </c>
      <c r="I18">
        <v>-5.96</v>
      </c>
      <c r="J18">
        <v>-9.42</v>
      </c>
      <c r="K18">
        <v>176.13</v>
      </c>
      <c r="L18">
        <v>78.099999999999994</v>
      </c>
      <c r="M18">
        <v>98.03</v>
      </c>
    </row>
    <row r="19" spans="1:13" x14ac:dyDescent="0.15">
      <c r="A19">
        <v>162411</v>
      </c>
      <c r="B19" t="s">
        <v>132</v>
      </c>
      <c r="C19">
        <f t="shared" si="0"/>
        <v>502</v>
      </c>
      <c r="E19" s="12">
        <v>16</v>
      </c>
      <c r="F19" s="11" t="s">
        <v>653</v>
      </c>
      <c r="G19" t="s">
        <v>154</v>
      </c>
      <c r="H19" t="s">
        <v>1233</v>
      </c>
      <c r="I19">
        <v>-0.53</v>
      </c>
      <c r="J19">
        <v>-3.88</v>
      </c>
      <c r="K19">
        <v>175.20999999999998</v>
      </c>
      <c r="L19">
        <v>93.63</v>
      </c>
      <c r="M19">
        <v>81.58</v>
      </c>
    </row>
    <row r="20" spans="1:13" x14ac:dyDescent="0.15">
      <c r="A20">
        <v>513590</v>
      </c>
      <c r="B20" t="s">
        <v>380</v>
      </c>
      <c r="C20" t="e">
        <f t="shared" si="0"/>
        <v>#N/A</v>
      </c>
      <c r="E20" s="12">
        <v>17</v>
      </c>
      <c r="F20" s="11" t="s">
        <v>480</v>
      </c>
      <c r="G20" t="s">
        <v>1248</v>
      </c>
      <c r="H20" t="s">
        <v>1233</v>
      </c>
      <c r="I20">
        <v>0</v>
      </c>
      <c r="J20">
        <v>-3.73</v>
      </c>
      <c r="K20">
        <v>175.2</v>
      </c>
      <c r="L20">
        <v>94.55</v>
      </c>
      <c r="M20">
        <v>80.650000000000006</v>
      </c>
    </row>
    <row r="21" spans="1:13" x14ac:dyDescent="0.15">
      <c r="A21">
        <v>159850</v>
      </c>
      <c r="B21" t="s">
        <v>127</v>
      </c>
      <c r="C21" t="e">
        <f t="shared" si="0"/>
        <v>#N/A</v>
      </c>
      <c r="E21" s="12">
        <v>18</v>
      </c>
      <c r="F21" s="11" t="s">
        <v>575</v>
      </c>
      <c r="G21" t="s">
        <v>148</v>
      </c>
      <c r="H21" t="s">
        <v>1233</v>
      </c>
      <c r="I21">
        <v>-5.31</v>
      </c>
      <c r="J21">
        <v>-7.06</v>
      </c>
      <c r="K21">
        <v>174.51</v>
      </c>
      <c r="L21">
        <v>80.3</v>
      </c>
      <c r="M21">
        <v>94.21</v>
      </c>
    </row>
    <row r="22" spans="1:13" x14ac:dyDescent="0.15">
      <c r="E22" s="12">
        <v>19</v>
      </c>
      <c r="F22" s="11" t="s">
        <v>540</v>
      </c>
      <c r="G22" t="s">
        <v>153</v>
      </c>
      <c r="H22" t="s">
        <v>1233</v>
      </c>
      <c r="I22">
        <v>-3.68</v>
      </c>
      <c r="J22">
        <v>-5.15</v>
      </c>
      <c r="K22">
        <v>174.39999999999998</v>
      </c>
      <c r="L22">
        <v>85.52</v>
      </c>
      <c r="M22">
        <v>88.88</v>
      </c>
    </row>
    <row r="23" spans="1:13" x14ac:dyDescent="0.15">
      <c r="E23" s="12">
        <v>20</v>
      </c>
      <c r="F23" s="11" t="s">
        <v>478</v>
      </c>
      <c r="G23" t="s">
        <v>152</v>
      </c>
      <c r="H23" t="s">
        <v>1233</v>
      </c>
      <c r="I23">
        <v>-0.53</v>
      </c>
      <c r="J23">
        <v>-3.77</v>
      </c>
      <c r="K23">
        <v>174.28</v>
      </c>
      <c r="L23">
        <v>93.4</v>
      </c>
      <c r="M23">
        <v>80.88</v>
      </c>
    </row>
    <row r="24" spans="1:13" x14ac:dyDescent="0.15">
      <c r="E24" s="12">
        <v>21</v>
      </c>
      <c r="F24" s="11" t="s">
        <v>698</v>
      </c>
      <c r="G24" t="s">
        <v>1249</v>
      </c>
      <c r="H24" t="s">
        <v>1233</v>
      </c>
      <c r="I24">
        <v>-4.5599999999999996</v>
      </c>
      <c r="J24">
        <v>-5.91</v>
      </c>
      <c r="K24">
        <v>174.05</v>
      </c>
      <c r="L24">
        <v>82.62</v>
      </c>
      <c r="M24">
        <v>91.43</v>
      </c>
    </row>
    <row r="25" spans="1:13" x14ac:dyDescent="0.15">
      <c r="E25" s="12">
        <v>22</v>
      </c>
      <c r="F25" s="11" t="s">
        <v>457</v>
      </c>
      <c r="G25" t="s">
        <v>1250</v>
      </c>
      <c r="H25" t="s">
        <v>1233</v>
      </c>
      <c r="I25">
        <v>-2.95</v>
      </c>
      <c r="J25">
        <v>-4.51</v>
      </c>
      <c r="K25">
        <v>173.81</v>
      </c>
      <c r="L25">
        <v>88.18</v>
      </c>
      <c r="M25">
        <v>85.63</v>
      </c>
    </row>
    <row r="26" spans="1:13" x14ac:dyDescent="0.15">
      <c r="E26" s="12">
        <v>23</v>
      </c>
      <c r="F26" s="11" t="s">
        <v>708</v>
      </c>
      <c r="G26" t="s">
        <v>1251</v>
      </c>
      <c r="H26" t="s">
        <v>1233</v>
      </c>
      <c r="I26">
        <v>-0.82</v>
      </c>
      <c r="J26">
        <v>-3.88</v>
      </c>
      <c r="K26">
        <v>173.69</v>
      </c>
      <c r="L26">
        <v>91.77</v>
      </c>
      <c r="M26">
        <v>81.92</v>
      </c>
    </row>
    <row r="27" spans="1:13" x14ac:dyDescent="0.15">
      <c r="E27" s="12">
        <v>24</v>
      </c>
      <c r="F27" s="11" t="s">
        <v>640</v>
      </c>
      <c r="G27" t="s">
        <v>1252</v>
      </c>
      <c r="H27" t="s">
        <v>1233</v>
      </c>
      <c r="I27">
        <v>-4.28</v>
      </c>
      <c r="J27">
        <v>-5.27</v>
      </c>
      <c r="K27">
        <v>172.65</v>
      </c>
      <c r="L27">
        <v>83.31</v>
      </c>
      <c r="M27">
        <v>89.34</v>
      </c>
    </row>
    <row r="28" spans="1:13" x14ac:dyDescent="0.15">
      <c r="E28" s="12">
        <v>25</v>
      </c>
      <c r="F28" s="11" t="s">
        <v>535</v>
      </c>
      <c r="G28" t="s">
        <v>1253</v>
      </c>
      <c r="H28" t="s">
        <v>1233</v>
      </c>
      <c r="I28">
        <v>0</v>
      </c>
      <c r="J28">
        <v>-3.18</v>
      </c>
      <c r="K28">
        <v>172.54</v>
      </c>
      <c r="L28">
        <v>94.44</v>
      </c>
      <c r="M28">
        <v>78.099999999999994</v>
      </c>
    </row>
    <row r="29" spans="1:13" x14ac:dyDescent="0.15">
      <c r="E29" s="12">
        <v>26</v>
      </c>
      <c r="F29" s="11" t="s">
        <v>469</v>
      </c>
      <c r="G29" t="s">
        <v>1254</v>
      </c>
      <c r="H29" t="s">
        <v>1233</v>
      </c>
      <c r="I29">
        <v>0.76</v>
      </c>
      <c r="J29">
        <v>-2.14</v>
      </c>
      <c r="K29">
        <v>172.19</v>
      </c>
      <c r="L29">
        <v>97.57</v>
      </c>
      <c r="M29">
        <v>74.62</v>
      </c>
    </row>
    <row r="30" spans="1:13" x14ac:dyDescent="0.15">
      <c r="E30" s="12">
        <v>27</v>
      </c>
      <c r="F30" s="11" t="s">
        <v>1255</v>
      </c>
      <c r="G30" t="s">
        <v>1256</v>
      </c>
      <c r="H30" t="s">
        <v>1233</v>
      </c>
      <c r="I30">
        <v>-2.99</v>
      </c>
      <c r="J30">
        <v>-4.0599999999999996</v>
      </c>
      <c r="K30">
        <v>171.95</v>
      </c>
      <c r="L30">
        <v>88.06</v>
      </c>
      <c r="M30">
        <v>83.89</v>
      </c>
    </row>
    <row r="31" spans="1:13" x14ac:dyDescent="0.15">
      <c r="E31" s="12">
        <v>28</v>
      </c>
      <c r="F31" s="11" t="s">
        <v>1257</v>
      </c>
      <c r="G31" t="s">
        <v>1258</v>
      </c>
      <c r="H31" t="s">
        <v>1233</v>
      </c>
      <c r="I31">
        <v>1.31</v>
      </c>
      <c r="J31">
        <v>-1.68</v>
      </c>
      <c r="K31">
        <v>171.72</v>
      </c>
      <c r="L31">
        <v>98.26</v>
      </c>
      <c r="M31">
        <v>73.459999999999994</v>
      </c>
    </row>
    <row r="32" spans="1:13" x14ac:dyDescent="0.15">
      <c r="E32" s="12">
        <v>29</v>
      </c>
      <c r="F32" s="11" t="s">
        <v>693</v>
      </c>
      <c r="G32" t="s">
        <v>1259</v>
      </c>
      <c r="H32" t="s">
        <v>1233</v>
      </c>
      <c r="I32">
        <v>-2.91</v>
      </c>
      <c r="J32">
        <v>-3.97</v>
      </c>
      <c r="K32">
        <v>171.14999999999998</v>
      </c>
      <c r="L32">
        <v>88.3</v>
      </c>
      <c r="M32">
        <v>82.85</v>
      </c>
    </row>
    <row r="33" spans="5:13" x14ac:dyDescent="0.15">
      <c r="E33" s="12">
        <v>30</v>
      </c>
      <c r="F33" s="11" t="s">
        <v>483</v>
      </c>
      <c r="G33" t="s">
        <v>1260</v>
      </c>
      <c r="H33" t="s">
        <v>1233</v>
      </c>
      <c r="I33">
        <v>-4.22</v>
      </c>
      <c r="J33">
        <v>-4.9000000000000004</v>
      </c>
      <c r="K33">
        <v>170.8</v>
      </c>
      <c r="L33">
        <v>83.43</v>
      </c>
      <c r="M33">
        <v>87.37</v>
      </c>
    </row>
    <row r="34" spans="5:13" x14ac:dyDescent="0.15">
      <c r="E34" s="12">
        <v>31</v>
      </c>
      <c r="F34" s="11" t="s">
        <v>685</v>
      </c>
      <c r="G34" t="s">
        <v>1261</v>
      </c>
      <c r="H34" t="s">
        <v>1233</v>
      </c>
      <c r="I34">
        <v>0.98</v>
      </c>
      <c r="J34">
        <v>-1.5</v>
      </c>
      <c r="K34">
        <v>170.68</v>
      </c>
      <c r="L34">
        <v>97.68</v>
      </c>
      <c r="M34">
        <v>73</v>
      </c>
    </row>
    <row r="35" spans="5:13" x14ac:dyDescent="0.15">
      <c r="E35" s="12">
        <v>32</v>
      </c>
      <c r="F35" s="11" t="s">
        <v>500</v>
      </c>
      <c r="G35" t="s">
        <v>1262</v>
      </c>
      <c r="H35" t="s">
        <v>1233</v>
      </c>
      <c r="I35">
        <v>-5.92</v>
      </c>
      <c r="J35">
        <v>-6.25</v>
      </c>
      <c r="K35">
        <v>170.68</v>
      </c>
      <c r="L35">
        <v>78.680000000000007</v>
      </c>
      <c r="M35">
        <v>92</v>
      </c>
    </row>
    <row r="36" spans="5:13" x14ac:dyDescent="0.15">
      <c r="E36" s="12">
        <v>33</v>
      </c>
      <c r="F36" s="11" t="s">
        <v>440</v>
      </c>
      <c r="G36" t="s">
        <v>1263</v>
      </c>
      <c r="H36" t="s">
        <v>1233</v>
      </c>
      <c r="I36">
        <v>-3.4</v>
      </c>
      <c r="J36">
        <v>-4.05</v>
      </c>
      <c r="K36">
        <v>170.45</v>
      </c>
      <c r="L36">
        <v>86.67</v>
      </c>
      <c r="M36">
        <v>83.78</v>
      </c>
    </row>
    <row r="37" spans="5:13" x14ac:dyDescent="0.15">
      <c r="E37" s="12">
        <v>34</v>
      </c>
      <c r="F37" s="11" t="s">
        <v>446</v>
      </c>
      <c r="G37" t="s">
        <v>1264</v>
      </c>
      <c r="H37" t="s">
        <v>1233</v>
      </c>
      <c r="I37">
        <v>-1.36</v>
      </c>
      <c r="J37">
        <v>-3.55</v>
      </c>
      <c r="K37">
        <v>170.45</v>
      </c>
      <c r="L37">
        <v>90.5</v>
      </c>
      <c r="M37">
        <v>79.95</v>
      </c>
    </row>
    <row r="38" spans="5:13" x14ac:dyDescent="0.15">
      <c r="E38" s="12">
        <v>35</v>
      </c>
      <c r="F38" s="11" t="s">
        <v>505</v>
      </c>
      <c r="G38" t="s">
        <v>1265</v>
      </c>
      <c r="H38" t="s">
        <v>1233</v>
      </c>
      <c r="I38">
        <v>-6.98</v>
      </c>
      <c r="J38">
        <v>-9.51</v>
      </c>
      <c r="K38">
        <v>170.22</v>
      </c>
      <c r="L38">
        <v>72.069999999999993</v>
      </c>
      <c r="M38">
        <v>98.15</v>
      </c>
    </row>
    <row r="39" spans="5:13" x14ac:dyDescent="0.15">
      <c r="E39" s="12">
        <v>36</v>
      </c>
      <c r="F39" s="11" t="s">
        <v>459</v>
      </c>
      <c r="G39" t="s">
        <v>1266</v>
      </c>
      <c r="H39" t="s">
        <v>1233</v>
      </c>
      <c r="I39">
        <v>-5.94</v>
      </c>
      <c r="J39">
        <v>-6</v>
      </c>
      <c r="K39">
        <v>169.87</v>
      </c>
      <c r="L39">
        <v>78.33</v>
      </c>
      <c r="M39">
        <v>91.54</v>
      </c>
    </row>
    <row r="40" spans="5:13" x14ac:dyDescent="0.15">
      <c r="E40" s="12">
        <v>37</v>
      </c>
      <c r="F40" s="11" t="s">
        <v>465</v>
      </c>
      <c r="G40" t="s">
        <v>1267</v>
      </c>
      <c r="H40" t="s">
        <v>1233</v>
      </c>
      <c r="I40">
        <v>-4.38</v>
      </c>
      <c r="J40">
        <v>-4.78</v>
      </c>
      <c r="K40">
        <v>169.75</v>
      </c>
      <c r="L40">
        <v>83.08</v>
      </c>
      <c r="M40">
        <v>86.67</v>
      </c>
    </row>
    <row r="41" spans="5:13" x14ac:dyDescent="0.15">
      <c r="E41" s="12">
        <v>38</v>
      </c>
      <c r="F41" s="11" t="s">
        <v>448</v>
      </c>
      <c r="G41" t="s">
        <v>1268</v>
      </c>
      <c r="H41" t="s">
        <v>1233</v>
      </c>
      <c r="I41">
        <v>-4.5999999999999996</v>
      </c>
      <c r="J41">
        <v>-4.8600000000000003</v>
      </c>
      <c r="K41">
        <v>169.51999999999998</v>
      </c>
      <c r="L41">
        <v>82.5</v>
      </c>
      <c r="M41">
        <v>87.02</v>
      </c>
    </row>
    <row r="42" spans="5:13" x14ac:dyDescent="0.15">
      <c r="E42" s="12">
        <v>39</v>
      </c>
      <c r="F42" s="11" t="s">
        <v>489</v>
      </c>
      <c r="G42" t="s">
        <v>1269</v>
      </c>
      <c r="H42" t="s">
        <v>1233</v>
      </c>
      <c r="I42">
        <v>-1.4</v>
      </c>
      <c r="J42">
        <v>-3.28</v>
      </c>
      <c r="K42">
        <v>169.3</v>
      </c>
      <c r="L42">
        <v>90.27</v>
      </c>
      <c r="M42">
        <v>79.03</v>
      </c>
    </row>
    <row r="43" spans="5:13" x14ac:dyDescent="0.15">
      <c r="E43" s="12">
        <v>40</v>
      </c>
      <c r="F43" s="11" t="s">
        <v>471</v>
      </c>
      <c r="G43" t="s">
        <v>1270</v>
      </c>
      <c r="H43" t="s">
        <v>1233</v>
      </c>
      <c r="I43">
        <v>-3.26</v>
      </c>
      <c r="J43">
        <v>-3.89</v>
      </c>
      <c r="K43">
        <v>169.29</v>
      </c>
      <c r="L43">
        <v>87.02</v>
      </c>
      <c r="M43">
        <v>82.27</v>
      </c>
    </row>
    <row r="44" spans="5:13" x14ac:dyDescent="0.15">
      <c r="E44" s="12">
        <v>41</v>
      </c>
      <c r="F44" s="11" t="s">
        <v>594</v>
      </c>
      <c r="G44" t="s">
        <v>1271</v>
      </c>
      <c r="H44" t="s">
        <v>1233</v>
      </c>
      <c r="I44">
        <v>-6.04</v>
      </c>
      <c r="J44">
        <v>-5.78</v>
      </c>
      <c r="K44">
        <v>168.94</v>
      </c>
      <c r="L44">
        <v>77.75</v>
      </c>
      <c r="M44">
        <v>91.19</v>
      </c>
    </row>
    <row r="45" spans="5:13" x14ac:dyDescent="0.15">
      <c r="E45" s="12">
        <v>42</v>
      </c>
      <c r="F45" s="11" t="s">
        <v>485</v>
      </c>
      <c r="G45" t="s">
        <v>1272</v>
      </c>
      <c r="H45" t="s">
        <v>1233</v>
      </c>
      <c r="I45">
        <v>0.1</v>
      </c>
      <c r="J45">
        <v>-1.79</v>
      </c>
      <c r="K45">
        <v>168.60000000000002</v>
      </c>
      <c r="L45">
        <v>94.79</v>
      </c>
      <c r="M45">
        <v>73.81</v>
      </c>
    </row>
    <row r="46" spans="5:13" x14ac:dyDescent="0.15">
      <c r="E46" s="12">
        <v>43</v>
      </c>
      <c r="F46" s="11" t="s">
        <v>477</v>
      </c>
      <c r="G46" t="s">
        <v>1273</v>
      </c>
      <c r="H46" t="s">
        <v>1233</v>
      </c>
      <c r="I46">
        <v>-5</v>
      </c>
      <c r="J46">
        <v>-4.84</v>
      </c>
      <c r="K46">
        <v>168.49</v>
      </c>
      <c r="L46">
        <v>81.58</v>
      </c>
      <c r="M46">
        <v>86.91</v>
      </c>
    </row>
    <row r="47" spans="5:13" x14ac:dyDescent="0.15">
      <c r="E47" s="12">
        <v>44</v>
      </c>
      <c r="F47" s="11" t="s">
        <v>547</v>
      </c>
      <c r="G47" t="s">
        <v>1274</v>
      </c>
      <c r="H47" t="s">
        <v>1233</v>
      </c>
      <c r="I47">
        <v>-0.13</v>
      </c>
      <c r="J47">
        <v>-1.68</v>
      </c>
      <c r="K47">
        <v>167.89999999999998</v>
      </c>
      <c r="L47">
        <v>94.32</v>
      </c>
      <c r="M47">
        <v>73.58</v>
      </c>
    </row>
    <row r="48" spans="5:13" x14ac:dyDescent="0.15">
      <c r="E48" s="12">
        <v>45</v>
      </c>
      <c r="F48" s="11" t="s">
        <v>493</v>
      </c>
      <c r="G48" t="s">
        <v>1275</v>
      </c>
      <c r="H48" t="s">
        <v>1233</v>
      </c>
      <c r="I48">
        <v>-1.44</v>
      </c>
      <c r="J48">
        <v>-2.9</v>
      </c>
      <c r="K48">
        <v>167.55</v>
      </c>
      <c r="L48">
        <v>90.15</v>
      </c>
      <c r="M48">
        <v>77.400000000000006</v>
      </c>
    </row>
    <row r="49" spans="5:13" x14ac:dyDescent="0.15">
      <c r="E49" s="12">
        <v>46</v>
      </c>
      <c r="F49" s="11" t="s">
        <v>454</v>
      </c>
      <c r="G49" t="s">
        <v>1276</v>
      </c>
      <c r="H49" t="s">
        <v>1233</v>
      </c>
      <c r="I49">
        <v>0.65</v>
      </c>
      <c r="J49">
        <v>-0.48</v>
      </c>
      <c r="K49">
        <v>167.55</v>
      </c>
      <c r="L49">
        <v>97.33</v>
      </c>
      <c r="M49">
        <v>70.22</v>
      </c>
    </row>
    <row r="50" spans="5:13" x14ac:dyDescent="0.15">
      <c r="E50" s="12">
        <v>47</v>
      </c>
      <c r="F50" s="11" t="s">
        <v>543</v>
      </c>
      <c r="G50" t="s">
        <v>1277</v>
      </c>
      <c r="H50" t="s">
        <v>1233</v>
      </c>
      <c r="I50">
        <v>0.49</v>
      </c>
      <c r="J50">
        <v>-0.55000000000000004</v>
      </c>
      <c r="K50">
        <v>167.44</v>
      </c>
      <c r="L50">
        <v>96.52</v>
      </c>
      <c r="M50">
        <v>70.92</v>
      </c>
    </row>
    <row r="51" spans="5:13" x14ac:dyDescent="0.15">
      <c r="E51" s="12">
        <v>48</v>
      </c>
      <c r="F51" s="11" t="s">
        <v>668</v>
      </c>
      <c r="G51" t="s">
        <v>1278</v>
      </c>
      <c r="H51" t="s">
        <v>1233</v>
      </c>
      <c r="I51">
        <v>-3.98</v>
      </c>
      <c r="J51">
        <v>-4.03</v>
      </c>
      <c r="K51">
        <v>167.44</v>
      </c>
      <c r="L51">
        <v>83.89</v>
      </c>
      <c r="M51">
        <v>83.55</v>
      </c>
    </row>
    <row r="52" spans="5:13" x14ac:dyDescent="0.15">
      <c r="E52" s="12">
        <v>49</v>
      </c>
      <c r="F52" s="11" t="s">
        <v>513</v>
      </c>
      <c r="G52" t="s">
        <v>1279</v>
      </c>
      <c r="H52" t="s">
        <v>1233</v>
      </c>
      <c r="I52">
        <v>-1.32</v>
      </c>
      <c r="J52">
        <v>-2.62</v>
      </c>
      <c r="K52">
        <v>166.97</v>
      </c>
      <c r="L52">
        <v>90.61</v>
      </c>
      <c r="M52">
        <v>76.36</v>
      </c>
    </row>
    <row r="53" spans="5:13" x14ac:dyDescent="0.15">
      <c r="E53" s="12">
        <v>50</v>
      </c>
      <c r="F53" s="11" t="s">
        <v>452</v>
      </c>
      <c r="G53" t="s">
        <v>1280</v>
      </c>
      <c r="H53" t="s">
        <v>1233</v>
      </c>
      <c r="I53">
        <v>-3.16</v>
      </c>
      <c r="J53">
        <v>-3.42</v>
      </c>
      <c r="K53">
        <v>166.86</v>
      </c>
      <c r="L53">
        <v>87.49</v>
      </c>
      <c r="M53">
        <v>79.37</v>
      </c>
    </row>
    <row r="54" spans="5:13" x14ac:dyDescent="0.15">
      <c r="E54" s="12">
        <v>51</v>
      </c>
      <c r="F54" s="11" t="s">
        <v>676</v>
      </c>
      <c r="G54" t="s">
        <v>1281</v>
      </c>
      <c r="H54" t="s">
        <v>1233</v>
      </c>
      <c r="I54">
        <v>0.44</v>
      </c>
      <c r="J54">
        <v>-0.5</v>
      </c>
      <c r="K54">
        <v>166.75</v>
      </c>
      <c r="L54">
        <v>96.18</v>
      </c>
      <c r="M54">
        <v>70.569999999999993</v>
      </c>
    </row>
    <row r="55" spans="5:13" x14ac:dyDescent="0.15">
      <c r="E55" s="12">
        <v>52</v>
      </c>
      <c r="F55" s="11" t="s">
        <v>450</v>
      </c>
      <c r="G55" t="s">
        <v>1282</v>
      </c>
      <c r="H55" t="s">
        <v>1233</v>
      </c>
      <c r="I55">
        <v>-3.99</v>
      </c>
      <c r="J55">
        <v>-3.98</v>
      </c>
      <c r="K55">
        <v>166.63</v>
      </c>
      <c r="L55">
        <v>83.66</v>
      </c>
      <c r="M55">
        <v>82.97</v>
      </c>
    </row>
    <row r="56" spans="5:13" x14ac:dyDescent="0.15">
      <c r="E56" s="12">
        <v>53</v>
      </c>
      <c r="F56" s="11" t="s">
        <v>445</v>
      </c>
      <c r="G56" t="s">
        <v>1283</v>
      </c>
      <c r="H56" t="s">
        <v>1233</v>
      </c>
      <c r="I56">
        <v>1.44</v>
      </c>
      <c r="J56">
        <v>-0.33</v>
      </c>
      <c r="K56">
        <v>166.51</v>
      </c>
      <c r="L56">
        <v>98.84</v>
      </c>
      <c r="M56">
        <v>67.67</v>
      </c>
    </row>
    <row r="57" spans="5:13" x14ac:dyDescent="0.15">
      <c r="E57" s="12">
        <v>54</v>
      </c>
      <c r="F57" s="11" t="s">
        <v>453</v>
      </c>
      <c r="G57" t="s">
        <v>1284</v>
      </c>
      <c r="H57" t="s">
        <v>1233</v>
      </c>
      <c r="I57">
        <v>-0.96</v>
      </c>
      <c r="J57">
        <v>-2.2400000000000002</v>
      </c>
      <c r="K57">
        <v>166.4</v>
      </c>
      <c r="L57">
        <v>91.31</v>
      </c>
      <c r="M57">
        <v>75.09</v>
      </c>
    </row>
    <row r="58" spans="5:13" x14ac:dyDescent="0.15">
      <c r="E58" s="12">
        <v>55</v>
      </c>
      <c r="F58" s="11" t="s">
        <v>529</v>
      </c>
      <c r="G58" t="s">
        <v>1285</v>
      </c>
      <c r="H58" t="s">
        <v>1233</v>
      </c>
      <c r="I58">
        <v>-5.0599999999999996</v>
      </c>
      <c r="J58">
        <v>-4.3099999999999996</v>
      </c>
      <c r="K58">
        <v>166.39999999999998</v>
      </c>
      <c r="L58">
        <v>81.459999999999994</v>
      </c>
      <c r="M58">
        <v>84.94</v>
      </c>
    </row>
    <row r="59" spans="5:13" x14ac:dyDescent="0.15">
      <c r="E59" s="12">
        <v>56</v>
      </c>
      <c r="F59" s="11" t="s">
        <v>542</v>
      </c>
      <c r="G59" t="s">
        <v>1286</v>
      </c>
      <c r="H59" t="s">
        <v>1233</v>
      </c>
      <c r="I59">
        <v>0.36</v>
      </c>
      <c r="J59">
        <v>-0.49</v>
      </c>
      <c r="K59">
        <v>166.39</v>
      </c>
      <c r="L59">
        <v>95.94</v>
      </c>
      <c r="M59">
        <v>70.45</v>
      </c>
    </row>
    <row r="60" spans="5:13" x14ac:dyDescent="0.15">
      <c r="E60" s="12">
        <v>61</v>
      </c>
      <c r="F60" s="11" t="s">
        <v>492</v>
      </c>
      <c r="G60" t="s">
        <v>79</v>
      </c>
      <c r="H60" t="s">
        <v>1287</v>
      </c>
      <c r="I60">
        <v>-1.29</v>
      </c>
      <c r="J60">
        <v>-2.2200000000000002</v>
      </c>
      <c r="K60">
        <v>165.7</v>
      </c>
      <c r="L60">
        <v>90.73</v>
      </c>
      <c r="M60">
        <v>74.97</v>
      </c>
    </row>
    <row r="61" spans="5:13" x14ac:dyDescent="0.15">
      <c r="E61" s="12">
        <v>62</v>
      </c>
      <c r="F61" s="11" t="s">
        <v>498</v>
      </c>
      <c r="G61" t="s">
        <v>1288</v>
      </c>
      <c r="H61" t="s">
        <v>1287</v>
      </c>
      <c r="I61">
        <v>-1.08</v>
      </c>
      <c r="J61">
        <v>-2.08</v>
      </c>
      <c r="K61">
        <v>165.47</v>
      </c>
      <c r="L61">
        <v>91.19</v>
      </c>
      <c r="M61">
        <v>74.28</v>
      </c>
    </row>
    <row r="62" spans="5:13" x14ac:dyDescent="0.15">
      <c r="E62" s="12">
        <v>66</v>
      </c>
      <c r="F62" s="11" t="s">
        <v>463</v>
      </c>
      <c r="G62" t="s">
        <v>1289</v>
      </c>
      <c r="H62" t="s">
        <v>1290</v>
      </c>
      <c r="I62">
        <v>1.45</v>
      </c>
      <c r="J62">
        <v>-0.28000000000000003</v>
      </c>
      <c r="K62">
        <v>165.12</v>
      </c>
      <c r="L62">
        <v>99.19</v>
      </c>
      <c r="M62">
        <v>65.930000000000007</v>
      </c>
    </row>
    <row r="63" spans="5:13" x14ac:dyDescent="0.15">
      <c r="E63" s="12">
        <v>67</v>
      </c>
      <c r="F63" s="11" t="s">
        <v>796</v>
      </c>
      <c r="G63" t="s">
        <v>1291</v>
      </c>
      <c r="H63" t="s">
        <v>1290</v>
      </c>
      <c r="I63">
        <v>-0.74</v>
      </c>
      <c r="J63">
        <v>-1.43</v>
      </c>
      <c r="K63">
        <v>164.76999999999998</v>
      </c>
      <c r="L63">
        <v>92</v>
      </c>
      <c r="M63">
        <v>72.77</v>
      </c>
    </row>
    <row r="64" spans="5:13" x14ac:dyDescent="0.15">
      <c r="E64" s="12">
        <v>68</v>
      </c>
      <c r="F64" s="11" t="s">
        <v>1292</v>
      </c>
      <c r="G64" t="s">
        <v>1293</v>
      </c>
      <c r="H64" t="s">
        <v>1290</v>
      </c>
      <c r="I64">
        <v>-7.58</v>
      </c>
      <c r="J64">
        <v>-7.33</v>
      </c>
      <c r="K64">
        <v>164.54000000000002</v>
      </c>
      <c r="L64">
        <v>69.87</v>
      </c>
      <c r="M64">
        <v>94.67</v>
      </c>
    </row>
    <row r="65" spans="5:13" x14ac:dyDescent="0.15">
      <c r="E65" s="12">
        <v>69</v>
      </c>
      <c r="F65" s="11" t="s">
        <v>458</v>
      </c>
      <c r="G65" t="s">
        <v>1294</v>
      </c>
      <c r="H65" t="s">
        <v>1290</v>
      </c>
      <c r="I65">
        <v>-0.79</v>
      </c>
      <c r="J65">
        <v>-1.22</v>
      </c>
      <c r="K65">
        <v>164.31</v>
      </c>
      <c r="L65">
        <v>91.89</v>
      </c>
      <c r="M65">
        <v>72.42</v>
      </c>
    </row>
    <row r="66" spans="5:13" x14ac:dyDescent="0.15">
      <c r="E66" s="12">
        <v>70</v>
      </c>
      <c r="F66" s="11" t="s">
        <v>1295</v>
      </c>
      <c r="G66" t="s">
        <v>1296</v>
      </c>
      <c r="H66" t="s">
        <v>1290</v>
      </c>
      <c r="I66">
        <v>0.05</v>
      </c>
      <c r="J66">
        <v>-0.42</v>
      </c>
      <c r="K66">
        <v>164.07999999999998</v>
      </c>
      <c r="L66">
        <v>94.67</v>
      </c>
      <c r="M66">
        <v>69.41</v>
      </c>
    </row>
    <row r="67" spans="5:13" x14ac:dyDescent="0.15">
      <c r="E67" s="12">
        <v>71</v>
      </c>
      <c r="F67" s="11" t="s">
        <v>1297</v>
      </c>
      <c r="G67" t="s">
        <v>1298</v>
      </c>
      <c r="H67" t="s">
        <v>1290</v>
      </c>
      <c r="I67">
        <v>-5.96</v>
      </c>
      <c r="J67">
        <v>-4.51</v>
      </c>
      <c r="K67">
        <v>163.97</v>
      </c>
      <c r="L67">
        <v>78.22</v>
      </c>
      <c r="M67">
        <v>85.75</v>
      </c>
    </row>
    <row r="68" spans="5:13" x14ac:dyDescent="0.15">
      <c r="E68" s="12">
        <v>72</v>
      </c>
      <c r="F68" s="11" t="s">
        <v>555</v>
      </c>
      <c r="G68" t="s">
        <v>1299</v>
      </c>
      <c r="H68" t="s">
        <v>1290</v>
      </c>
      <c r="I68">
        <v>-6.54</v>
      </c>
      <c r="J68">
        <v>-5.77</v>
      </c>
      <c r="K68">
        <v>163.85</v>
      </c>
      <c r="L68">
        <v>72.89</v>
      </c>
      <c r="M68">
        <v>90.96</v>
      </c>
    </row>
    <row r="69" spans="5:13" x14ac:dyDescent="0.15">
      <c r="E69" s="12">
        <v>73</v>
      </c>
      <c r="F69" s="11" t="s">
        <v>518</v>
      </c>
      <c r="G69" t="s">
        <v>1300</v>
      </c>
      <c r="H69" t="s">
        <v>1290</v>
      </c>
      <c r="I69">
        <v>-2.67</v>
      </c>
      <c r="J69">
        <v>-2.2999999999999998</v>
      </c>
      <c r="K69">
        <v>163.84</v>
      </c>
      <c r="L69">
        <v>88.64</v>
      </c>
      <c r="M69">
        <v>75.2</v>
      </c>
    </row>
    <row r="70" spans="5:13" x14ac:dyDescent="0.15">
      <c r="E70" s="12">
        <v>74</v>
      </c>
      <c r="F70" s="11" t="s">
        <v>1301</v>
      </c>
      <c r="G70" t="s">
        <v>1302</v>
      </c>
      <c r="H70" t="s">
        <v>1290</v>
      </c>
      <c r="I70">
        <v>1.4</v>
      </c>
      <c r="J70">
        <v>-0.25</v>
      </c>
      <c r="K70">
        <v>163.73000000000002</v>
      </c>
      <c r="L70">
        <v>98.61</v>
      </c>
      <c r="M70">
        <v>65.12</v>
      </c>
    </row>
    <row r="71" spans="5:13" x14ac:dyDescent="0.15">
      <c r="E71" s="12">
        <v>75</v>
      </c>
      <c r="F71" s="11" t="s">
        <v>1023</v>
      </c>
      <c r="G71" t="s">
        <v>1303</v>
      </c>
      <c r="H71" t="s">
        <v>1290</v>
      </c>
      <c r="I71">
        <v>-3.02</v>
      </c>
      <c r="J71">
        <v>-2.4500000000000002</v>
      </c>
      <c r="K71">
        <v>163.62</v>
      </c>
      <c r="L71">
        <v>87.72</v>
      </c>
      <c r="M71">
        <v>75.900000000000006</v>
      </c>
    </row>
    <row r="72" spans="5:13" x14ac:dyDescent="0.15">
      <c r="E72" s="12">
        <v>76</v>
      </c>
      <c r="F72" s="11" t="s">
        <v>948</v>
      </c>
      <c r="G72" t="s">
        <v>1304</v>
      </c>
      <c r="H72" t="s">
        <v>1290</v>
      </c>
      <c r="I72">
        <v>-0.9</v>
      </c>
      <c r="J72">
        <v>-0.81</v>
      </c>
      <c r="K72">
        <v>163.61000000000001</v>
      </c>
      <c r="L72">
        <v>91.54</v>
      </c>
      <c r="M72">
        <v>72.069999999999993</v>
      </c>
    </row>
    <row r="73" spans="5:13" x14ac:dyDescent="0.15">
      <c r="E73" s="12">
        <v>77</v>
      </c>
      <c r="F73" s="11" t="s">
        <v>1305</v>
      </c>
      <c r="G73" t="s">
        <v>1306</v>
      </c>
      <c r="H73" t="s">
        <v>1290</v>
      </c>
      <c r="I73">
        <v>1.43</v>
      </c>
      <c r="J73">
        <v>-0.23</v>
      </c>
      <c r="K73">
        <v>163.38999999999999</v>
      </c>
      <c r="L73">
        <v>98.73</v>
      </c>
      <c r="M73">
        <v>64.66</v>
      </c>
    </row>
    <row r="74" spans="5:13" x14ac:dyDescent="0.15">
      <c r="E74" s="12">
        <v>78</v>
      </c>
      <c r="F74" s="11" t="s">
        <v>1307</v>
      </c>
      <c r="G74" t="s">
        <v>1308</v>
      </c>
      <c r="H74" t="s">
        <v>1290</v>
      </c>
      <c r="I74">
        <v>-5.12</v>
      </c>
      <c r="J74">
        <v>-3.89</v>
      </c>
      <c r="K74">
        <v>163.38999999999999</v>
      </c>
      <c r="L74">
        <v>81.23</v>
      </c>
      <c r="M74">
        <v>82.16</v>
      </c>
    </row>
    <row r="75" spans="5:13" x14ac:dyDescent="0.15">
      <c r="E75" s="12">
        <v>79</v>
      </c>
      <c r="F75" s="11" t="s">
        <v>1309</v>
      </c>
      <c r="G75" t="s">
        <v>1310</v>
      </c>
      <c r="H75" t="s">
        <v>1290</v>
      </c>
      <c r="I75">
        <v>1.39</v>
      </c>
      <c r="J75">
        <v>-0.25</v>
      </c>
      <c r="K75">
        <v>163.38</v>
      </c>
      <c r="L75">
        <v>98.49</v>
      </c>
      <c r="M75">
        <v>64.89</v>
      </c>
    </row>
    <row r="76" spans="5:13" x14ac:dyDescent="0.15">
      <c r="E76" s="12">
        <v>80</v>
      </c>
      <c r="F76" s="11" t="s">
        <v>559</v>
      </c>
      <c r="G76" t="s">
        <v>1311</v>
      </c>
      <c r="H76" t="s">
        <v>1290</v>
      </c>
      <c r="I76">
        <v>-8.2100000000000009</v>
      </c>
      <c r="J76">
        <v>-8.8800000000000008</v>
      </c>
      <c r="K76">
        <v>163.26999999999998</v>
      </c>
      <c r="L76">
        <v>66.63</v>
      </c>
      <c r="M76">
        <v>96.64</v>
      </c>
    </row>
    <row r="77" spans="5:13" x14ac:dyDescent="0.15">
      <c r="E77" s="12">
        <v>81</v>
      </c>
      <c r="F77" s="11" t="s">
        <v>1028</v>
      </c>
      <c r="G77" t="s">
        <v>408</v>
      </c>
      <c r="H77" t="s">
        <v>1290</v>
      </c>
      <c r="I77">
        <v>-1.89</v>
      </c>
      <c r="J77">
        <v>-1.75</v>
      </c>
      <c r="K77">
        <v>163.16</v>
      </c>
      <c r="L77">
        <v>89.46</v>
      </c>
      <c r="M77">
        <v>73.7</v>
      </c>
    </row>
    <row r="78" spans="5:13" x14ac:dyDescent="0.15">
      <c r="E78" s="12">
        <v>82</v>
      </c>
      <c r="F78" s="11" t="s">
        <v>1048</v>
      </c>
      <c r="G78" t="s">
        <v>1312</v>
      </c>
      <c r="H78" t="s">
        <v>1290</v>
      </c>
      <c r="I78">
        <v>-3.8</v>
      </c>
      <c r="J78">
        <v>-3.22</v>
      </c>
      <c r="K78">
        <v>163.14999999999998</v>
      </c>
      <c r="L78">
        <v>84.82</v>
      </c>
      <c r="M78">
        <v>78.33</v>
      </c>
    </row>
    <row r="79" spans="5:13" x14ac:dyDescent="0.15">
      <c r="E79" s="12">
        <v>83</v>
      </c>
      <c r="F79" s="11" t="s">
        <v>1064</v>
      </c>
      <c r="G79" t="s">
        <v>1313</v>
      </c>
      <c r="H79" t="s">
        <v>1290</v>
      </c>
      <c r="I79">
        <v>-1.81</v>
      </c>
      <c r="J79">
        <v>-1.53</v>
      </c>
      <c r="K79">
        <v>162.92000000000002</v>
      </c>
      <c r="L79">
        <v>89.8</v>
      </c>
      <c r="M79">
        <v>73.12</v>
      </c>
    </row>
    <row r="80" spans="5:13" x14ac:dyDescent="0.15">
      <c r="E80" s="12">
        <v>84</v>
      </c>
      <c r="F80" s="11" t="s">
        <v>860</v>
      </c>
      <c r="G80" t="s">
        <v>1314</v>
      </c>
      <c r="H80" t="s">
        <v>1290</v>
      </c>
      <c r="I80">
        <v>-1.1499999999999999</v>
      </c>
      <c r="J80">
        <v>-0.77</v>
      </c>
      <c r="K80">
        <v>162.92000000000002</v>
      </c>
      <c r="L80">
        <v>91.08</v>
      </c>
      <c r="M80">
        <v>71.84</v>
      </c>
    </row>
    <row r="81" spans="5:13" x14ac:dyDescent="0.15">
      <c r="E81" s="12">
        <v>85</v>
      </c>
      <c r="F81" s="11" t="s">
        <v>515</v>
      </c>
      <c r="G81" t="s">
        <v>1315</v>
      </c>
      <c r="H81" t="s">
        <v>1290</v>
      </c>
      <c r="I81">
        <v>-5.78</v>
      </c>
      <c r="J81">
        <v>-4.0199999999999996</v>
      </c>
      <c r="K81">
        <v>162.57</v>
      </c>
      <c r="L81">
        <v>79.14</v>
      </c>
      <c r="M81">
        <v>83.43</v>
      </c>
    </row>
    <row r="82" spans="5:13" x14ac:dyDescent="0.15">
      <c r="E82" s="12">
        <v>86</v>
      </c>
      <c r="F82" s="11" t="s">
        <v>963</v>
      </c>
      <c r="G82" t="s">
        <v>400</v>
      </c>
      <c r="H82" t="s">
        <v>1290</v>
      </c>
      <c r="I82">
        <v>-4.6399999999999997</v>
      </c>
      <c r="J82">
        <v>-3.6</v>
      </c>
      <c r="K82">
        <v>162.45999999999998</v>
      </c>
      <c r="L82">
        <v>82.39</v>
      </c>
      <c r="M82">
        <v>80.069999999999993</v>
      </c>
    </row>
    <row r="83" spans="5:13" x14ac:dyDescent="0.15">
      <c r="E83" s="12">
        <v>87</v>
      </c>
      <c r="F83" s="11" t="s">
        <v>792</v>
      </c>
      <c r="G83" t="s">
        <v>1316</v>
      </c>
      <c r="H83" t="s">
        <v>1290</v>
      </c>
      <c r="I83">
        <v>1.26</v>
      </c>
      <c r="J83">
        <v>-0.23</v>
      </c>
      <c r="K83">
        <v>162.34</v>
      </c>
      <c r="L83">
        <v>97.91</v>
      </c>
      <c r="M83">
        <v>64.430000000000007</v>
      </c>
    </row>
    <row r="84" spans="5:13" x14ac:dyDescent="0.15">
      <c r="E84" s="12">
        <v>88</v>
      </c>
      <c r="F84" s="11" t="s">
        <v>1317</v>
      </c>
      <c r="G84" t="s">
        <v>1318</v>
      </c>
      <c r="H84" t="s">
        <v>1290</v>
      </c>
      <c r="I84">
        <v>0.48</v>
      </c>
      <c r="J84">
        <v>-0.27</v>
      </c>
      <c r="K84">
        <v>162.11000000000001</v>
      </c>
      <c r="L84">
        <v>96.41</v>
      </c>
      <c r="M84">
        <v>65.7</v>
      </c>
    </row>
    <row r="85" spans="5:13" x14ac:dyDescent="0.15">
      <c r="E85" s="12">
        <v>89</v>
      </c>
      <c r="F85" s="11" t="s">
        <v>765</v>
      </c>
      <c r="G85" t="s">
        <v>1319</v>
      </c>
      <c r="H85" t="s">
        <v>1290</v>
      </c>
      <c r="I85">
        <v>-5.08</v>
      </c>
      <c r="J85">
        <v>-3.75</v>
      </c>
      <c r="K85">
        <v>162.10000000000002</v>
      </c>
      <c r="L85">
        <v>81.34</v>
      </c>
      <c r="M85">
        <v>80.760000000000005</v>
      </c>
    </row>
    <row r="86" spans="5:13" x14ac:dyDescent="0.15">
      <c r="E86" s="12">
        <v>90</v>
      </c>
      <c r="F86" s="11" t="s">
        <v>1320</v>
      </c>
      <c r="G86" t="s">
        <v>1321</v>
      </c>
      <c r="H86" t="s">
        <v>1290</v>
      </c>
      <c r="I86">
        <v>-7.42</v>
      </c>
      <c r="J86">
        <v>-5.65</v>
      </c>
      <c r="K86">
        <v>161.65</v>
      </c>
      <c r="L86">
        <v>71.150000000000006</v>
      </c>
      <c r="M86">
        <v>90.5</v>
      </c>
    </row>
    <row r="87" spans="5:13" x14ac:dyDescent="0.15">
      <c r="E87" s="12">
        <v>91</v>
      </c>
      <c r="F87" s="11" t="s">
        <v>916</v>
      </c>
      <c r="G87" t="s">
        <v>1322</v>
      </c>
      <c r="H87" t="s">
        <v>1290</v>
      </c>
      <c r="I87">
        <v>-3.58</v>
      </c>
      <c r="J87">
        <v>-2.38</v>
      </c>
      <c r="K87">
        <v>161.63999999999999</v>
      </c>
      <c r="L87">
        <v>86.21</v>
      </c>
      <c r="M87">
        <v>75.430000000000007</v>
      </c>
    </row>
    <row r="88" spans="5:13" x14ac:dyDescent="0.15">
      <c r="E88" s="12">
        <v>92</v>
      </c>
      <c r="F88" s="11" t="s">
        <v>815</v>
      </c>
      <c r="G88" t="s">
        <v>1323</v>
      </c>
      <c r="H88" t="s">
        <v>1290</v>
      </c>
      <c r="I88">
        <v>-3.87</v>
      </c>
      <c r="J88">
        <v>-2.71</v>
      </c>
      <c r="K88">
        <v>161.63999999999999</v>
      </c>
      <c r="L88">
        <v>84.7</v>
      </c>
      <c r="M88">
        <v>76.94</v>
      </c>
    </row>
    <row r="89" spans="5:13" x14ac:dyDescent="0.15">
      <c r="E89" s="12">
        <v>93</v>
      </c>
      <c r="F89" s="11" t="s">
        <v>1324</v>
      </c>
      <c r="G89" t="s">
        <v>1325</v>
      </c>
      <c r="H89" t="s">
        <v>1290</v>
      </c>
      <c r="I89">
        <v>-0.51</v>
      </c>
      <c r="J89">
        <v>-0.35</v>
      </c>
      <c r="K89">
        <v>161.53</v>
      </c>
      <c r="L89">
        <v>93.74</v>
      </c>
      <c r="M89">
        <v>67.790000000000006</v>
      </c>
    </row>
    <row r="90" spans="5:13" x14ac:dyDescent="0.15">
      <c r="E90" s="12">
        <v>94</v>
      </c>
      <c r="F90" s="11" t="s">
        <v>711</v>
      </c>
      <c r="G90" t="s">
        <v>392</v>
      </c>
      <c r="H90" t="s">
        <v>1290</v>
      </c>
      <c r="I90">
        <v>-2.34</v>
      </c>
      <c r="J90">
        <v>-0.97</v>
      </c>
      <c r="K90">
        <v>161.53</v>
      </c>
      <c r="L90">
        <v>89.22</v>
      </c>
      <c r="M90">
        <v>72.31</v>
      </c>
    </row>
    <row r="91" spans="5:13" x14ac:dyDescent="0.15">
      <c r="E91" s="12">
        <v>95</v>
      </c>
      <c r="F91" s="11" t="s">
        <v>683</v>
      </c>
      <c r="G91" t="s">
        <v>1319</v>
      </c>
      <c r="H91" t="s">
        <v>1290</v>
      </c>
      <c r="I91">
        <v>-5.33</v>
      </c>
      <c r="J91">
        <v>-3.86</v>
      </c>
      <c r="K91">
        <v>161.42000000000002</v>
      </c>
      <c r="L91">
        <v>80.19</v>
      </c>
      <c r="M91">
        <v>81.23</v>
      </c>
    </row>
    <row r="92" spans="5:13" x14ac:dyDescent="0.15">
      <c r="E92" s="12">
        <v>96</v>
      </c>
      <c r="F92" s="11" t="s">
        <v>748</v>
      </c>
      <c r="G92" t="s">
        <v>1326</v>
      </c>
      <c r="H92" t="s">
        <v>1290</v>
      </c>
      <c r="I92">
        <v>-3.23</v>
      </c>
      <c r="J92">
        <v>-2.0099999999999998</v>
      </c>
      <c r="K92">
        <v>161.30000000000001</v>
      </c>
      <c r="L92">
        <v>87.14</v>
      </c>
      <c r="M92">
        <v>74.16</v>
      </c>
    </row>
    <row r="93" spans="5:13" x14ac:dyDescent="0.15">
      <c r="E93" s="12">
        <v>97</v>
      </c>
      <c r="F93" s="11" t="s">
        <v>744</v>
      </c>
      <c r="G93" t="s">
        <v>1327</v>
      </c>
      <c r="H93" t="s">
        <v>1290</v>
      </c>
      <c r="I93">
        <v>1.26</v>
      </c>
      <c r="J93">
        <v>-0.2</v>
      </c>
      <c r="K93">
        <v>161.30000000000001</v>
      </c>
      <c r="L93">
        <v>98.03</v>
      </c>
      <c r="M93">
        <v>63.27</v>
      </c>
    </row>
    <row r="94" spans="5:13" x14ac:dyDescent="0.15">
      <c r="E94" s="12">
        <v>98</v>
      </c>
      <c r="F94" s="11" t="s">
        <v>826</v>
      </c>
      <c r="G94" t="s">
        <v>1328</v>
      </c>
      <c r="H94" t="s">
        <v>1290</v>
      </c>
      <c r="I94">
        <v>1.28</v>
      </c>
      <c r="J94">
        <v>-0.2</v>
      </c>
      <c r="K94">
        <v>161.19</v>
      </c>
      <c r="L94">
        <v>98.15</v>
      </c>
      <c r="M94">
        <v>63.04</v>
      </c>
    </row>
    <row r="95" spans="5:13" x14ac:dyDescent="0.15">
      <c r="E95" s="12">
        <v>99</v>
      </c>
      <c r="F95" s="11" t="s">
        <v>590</v>
      </c>
      <c r="G95" t="s">
        <v>1329</v>
      </c>
      <c r="H95" t="s">
        <v>1290</v>
      </c>
      <c r="I95">
        <v>6.07</v>
      </c>
      <c r="J95">
        <v>-0.15</v>
      </c>
      <c r="K95">
        <v>160.70999999999998</v>
      </c>
      <c r="L95">
        <v>99.88</v>
      </c>
      <c r="M95">
        <v>60.83</v>
      </c>
    </row>
    <row r="96" spans="5:13" x14ac:dyDescent="0.15">
      <c r="E96" s="12">
        <v>100</v>
      </c>
      <c r="F96" s="11" t="s">
        <v>810</v>
      </c>
      <c r="G96" t="s">
        <v>1330</v>
      </c>
      <c r="H96" t="s">
        <v>1290</v>
      </c>
      <c r="I96">
        <v>-5.48</v>
      </c>
      <c r="J96">
        <v>-3.72</v>
      </c>
      <c r="K96">
        <v>160.48000000000002</v>
      </c>
      <c r="L96">
        <v>79.95</v>
      </c>
      <c r="M96">
        <v>80.53</v>
      </c>
    </row>
    <row r="97" spans="5:13" x14ac:dyDescent="0.15">
      <c r="E97" s="12">
        <v>101</v>
      </c>
      <c r="F97" s="11" t="s">
        <v>1074</v>
      </c>
      <c r="G97" t="s">
        <v>1331</v>
      </c>
      <c r="H97" t="s">
        <v>1290</v>
      </c>
      <c r="I97">
        <v>-4.9800000000000004</v>
      </c>
      <c r="J97">
        <v>-3.28</v>
      </c>
      <c r="K97">
        <v>160.48000000000002</v>
      </c>
      <c r="L97">
        <v>81.69</v>
      </c>
      <c r="M97">
        <v>78.790000000000006</v>
      </c>
    </row>
    <row r="98" spans="5:13" x14ac:dyDescent="0.15">
      <c r="E98" s="12">
        <v>102</v>
      </c>
      <c r="F98" s="11" t="s">
        <v>912</v>
      </c>
      <c r="G98" t="s">
        <v>1332</v>
      </c>
      <c r="H98" t="s">
        <v>1290</v>
      </c>
      <c r="I98">
        <v>-9.59</v>
      </c>
      <c r="J98">
        <v>-11.29</v>
      </c>
      <c r="K98">
        <v>160.03</v>
      </c>
      <c r="L98">
        <v>60.49</v>
      </c>
      <c r="M98">
        <v>99.54</v>
      </c>
    </row>
    <row r="99" spans="5:13" x14ac:dyDescent="0.15">
      <c r="E99" s="12">
        <v>103</v>
      </c>
      <c r="F99" s="11" t="s">
        <v>882</v>
      </c>
      <c r="G99" t="s">
        <v>1333</v>
      </c>
      <c r="H99" t="s">
        <v>1290</v>
      </c>
      <c r="I99">
        <v>-4.49</v>
      </c>
      <c r="J99">
        <v>-2.82</v>
      </c>
      <c r="K99">
        <v>160.01999999999998</v>
      </c>
      <c r="L99">
        <v>82.85</v>
      </c>
      <c r="M99">
        <v>77.17</v>
      </c>
    </row>
    <row r="100" spans="5:13" x14ac:dyDescent="0.15">
      <c r="E100" s="12">
        <v>104</v>
      </c>
      <c r="F100" s="11" t="s">
        <v>1054</v>
      </c>
      <c r="G100" t="s">
        <v>1334</v>
      </c>
      <c r="H100" t="s">
        <v>1290</v>
      </c>
      <c r="I100">
        <v>-5.39</v>
      </c>
      <c r="J100">
        <v>-3.53</v>
      </c>
      <c r="K100">
        <v>159.91</v>
      </c>
      <c r="L100">
        <v>80.069999999999993</v>
      </c>
      <c r="M100">
        <v>79.84</v>
      </c>
    </row>
    <row r="101" spans="5:13" x14ac:dyDescent="0.15">
      <c r="E101" s="12">
        <v>105</v>
      </c>
      <c r="F101" s="11" t="s">
        <v>788</v>
      </c>
      <c r="G101" t="s">
        <v>1335</v>
      </c>
      <c r="H101" t="s">
        <v>1290</v>
      </c>
      <c r="I101">
        <v>-3.99</v>
      </c>
      <c r="J101">
        <v>-2.4300000000000002</v>
      </c>
      <c r="K101">
        <v>159.56</v>
      </c>
      <c r="L101">
        <v>83.78</v>
      </c>
      <c r="M101">
        <v>75.78</v>
      </c>
    </row>
    <row r="102" spans="5:13" x14ac:dyDescent="0.15">
      <c r="E102" s="12">
        <v>106</v>
      </c>
      <c r="F102" s="11" t="s">
        <v>571</v>
      </c>
      <c r="G102" t="s">
        <v>1336</v>
      </c>
      <c r="H102" t="s">
        <v>1290</v>
      </c>
      <c r="I102">
        <v>-9.74</v>
      </c>
      <c r="J102">
        <v>-11.24</v>
      </c>
      <c r="K102">
        <v>159.44</v>
      </c>
      <c r="L102">
        <v>60.02</v>
      </c>
      <c r="M102">
        <v>99.42</v>
      </c>
    </row>
    <row r="103" spans="5:13" x14ac:dyDescent="0.15">
      <c r="E103" s="12">
        <v>107</v>
      </c>
      <c r="F103" s="11" t="s">
        <v>795</v>
      </c>
      <c r="G103" t="s">
        <v>1337</v>
      </c>
      <c r="H103" t="s">
        <v>1290</v>
      </c>
      <c r="I103">
        <v>-3.88</v>
      </c>
      <c r="J103">
        <v>-2.09</v>
      </c>
      <c r="K103">
        <v>158.86000000000001</v>
      </c>
      <c r="L103">
        <v>84.47</v>
      </c>
      <c r="M103">
        <v>74.39</v>
      </c>
    </row>
    <row r="104" spans="5:13" x14ac:dyDescent="0.15">
      <c r="E104" s="12">
        <v>108</v>
      </c>
      <c r="F104" s="11" t="s">
        <v>949</v>
      </c>
      <c r="G104" t="s">
        <v>1338</v>
      </c>
      <c r="H104" t="s">
        <v>1290</v>
      </c>
      <c r="I104">
        <v>1.45</v>
      </c>
      <c r="J104">
        <v>-0.13</v>
      </c>
      <c r="K104">
        <v>158.16999999999999</v>
      </c>
      <c r="L104">
        <v>99.07</v>
      </c>
      <c r="M104">
        <v>59.1</v>
      </c>
    </row>
    <row r="105" spans="5:13" x14ac:dyDescent="0.15">
      <c r="E105" s="12">
        <v>109</v>
      </c>
      <c r="F105" s="11" t="s">
        <v>862</v>
      </c>
      <c r="G105" t="s">
        <v>1339</v>
      </c>
      <c r="H105" t="s">
        <v>1290</v>
      </c>
      <c r="I105">
        <v>-3.89</v>
      </c>
      <c r="J105">
        <v>-1.6</v>
      </c>
      <c r="K105">
        <v>157.59</v>
      </c>
      <c r="L105">
        <v>84.36</v>
      </c>
      <c r="M105">
        <v>73.23</v>
      </c>
    </row>
    <row r="106" spans="5:13" x14ac:dyDescent="0.15">
      <c r="E106" s="12">
        <v>110</v>
      </c>
      <c r="F106" s="11" t="s">
        <v>509</v>
      </c>
      <c r="G106" t="s">
        <v>1340</v>
      </c>
      <c r="H106" t="s">
        <v>1290</v>
      </c>
      <c r="I106">
        <v>-5.92</v>
      </c>
      <c r="J106">
        <v>-3.28</v>
      </c>
      <c r="K106">
        <v>157.47</v>
      </c>
      <c r="L106">
        <v>78.56</v>
      </c>
      <c r="M106">
        <v>78.91</v>
      </c>
    </row>
    <row r="107" spans="5:13" x14ac:dyDescent="0.15">
      <c r="E107" s="12">
        <v>111</v>
      </c>
      <c r="F107" s="11" t="s">
        <v>641</v>
      </c>
      <c r="G107" t="s">
        <v>1341</v>
      </c>
      <c r="H107" t="s">
        <v>1290</v>
      </c>
      <c r="I107">
        <v>-9.2200000000000006</v>
      </c>
      <c r="J107">
        <v>-7.43</v>
      </c>
      <c r="K107">
        <v>157.01</v>
      </c>
      <c r="L107">
        <v>61.88</v>
      </c>
      <c r="M107">
        <v>95.13</v>
      </c>
    </row>
    <row r="108" spans="5:13" x14ac:dyDescent="0.15">
      <c r="E108" s="12">
        <v>112</v>
      </c>
      <c r="F108" s="11" t="s">
        <v>993</v>
      </c>
      <c r="G108" t="s">
        <v>1342</v>
      </c>
      <c r="H108" t="s">
        <v>1290</v>
      </c>
      <c r="I108">
        <v>-6.35</v>
      </c>
      <c r="J108">
        <v>-3.88</v>
      </c>
      <c r="K108">
        <v>156.78</v>
      </c>
      <c r="L108">
        <v>74.97</v>
      </c>
      <c r="M108">
        <v>81.81</v>
      </c>
    </row>
    <row r="109" spans="5:13" x14ac:dyDescent="0.15">
      <c r="E109" s="12">
        <v>113</v>
      </c>
      <c r="F109" s="11" t="s">
        <v>670</v>
      </c>
      <c r="G109" t="s">
        <v>1343</v>
      </c>
      <c r="H109" t="s">
        <v>1290</v>
      </c>
      <c r="I109">
        <v>1.2</v>
      </c>
      <c r="J109">
        <v>-0.13</v>
      </c>
      <c r="K109">
        <v>156.78</v>
      </c>
      <c r="L109">
        <v>97.8</v>
      </c>
      <c r="M109">
        <v>58.98</v>
      </c>
    </row>
    <row r="110" spans="5:13" x14ac:dyDescent="0.15">
      <c r="E110" s="12">
        <v>114</v>
      </c>
      <c r="F110" s="11" t="s">
        <v>861</v>
      </c>
      <c r="G110" t="s">
        <v>1344</v>
      </c>
      <c r="H110" t="s">
        <v>1290</v>
      </c>
      <c r="I110">
        <v>-5.58</v>
      </c>
      <c r="J110">
        <v>-2.74</v>
      </c>
      <c r="K110">
        <v>156.78</v>
      </c>
      <c r="L110">
        <v>79.72</v>
      </c>
      <c r="M110">
        <v>77.06</v>
      </c>
    </row>
    <row r="111" spans="5:13" x14ac:dyDescent="0.15">
      <c r="E111" s="12">
        <v>115</v>
      </c>
      <c r="F111" s="11" t="s">
        <v>975</v>
      </c>
      <c r="G111" t="s">
        <v>1345</v>
      </c>
      <c r="H111" t="s">
        <v>1290</v>
      </c>
      <c r="I111">
        <v>-0.53</v>
      </c>
      <c r="J111">
        <v>-0.2</v>
      </c>
      <c r="K111">
        <v>156.66</v>
      </c>
      <c r="L111">
        <v>93.51</v>
      </c>
      <c r="M111">
        <v>63.15</v>
      </c>
    </row>
    <row r="112" spans="5:13" x14ac:dyDescent="0.15">
      <c r="E112" s="12">
        <v>116</v>
      </c>
      <c r="F112" s="11" t="s">
        <v>802</v>
      </c>
      <c r="G112" t="s">
        <v>1346</v>
      </c>
      <c r="H112" t="s">
        <v>1290</v>
      </c>
      <c r="I112">
        <v>-10.14</v>
      </c>
      <c r="J112">
        <v>-9.6300000000000008</v>
      </c>
      <c r="K112">
        <v>156.55000000000001</v>
      </c>
      <c r="L112">
        <v>58.17</v>
      </c>
      <c r="M112">
        <v>98.38</v>
      </c>
    </row>
    <row r="113" spans="5:13" x14ac:dyDescent="0.15">
      <c r="E113" s="12">
        <v>117</v>
      </c>
      <c r="F113" s="11" t="s">
        <v>910</v>
      </c>
      <c r="G113" t="s">
        <v>1347</v>
      </c>
      <c r="H113" t="s">
        <v>1290</v>
      </c>
      <c r="I113">
        <v>-3.29</v>
      </c>
      <c r="J113">
        <v>-0.42</v>
      </c>
      <c r="K113">
        <v>156.43</v>
      </c>
      <c r="L113">
        <v>86.91</v>
      </c>
      <c r="M113">
        <v>69.52</v>
      </c>
    </row>
    <row r="114" spans="5:13" x14ac:dyDescent="0.15">
      <c r="E114" s="12">
        <v>118</v>
      </c>
      <c r="F114" s="11" t="s">
        <v>768</v>
      </c>
      <c r="G114" t="s">
        <v>1348</v>
      </c>
      <c r="H114" t="s">
        <v>1290</v>
      </c>
      <c r="I114">
        <v>0.49</v>
      </c>
      <c r="J114">
        <v>-0.14000000000000001</v>
      </c>
      <c r="K114">
        <v>156.07999999999998</v>
      </c>
      <c r="L114">
        <v>96.64</v>
      </c>
      <c r="M114">
        <v>59.44</v>
      </c>
    </row>
    <row r="115" spans="5:13" x14ac:dyDescent="0.15">
      <c r="E115" s="12">
        <v>119</v>
      </c>
      <c r="F115" s="11" t="s">
        <v>820</v>
      </c>
      <c r="G115" t="s">
        <v>1349</v>
      </c>
      <c r="H115" t="s">
        <v>1290</v>
      </c>
      <c r="I115">
        <v>-8.0299999999999994</v>
      </c>
      <c r="J115">
        <v>-5.05</v>
      </c>
      <c r="K115">
        <v>155.38999999999999</v>
      </c>
      <c r="L115">
        <v>67.09</v>
      </c>
      <c r="M115">
        <v>88.3</v>
      </c>
    </row>
    <row r="116" spans="5:13" x14ac:dyDescent="0.15">
      <c r="E116" s="12">
        <v>120</v>
      </c>
      <c r="F116" s="11" t="s">
        <v>1063</v>
      </c>
      <c r="G116" t="s">
        <v>1350</v>
      </c>
      <c r="H116" t="s">
        <v>1290</v>
      </c>
      <c r="I116">
        <v>-7.68</v>
      </c>
      <c r="J116">
        <v>-4.72</v>
      </c>
      <c r="K116">
        <v>155.38999999999999</v>
      </c>
      <c r="L116">
        <v>68.95</v>
      </c>
      <c r="M116">
        <v>86.44</v>
      </c>
    </row>
    <row r="117" spans="5:13" x14ac:dyDescent="0.15">
      <c r="E117" s="12">
        <v>121</v>
      </c>
      <c r="F117" s="11" t="s">
        <v>934</v>
      </c>
      <c r="G117" t="s">
        <v>394</v>
      </c>
      <c r="H117" t="s">
        <v>1290</v>
      </c>
      <c r="I117">
        <v>-9.19</v>
      </c>
      <c r="J117">
        <v>-6.45</v>
      </c>
      <c r="K117">
        <v>155.27000000000001</v>
      </c>
      <c r="L117">
        <v>62.34</v>
      </c>
      <c r="M117">
        <v>92.93</v>
      </c>
    </row>
    <row r="118" spans="5:13" x14ac:dyDescent="0.15">
      <c r="E118" s="12">
        <v>122</v>
      </c>
      <c r="F118" s="11" t="s">
        <v>682</v>
      </c>
      <c r="G118" t="s">
        <v>1351</v>
      </c>
      <c r="H118" t="s">
        <v>1290</v>
      </c>
      <c r="I118">
        <v>-8.41</v>
      </c>
      <c r="J118">
        <v>-5.34</v>
      </c>
      <c r="K118">
        <v>155.26999999999998</v>
      </c>
      <c r="L118">
        <v>65.7</v>
      </c>
      <c r="M118">
        <v>89.57</v>
      </c>
    </row>
    <row r="119" spans="5:13" x14ac:dyDescent="0.15">
      <c r="E119" s="12">
        <v>123</v>
      </c>
      <c r="F119" s="11" t="s">
        <v>738</v>
      </c>
      <c r="G119" t="s">
        <v>1352</v>
      </c>
      <c r="H119" t="s">
        <v>1290</v>
      </c>
      <c r="I119">
        <v>-7.78</v>
      </c>
      <c r="J119">
        <v>-4.8899999999999997</v>
      </c>
      <c r="K119">
        <v>155.26999999999998</v>
      </c>
      <c r="L119">
        <v>68.13</v>
      </c>
      <c r="M119">
        <v>87.14</v>
      </c>
    </row>
    <row r="120" spans="5:13" x14ac:dyDescent="0.15">
      <c r="E120" s="12">
        <v>124</v>
      </c>
      <c r="F120" s="11" t="s">
        <v>665</v>
      </c>
      <c r="G120" t="s">
        <v>407</v>
      </c>
      <c r="H120" t="s">
        <v>1290</v>
      </c>
      <c r="I120">
        <v>1.44</v>
      </c>
      <c r="J120">
        <v>-0.08</v>
      </c>
      <c r="K120">
        <v>155.16</v>
      </c>
      <c r="L120">
        <v>98.96</v>
      </c>
      <c r="M120">
        <v>56.2</v>
      </c>
    </row>
    <row r="121" spans="5:13" x14ac:dyDescent="0.15">
      <c r="E121" s="12">
        <v>125</v>
      </c>
      <c r="F121" s="11" t="s">
        <v>474</v>
      </c>
      <c r="G121" t="s">
        <v>1353</v>
      </c>
      <c r="H121" t="s">
        <v>1290</v>
      </c>
      <c r="I121">
        <v>2.79</v>
      </c>
      <c r="J121">
        <v>-0.01</v>
      </c>
      <c r="K121">
        <v>154.69</v>
      </c>
      <c r="L121">
        <v>99.42</v>
      </c>
      <c r="M121">
        <v>55.27</v>
      </c>
    </row>
    <row r="122" spans="5:13" x14ac:dyDescent="0.15">
      <c r="E122" s="12">
        <v>126</v>
      </c>
      <c r="F122" s="11" t="s">
        <v>602</v>
      </c>
      <c r="G122" t="s">
        <v>1354</v>
      </c>
      <c r="H122" t="s">
        <v>1290</v>
      </c>
      <c r="I122">
        <v>5.92</v>
      </c>
      <c r="J122">
        <v>-0.01</v>
      </c>
      <c r="K122">
        <v>154.57999999999998</v>
      </c>
      <c r="L122">
        <v>99.77</v>
      </c>
      <c r="M122">
        <v>54.81</v>
      </c>
    </row>
    <row r="123" spans="5:13" x14ac:dyDescent="0.15">
      <c r="E123" s="12">
        <v>127</v>
      </c>
      <c r="F123" s="11" t="s">
        <v>763</v>
      </c>
      <c r="G123" t="s">
        <v>391</v>
      </c>
      <c r="H123" t="s">
        <v>1290</v>
      </c>
      <c r="I123">
        <v>-2.46</v>
      </c>
      <c r="J123">
        <v>-0.27</v>
      </c>
      <c r="K123">
        <v>154.57999999999998</v>
      </c>
      <c r="L123">
        <v>88.99</v>
      </c>
      <c r="M123">
        <v>65.59</v>
      </c>
    </row>
    <row r="124" spans="5:13" x14ac:dyDescent="0.15">
      <c r="E124" s="12">
        <v>128</v>
      </c>
      <c r="F124" s="11" t="s">
        <v>884</v>
      </c>
      <c r="G124" t="s">
        <v>1355</v>
      </c>
      <c r="H124" t="s">
        <v>1290</v>
      </c>
      <c r="I124">
        <v>-5.5</v>
      </c>
      <c r="J124">
        <v>-2.17</v>
      </c>
      <c r="K124">
        <v>154.57999999999998</v>
      </c>
      <c r="L124">
        <v>79.84</v>
      </c>
      <c r="M124">
        <v>74.739999999999995</v>
      </c>
    </row>
    <row r="125" spans="5:13" x14ac:dyDescent="0.15">
      <c r="E125" s="12">
        <v>129</v>
      </c>
      <c r="F125" s="11" t="s">
        <v>851</v>
      </c>
      <c r="G125" t="s">
        <v>1356</v>
      </c>
      <c r="H125" t="s">
        <v>1290</v>
      </c>
      <c r="I125">
        <v>-0.67</v>
      </c>
      <c r="J125">
        <v>-0.17</v>
      </c>
      <c r="K125">
        <v>154.57</v>
      </c>
      <c r="L125">
        <v>92.35</v>
      </c>
      <c r="M125">
        <v>62.22</v>
      </c>
    </row>
    <row r="126" spans="5:13" x14ac:dyDescent="0.15">
      <c r="E126" s="12">
        <v>130</v>
      </c>
      <c r="F126" s="11" t="s">
        <v>893</v>
      </c>
      <c r="G126" t="s">
        <v>1357</v>
      </c>
      <c r="H126" t="s">
        <v>1290</v>
      </c>
      <c r="I126">
        <v>-5.99</v>
      </c>
      <c r="J126">
        <v>-2.64</v>
      </c>
      <c r="K126">
        <v>154.57</v>
      </c>
      <c r="L126">
        <v>77.98</v>
      </c>
      <c r="M126">
        <v>76.59</v>
      </c>
    </row>
    <row r="127" spans="5:13" x14ac:dyDescent="0.15">
      <c r="E127" s="12">
        <v>131</v>
      </c>
      <c r="F127" s="11" t="s">
        <v>759</v>
      </c>
      <c r="G127" t="s">
        <v>1313</v>
      </c>
      <c r="H127" t="s">
        <v>1290</v>
      </c>
      <c r="I127">
        <v>-8.35</v>
      </c>
      <c r="J127">
        <v>-5.07</v>
      </c>
      <c r="K127">
        <v>154.34</v>
      </c>
      <c r="L127">
        <v>65.930000000000007</v>
      </c>
      <c r="M127">
        <v>88.41</v>
      </c>
    </row>
    <row r="128" spans="5:13" x14ac:dyDescent="0.15">
      <c r="E128" s="12">
        <v>132</v>
      </c>
      <c r="F128" s="11" t="s">
        <v>785</v>
      </c>
      <c r="G128" t="s">
        <v>1358</v>
      </c>
      <c r="H128" t="s">
        <v>1290</v>
      </c>
      <c r="I128">
        <v>-6.12</v>
      </c>
      <c r="J128">
        <v>-2.71</v>
      </c>
      <c r="K128">
        <v>154.23000000000002</v>
      </c>
      <c r="L128">
        <v>77.400000000000006</v>
      </c>
      <c r="M128">
        <v>76.83</v>
      </c>
    </row>
    <row r="129" spans="5:13" x14ac:dyDescent="0.15">
      <c r="E129" s="12">
        <v>133</v>
      </c>
      <c r="F129" s="11" t="s">
        <v>901</v>
      </c>
      <c r="G129" t="s">
        <v>1359</v>
      </c>
      <c r="H129" t="s">
        <v>1290</v>
      </c>
      <c r="I129">
        <v>-9.7799999999999994</v>
      </c>
      <c r="J129">
        <v>-6.99</v>
      </c>
      <c r="K129">
        <v>153.88</v>
      </c>
      <c r="L129">
        <v>59.91</v>
      </c>
      <c r="M129">
        <v>93.97</v>
      </c>
    </row>
    <row r="130" spans="5:13" x14ac:dyDescent="0.15">
      <c r="E130" s="12">
        <v>134</v>
      </c>
      <c r="F130" s="11" t="s">
        <v>769</v>
      </c>
      <c r="G130" t="s">
        <v>1360</v>
      </c>
      <c r="H130" t="s">
        <v>1290</v>
      </c>
      <c r="I130">
        <v>-1.86</v>
      </c>
      <c r="J130">
        <v>-0.23</v>
      </c>
      <c r="K130">
        <v>153.53</v>
      </c>
      <c r="L130">
        <v>89.57</v>
      </c>
      <c r="M130">
        <v>63.96</v>
      </c>
    </row>
    <row r="131" spans="5:13" x14ac:dyDescent="0.15">
      <c r="E131" s="12">
        <v>135</v>
      </c>
      <c r="F131" s="11" t="s">
        <v>730</v>
      </c>
      <c r="G131" t="s">
        <v>1361</v>
      </c>
      <c r="H131" t="s">
        <v>1290</v>
      </c>
      <c r="I131">
        <v>0.64</v>
      </c>
      <c r="J131">
        <v>-7.0000000000000007E-2</v>
      </c>
      <c r="K131">
        <v>153.19</v>
      </c>
      <c r="L131">
        <v>97.22</v>
      </c>
      <c r="M131">
        <v>55.97</v>
      </c>
    </row>
    <row r="132" spans="5:13" x14ac:dyDescent="0.15">
      <c r="E132" s="12">
        <v>136</v>
      </c>
      <c r="F132" s="11" t="s">
        <v>755</v>
      </c>
      <c r="G132" t="s">
        <v>1362</v>
      </c>
      <c r="H132" t="s">
        <v>1290</v>
      </c>
      <c r="I132">
        <v>-7.7</v>
      </c>
      <c r="J132">
        <v>-4.1900000000000004</v>
      </c>
      <c r="K132">
        <v>153.07</v>
      </c>
      <c r="L132">
        <v>68.709999999999994</v>
      </c>
      <c r="M132">
        <v>84.36</v>
      </c>
    </row>
    <row r="133" spans="5:13" x14ac:dyDescent="0.15">
      <c r="E133" s="12">
        <v>137</v>
      </c>
      <c r="F133" s="11" t="s">
        <v>654</v>
      </c>
      <c r="G133" t="s">
        <v>1363</v>
      </c>
      <c r="H133" t="s">
        <v>1290</v>
      </c>
      <c r="I133">
        <v>0.35</v>
      </c>
      <c r="J133">
        <v>-0.1</v>
      </c>
      <c r="K133">
        <v>153.07</v>
      </c>
      <c r="L133">
        <v>95.83</v>
      </c>
      <c r="M133">
        <v>57.24</v>
      </c>
    </row>
    <row r="134" spans="5:13" x14ac:dyDescent="0.15">
      <c r="E134" s="12">
        <v>138</v>
      </c>
      <c r="F134" s="11" t="s">
        <v>805</v>
      </c>
      <c r="G134" t="s">
        <v>1364</v>
      </c>
      <c r="H134" t="s">
        <v>1290</v>
      </c>
      <c r="I134">
        <v>-8.58</v>
      </c>
      <c r="J134">
        <v>-5.0199999999999996</v>
      </c>
      <c r="K134">
        <v>152.94999999999999</v>
      </c>
      <c r="L134">
        <v>64.77</v>
      </c>
      <c r="M134">
        <v>88.18</v>
      </c>
    </row>
    <row r="135" spans="5:13" x14ac:dyDescent="0.15">
      <c r="E135" s="12">
        <v>139</v>
      </c>
      <c r="F135" s="11" t="s">
        <v>994</v>
      </c>
      <c r="G135" t="s">
        <v>1365</v>
      </c>
      <c r="H135" t="s">
        <v>1290</v>
      </c>
      <c r="I135">
        <v>0.46</v>
      </c>
      <c r="J135">
        <v>-0.09</v>
      </c>
      <c r="K135">
        <v>152.84</v>
      </c>
      <c r="L135">
        <v>96.29</v>
      </c>
      <c r="M135">
        <v>56.55</v>
      </c>
    </row>
    <row r="136" spans="5:13" x14ac:dyDescent="0.15">
      <c r="E136" s="12">
        <v>140</v>
      </c>
      <c r="F136" s="11" t="s">
        <v>808</v>
      </c>
      <c r="G136" t="s">
        <v>1366</v>
      </c>
      <c r="H136" t="s">
        <v>1290</v>
      </c>
      <c r="I136">
        <v>-0.21</v>
      </c>
      <c r="J136">
        <v>-0.13</v>
      </c>
      <c r="K136">
        <v>152.61000000000001</v>
      </c>
      <c r="L136">
        <v>94.09</v>
      </c>
      <c r="M136">
        <v>58.52</v>
      </c>
    </row>
    <row r="137" spans="5:13" x14ac:dyDescent="0.15">
      <c r="E137" s="12">
        <v>141</v>
      </c>
      <c r="F137" s="11" t="s">
        <v>742</v>
      </c>
      <c r="G137" t="s">
        <v>1367</v>
      </c>
      <c r="H137" t="s">
        <v>1290</v>
      </c>
      <c r="I137">
        <v>-5.74</v>
      </c>
      <c r="J137">
        <v>-1.46</v>
      </c>
      <c r="K137">
        <v>152.15</v>
      </c>
      <c r="L137">
        <v>79.260000000000005</v>
      </c>
      <c r="M137">
        <v>72.89</v>
      </c>
    </row>
    <row r="138" spans="5:13" x14ac:dyDescent="0.15">
      <c r="E138" s="12">
        <v>142</v>
      </c>
      <c r="F138" s="11" t="s">
        <v>829</v>
      </c>
      <c r="G138" t="s">
        <v>1368</v>
      </c>
      <c r="H138" t="s">
        <v>1290</v>
      </c>
      <c r="I138">
        <v>-8.42</v>
      </c>
      <c r="J138">
        <v>-4.68</v>
      </c>
      <c r="K138">
        <v>151.92000000000002</v>
      </c>
      <c r="L138">
        <v>65.59</v>
      </c>
      <c r="M138">
        <v>86.33</v>
      </c>
    </row>
    <row r="139" spans="5:13" x14ac:dyDescent="0.15">
      <c r="E139" s="12">
        <v>143</v>
      </c>
      <c r="F139" s="11" t="s">
        <v>835</v>
      </c>
      <c r="G139" t="s">
        <v>1369</v>
      </c>
      <c r="H139" t="s">
        <v>1290</v>
      </c>
      <c r="I139">
        <v>-5.72</v>
      </c>
      <c r="J139">
        <v>-1.27</v>
      </c>
      <c r="K139">
        <v>151.91000000000003</v>
      </c>
      <c r="L139">
        <v>79.37</v>
      </c>
      <c r="M139">
        <v>72.540000000000006</v>
      </c>
    </row>
    <row r="140" spans="5:13" x14ac:dyDescent="0.15">
      <c r="E140" s="12">
        <v>144</v>
      </c>
      <c r="F140" s="11" t="s">
        <v>727</v>
      </c>
      <c r="G140" t="s">
        <v>1370</v>
      </c>
      <c r="H140" t="s">
        <v>1290</v>
      </c>
      <c r="I140">
        <v>-6.3</v>
      </c>
      <c r="J140">
        <v>-2.5299999999999998</v>
      </c>
      <c r="K140">
        <v>151.68</v>
      </c>
      <c r="L140">
        <v>75.55</v>
      </c>
      <c r="M140">
        <v>76.13</v>
      </c>
    </row>
    <row r="141" spans="5:13" x14ac:dyDescent="0.15">
      <c r="E141" s="12">
        <v>145</v>
      </c>
      <c r="F141" s="11" t="s">
        <v>811</v>
      </c>
      <c r="G141" t="s">
        <v>1371</v>
      </c>
      <c r="H141" t="s">
        <v>1290</v>
      </c>
      <c r="I141">
        <v>-3.72</v>
      </c>
      <c r="J141">
        <v>-0.28999999999999998</v>
      </c>
      <c r="K141">
        <v>151.68</v>
      </c>
      <c r="L141">
        <v>85.28</v>
      </c>
      <c r="M141">
        <v>66.400000000000006</v>
      </c>
    </row>
    <row r="142" spans="5:13" x14ac:dyDescent="0.15">
      <c r="E142" s="12">
        <v>146</v>
      </c>
      <c r="F142" s="11" t="s">
        <v>586</v>
      </c>
      <c r="G142" t="s">
        <v>1372</v>
      </c>
      <c r="H142" t="s">
        <v>1290</v>
      </c>
      <c r="I142">
        <v>-7.51</v>
      </c>
      <c r="J142">
        <v>-3.77</v>
      </c>
      <c r="K142">
        <v>151.57</v>
      </c>
      <c r="L142">
        <v>70.569999999999993</v>
      </c>
      <c r="M142">
        <v>81</v>
      </c>
    </row>
    <row r="143" spans="5:13" x14ac:dyDescent="0.15">
      <c r="E143" s="12">
        <v>147</v>
      </c>
      <c r="F143" s="11" t="s">
        <v>914</v>
      </c>
      <c r="G143" t="s">
        <v>1373</v>
      </c>
      <c r="H143" t="s">
        <v>1290</v>
      </c>
      <c r="I143">
        <v>0.43</v>
      </c>
      <c r="J143">
        <v>-0.05</v>
      </c>
      <c r="K143">
        <v>151.56</v>
      </c>
      <c r="L143">
        <v>96.06</v>
      </c>
      <c r="M143">
        <v>55.5</v>
      </c>
    </row>
    <row r="144" spans="5:13" x14ac:dyDescent="0.15">
      <c r="E144" s="12">
        <v>148</v>
      </c>
      <c r="F144" s="11" t="s">
        <v>716</v>
      </c>
      <c r="G144" t="s">
        <v>1374</v>
      </c>
      <c r="H144" t="s">
        <v>1290</v>
      </c>
      <c r="I144">
        <v>-10.4</v>
      </c>
      <c r="J144">
        <v>-7.74</v>
      </c>
      <c r="K144">
        <v>150.99</v>
      </c>
      <c r="L144">
        <v>55.39</v>
      </c>
      <c r="M144">
        <v>95.6</v>
      </c>
    </row>
    <row r="145" spans="5:13" x14ac:dyDescent="0.15">
      <c r="E145" s="12">
        <v>149</v>
      </c>
      <c r="F145" s="11" t="s">
        <v>767</v>
      </c>
      <c r="G145" t="s">
        <v>1375</v>
      </c>
      <c r="H145" t="s">
        <v>1290</v>
      </c>
      <c r="I145">
        <v>-7.61</v>
      </c>
      <c r="J145">
        <v>-3.85</v>
      </c>
      <c r="K145">
        <v>150.75</v>
      </c>
      <c r="L145">
        <v>69.64</v>
      </c>
      <c r="M145">
        <v>81.11</v>
      </c>
    </row>
    <row r="146" spans="5:13" x14ac:dyDescent="0.15">
      <c r="E146" s="12">
        <v>150</v>
      </c>
      <c r="F146" s="11" t="s">
        <v>946</v>
      </c>
      <c r="G146" t="s">
        <v>1376</v>
      </c>
      <c r="H146" t="s">
        <v>1290</v>
      </c>
      <c r="I146">
        <v>-6.12</v>
      </c>
      <c r="J146">
        <v>-1.36</v>
      </c>
      <c r="K146">
        <v>149.94</v>
      </c>
      <c r="L146">
        <v>77.290000000000006</v>
      </c>
      <c r="M146">
        <v>72.650000000000006</v>
      </c>
    </row>
    <row r="147" spans="5:13" x14ac:dyDescent="0.15">
      <c r="E147" s="12">
        <v>151</v>
      </c>
      <c r="F147" s="11" t="s">
        <v>927</v>
      </c>
      <c r="G147" t="s">
        <v>1377</v>
      </c>
      <c r="H147" t="s">
        <v>1290</v>
      </c>
      <c r="I147">
        <v>-6.84</v>
      </c>
      <c r="J147">
        <v>-2.87</v>
      </c>
      <c r="K147">
        <v>149.83000000000001</v>
      </c>
      <c r="L147">
        <v>72.540000000000006</v>
      </c>
      <c r="M147">
        <v>77.290000000000006</v>
      </c>
    </row>
    <row r="148" spans="5:13" x14ac:dyDescent="0.15">
      <c r="E148" s="12">
        <v>152</v>
      </c>
      <c r="F148" s="11" t="s">
        <v>686</v>
      </c>
      <c r="G148" t="s">
        <v>1378</v>
      </c>
      <c r="H148" t="s">
        <v>1290</v>
      </c>
      <c r="I148">
        <v>-6.41</v>
      </c>
      <c r="J148">
        <v>-2.4700000000000002</v>
      </c>
      <c r="K148">
        <v>149.71</v>
      </c>
      <c r="L148">
        <v>73.7</v>
      </c>
      <c r="M148">
        <v>76.010000000000005</v>
      </c>
    </row>
    <row r="149" spans="5:13" x14ac:dyDescent="0.15">
      <c r="E149" s="12">
        <v>153</v>
      </c>
      <c r="F149" s="11" t="s">
        <v>1037</v>
      </c>
      <c r="G149" t="s">
        <v>1379</v>
      </c>
      <c r="H149" t="s">
        <v>1290</v>
      </c>
      <c r="I149">
        <v>-7.82</v>
      </c>
      <c r="J149">
        <v>-3.89</v>
      </c>
      <c r="K149">
        <v>149.71</v>
      </c>
      <c r="L149">
        <v>67.67</v>
      </c>
      <c r="M149">
        <v>82.04</v>
      </c>
    </row>
    <row r="150" spans="5:13" x14ac:dyDescent="0.15">
      <c r="E150" s="12">
        <v>154</v>
      </c>
      <c r="F150" s="11" t="s">
        <v>1062</v>
      </c>
      <c r="G150" t="s">
        <v>1380</v>
      </c>
      <c r="H150" t="s">
        <v>1290</v>
      </c>
      <c r="I150">
        <v>0.13</v>
      </c>
      <c r="J150">
        <v>-0.01</v>
      </c>
      <c r="K150">
        <v>149.47999999999999</v>
      </c>
      <c r="L150">
        <v>95.02</v>
      </c>
      <c r="M150">
        <v>54.46</v>
      </c>
    </row>
    <row r="151" spans="5:13" x14ac:dyDescent="0.15">
      <c r="E151" s="12">
        <v>155</v>
      </c>
      <c r="F151" s="11" t="s">
        <v>495</v>
      </c>
      <c r="G151" t="s">
        <v>1381</v>
      </c>
      <c r="H151" t="s">
        <v>1290</v>
      </c>
      <c r="I151">
        <v>-7.81</v>
      </c>
      <c r="J151">
        <v>-3.87</v>
      </c>
      <c r="K151">
        <v>149.13</v>
      </c>
      <c r="L151">
        <v>67.790000000000006</v>
      </c>
      <c r="M151">
        <v>81.34</v>
      </c>
    </row>
    <row r="152" spans="5:13" x14ac:dyDescent="0.15">
      <c r="E152" s="12">
        <v>156</v>
      </c>
      <c r="F152" s="11" t="s">
        <v>600</v>
      </c>
      <c r="G152" t="s">
        <v>1382</v>
      </c>
      <c r="H152" t="s">
        <v>1290</v>
      </c>
      <c r="I152">
        <v>-6.95</v>
      </c>
      <c r="J152">
        <v>-2.62</v>
      </c>
      <c r="K152">
        <v>148.79000000000002</v>
      </c>
      <c r="L152">
        <v>72.31</v>
      </c>
      <c r="M152">
        <v>76.48</v>
      </c>
    </row>
    <row r="153" spans="5:13" x14ac:dyDescent="0.15">
      <c r="E153" s="12">
        <v>157</v>
      </c>
      <c r="F153" s="11" t="s">
        <v>570</v>
      </c>
      <c r="G153" t="s">
        <v>1383</v>
      </c>
      <c r="H153" t="s">
        <v>1290</v>
      </c>
      <c r="I153">
        <v>8.93</v>
      </c>
      <c r="J153">
        <v>0</v>
      </c>
      <c r="K153">
        <v>148.78</v>
      </c>
      <c r="L153">
        <v>100</v>
      </c>
      <c r="M153">
        <v>48.78</v>
      </c>
    </row>
    <row r="154" spans="5:13" x14ac:dyDescent="0.15">
      <c r="E154" s="12">
        <v>158</v>
      </c>
      <c r="F154" s="11" t="s">
        <v>554</v>
      </c>
      <c r="G154" t="s">
        <v>1384</v>
      </c>
      <c r="H154" t="s">
        <v>1290</v>
      </c>
      <c r="I154">
        <v>-7.45</v>
      </c>
      <c r="J154">
        <v>-3.11</v>
      </c>
      <c r="K154">
        <v>148.78</v>
      </c>
      <c r="L154">
        <v>71.03</v>
      </c>
      <c r="M154">
        <v>77.75</v>
      </c>
    </row>
    <row r="155" spans="5:13" x14ac:dyDescent="0.15">
      <c r="E155" s="12">
        <v>159</v>
      </c>
      <c r="F155" s="11" t="s">
        <v>615</v>
      </c>
      <c r="G155" t="s">
        <v>1385</v>
      </c>
      <c r="H155" t="s">
        <v>1290</v>
      </c>
      <c r="I155">
        <v>-6.09</v>
      </c>
      <c r="J155">
        <v>-0.49</v>
      </c>
      <c r="K155">
        <v>147.98000000000002</v>
      </c>
      <c r="L155">
        <v>77.64</v>
      </c>
      <c r="M155">
        <v>70.34</v>
      </c>
    </row>
    <row r="156" spans="5:13" x14ac:dyDescent="0.15">
      <c r="E156" s="12">
        <v>160</v>
      </c>
      <c r="F156" s="11" t="s">
        <v>895</v>
      </c>
      <c r="G156" t="s">
        <v>1386</v>
      </c>
      <c r="H156" t="s">
        <v>1290</v>
      </c>
      <c r="I156">
        <v>-10.97</v>
      </c>
      <c r="J156">
        <v>-6.78</v>
      </c>
      <c r="K156">
        <v>147.97</v>
      </c>
      <c r="L156">
        <v>54.46</v>
      </c>
      <c r="M156">
        <v>93.51</v>
      </c>
    </row>
    <row r="157" spans="5:13" x14ac:dyDescent="0.15">
      <c r="E157" s="12">
        <v>161</v>
      </c>
      <c r="F157" s="11" t="s">
        <v>909</v>
      </c>
      <c r="G157" t="s">
        <v>1387</v>
      </c>
      <c r="H157" t="s">
        <v>1290</v>
      </c>
      <c r="I157">
        <v>-6.29</v>
      </c>
      <c r="J157">
        <v>-0.68</v>
      </c>
      <c r="K157">
        <v>147.62</v>
      </c>
      <c r="L157">
        <v>76.13</v>
      </c>
      <c r="M157">
        <v>71.489999999999995</v>
      </c>
    </row>
    <row r="158" spans="5:13" x14ac:dyDescent="0.15">
      <c r="E158" s="12">
        <v>162</v>
      </c>
      <c r="F158" s="11" t="s">
        <v>847</v>
      </c>
      <c r="G158" t="s">
        <v>1388</v>
      </c>
      <c r="H158" t="s">
        <v>1290</v>
      </c>
      <c r="I158">
        <v>-3.97</v>
      </c>
      <c r="J158">
        <v>-0.2</v>
      </c>
      <c r="K158">
        <v>147.39000000000001</v>
      </c>
      <c r="L158">
        <v>84.01</v>
      </c>
      <c r="M158">
        <v>63.38</v>
      </c>
    </row>
    <row r="159" spans="5:13" x14ac:dyDescent="0.15">
      <c r="E159" s="12">
        <v>163</v>
      </c>
      <c r="F159" s="11" t="s">
        <v>714</v>
      </c>
      <c r="G159" t="s">
        <v>1389</v>
      </c>
      <c r="H159" t="s">
        <v>1290</v>
      </c>
      <c r="I159">
        <v>-6.41</v>
      </c>
      <c r="J159">
        <v>-1.66</v>
      </c>
      <c r="K159">
        <v>147.38999999999999</v>
      </c>
      <c r="L159">
        <v>74.040000000000006</v>
      </c>
      <c r="M159">
        <v>73.349999999999994</v>
      </c>
    </row>
    <row r="160" spans="5:13" x14ac:dyDescent="0.15">
      <c r="E160" s="12">
        <v>164</v>
      </c>
      <c r="F160" s="11" t="s">
        <v>741</v>
      </c>
      <c r="G160" t="s">
        <v>1390</v>
      </c>
      <c r="H160" t="s">
        <v>1290</v>
      </c>
      <c r="I160">
        <v>-7.61</v>
      </c>
      <c r="J160">
        <v>-3.14</v>
      </c>
      <c r="K160">
        <v>147.28</v>
      </c>
      <c r="L160">
        <v>69.41</v>
      </c>
      <c r="M160">
        <v>77.87</v>
      </c>
    </row>
    <row r="161" spans="5:13" x14ac:dyDescent="0.15">
      <c r="E161" s="12">
        <v>165</v>
      </c>
      <c r="F161" s="11" t="s">
        <v>1012</v>
      </c>
      <c r="G161" t="s">
        <v>1391</v>
      </c>
      <c r="H161" t="s">
        <v>1290</v>
      </c>
      <c r="I161">
        <v>-7.59</v>
      </c>
      <c r="J161">
        <v>-2.94</v>
      </c>
      <c r="K161">
        <v>147.28</v>
      </c>
      <c r="L161">
        <v>69.760000000000005</v>
      </c>
      <c r="M161">
        <v>77.52</v>
      </c>
    </row>
    <row r="162" spans="5:13" x14ac:dyDescent="0.15">
      <c r="E162" s="12">
        <v>166</v>
      </c>
      <c r="F162" s="11" t="s">
        <v>712</v>
      </c>
      <c r="G162" t="s">
        <v>1392</v>
      </c>
      <c r="H162" t="s">
        <v>1290</v>
      </c>
      <c r="I162">
        <v>-9.99</v>
      </c>
      <c r="J162">
        <v>-4.99</v>
      </c>
      <c r="K162">
        <v>147.27000000000001</v>
      </c>
      <c r="L162">
        <v>59.21</v>
      </c>
      <c r="M162">
        <v>88.06</v>
      </c>
    </row>
    <row r="163" spans="5:13" x14ac:dyDescent="0.15">
      <c r="E163" s="12">
        <v>167</v>
      </c>
      <c r="F163" s="11" t="s">
        <v>1076</v>
      </c>
      <c r="G163" t="s">
        <v>1393</v>
      </c>
      <c r="H163" t="s">
        <v>1290</v>
      </c>
      <c r="I163">
        <v>-1.38</v>
      </c>
      <c r="J163">
        <v>-0.1</v>
      </c>
      <c r="K163">
        <v>147.16</v>
      </c>
      <c r="L163">
        <v>90.38</v>
      </c>
      <c r="M163">
        <v>56.78</v>
      </c>
    </row>
    <row r="164" spans="5:13" x14ac:dyDescent="0.15">
      <c r="E164" s="12">
        <v>168</v>
      </c>
      <c r="F164" s="11" t="s">
        <v>824</v>
      </c>
      <c r="G164" t="s">
        <v>1394</v>
      </c>
      <c r="H164" t="s">
        <v>1290</v>
      </c>
      <c r="I164">
        <v>-10</v>
      </c>
      <c r="J164">
        <v>-4.97</v>
      </c>
      <c r="K164">
        <v>147.05000000000001</v>
      </c>
      <c r="L164">
        <v>59.1</v>
      </c>
      <c r="M164">
        <v>87.95</v>
      </c>
    </row>
    <row r="165" spans="5:13" x14ac:dyDescent="0.15">
      <c r="E165" s="12">
        <v>169</v>
      </c>
      <c r="F165" s="11" t="s">
        <v>1079</v>
      </c>
      <c r="G165" t="s">
        <v>1395</v>
      </c>
      <c r="H165" t="s">
        <v>1290</v>
      </c>
      <c r="I165">
        <v>-7.3</v>
      </c>
      <c r="J165">
        <v>-2.38</v>
      </c>
      <c r="K165">
        <v>146.93</v>
      </c>
      <c r="L165">
        <v>71.61</v>
      </c>
      <c r="M165">
        <v>75.319999999999993</v>
      </c>
    </row>
    <row r="166" spans="5:13" x14ac:dyDescent="0.15">
      <c r="E166" s="12">
        <v>170</v>
      </c>
      <c r="F166" s="11" t="s">
        <v>793</v>
      </c>
      <c r="G166" t="s">
        <v>1396</v>
      </c>
      <c r="H166" t="s">
        <v>1290</v>
      </c>
      <c r="I166">
        <v>-11.67</v>
      </c>
      <c r="J166">
        <v>-7.51</v>
      </c>
      <c r="K166">
        <v>146.69999999999999</v>
      </c>
      <c r="L166">
        <v>51.45</v>
      </c>
      <c r="M166">
        <v>95.25</v>
      </c>
    </row>
    <row r="167" spans="5:13" x14ac:dyDescent="0.15">
      <c r="E167" s="12">
        <v>171</v>
      </c>
      <c r="F167" s="11" t="s">
        <v>857</v>
      </c>
      <c r="G167" t="s">
        <v>1397</v>
      </c>
      <c r="H167" t="s">
        <v>1290</v>
      </c>
      <c r="I167">
        <v>-7.78</v>
      </c>
      <c r="J167">
        <v>-3.23</v>
      </c>
      <c r="K167">
        <v>146.47</v>
      </c>
      <c r="L167">
        <v>68.02</v>
      </c>
      <c r="M167">
        <v>78.45</v>
      </c>
    </row>
    <row r="168" spans="5:13" x14ac:dyDescent="0.15">
      <c r="E168" s="12">
        <v>172</v>
      </c>
      <c r="F168" s="11" t="s">
        <v>607</v>
      </c>
      <c r="G168" t="s">
        <v>1398</v>
      </c>
      <c r="H168" t="s">
        <v>1290</v>
      </c>
      <c r="I168">
        <v>-12.14</v>
      </c>
      <c r="J168">
        <v>-8.2899999999999991</v>
      </c>
      <c r="K168">
        <v>146</v>
      </c>
      <c r="L168">
        <v>50.06</v>
      </c>
      <c r="M168">
        <v>95.94</v>
      </c>
    </row>
    <row r="169" spans="5:13" x14ac:dyDescent="0.15">
      <c r="E169" s="12">
        <v>173</v>
      </c>
      <c r="F169" s="11" t="s">
        <v>752</v>
      </c>
      <c r="G169" t="s">
        <v>1399</v>
      </c>
      <c r="H169" t="s">
        <v>1290</v>
      </c>
      <c r="I169">
        <v>-11.84</v>
      </c>
      <c r="J169">
        <v>-7.34</v>
      </c>
      <c r="K169">
        <v>145.89000000000001</v>
      </c>
      <c r="L169">
        <v>51.1</v>
      </c>
      <c r="M169">
        <v>94.79</v>
      </c>
    </row>
    <row r="170" spans="5:13" x14ac:dyDescent="0.15">
      <c r="E170" s="12">
        <v>174</v>
      </c>
      <c r="F170" s="11" t="s">
        <v>757</v>
      </c>
      <c r="G170" t="s">
        <v>1400</v>
      </c>
      <c r="H170" t="s">
        <v>1290</v>
      </c>
      <c r="I170">
        <v>-2.8</v>
      </c>
      <c r="J170">
        <v>-0.1</v>
      </c>
      <c r="K170">
        <v>145.54</v>
      </c>
      <c r="L170">
        <v>88.53</v>
      </c>
      <c r="M170">
        <v>57.01</v>
      </c>
    </row>
    <row r="171" spans="5:13" x14ac:dyDescent="0.15">
      <c r="E171" s="12">
        <v>175</v>
      </c>
      <c r="F171" s="11" t="s">
        <v>883</v>
      </c>
      <c r="G171" t="s">
        <v>1401</v>
      </c>
      <c r="H171" t="s">
        <v>1290</v>
      </c>
      <c r="I171">
        <v>-8.6</v>
      </c>
      <c r="J171">
        <v>-3.63</v>
      </c>
      <c r="K171">
        <v>144.95999999999998</v>
      </c>
      <c r="L171">
        <v>64.66</v>
      </c>
      <c r="M171">
        <v>80.3</v>
      </c>
    </row>
    <row r="172" spans="5:13" x14ac:dyDescent="0.15">
      <c r="E172" s="12">
        <v>176</v>
      </c>
      <c r="F172" s="11" t="s">
        <v>1040</v>
      </c>
      <c r="G172" t="s">
        <v>1402</v>
      </c>
      <c r="H172" t="s">
        <v>1290</v>
      </c>
      <c r="I172">
        <v>-8.2899999999999991</v>
      </c>
      <c r="J172">
        <v>-3.26</v>
      </c>
      <c r="K172">
        <v>144.84</v>
      </c>
      <c r="L172">
        <v>66.16</v>
      </c>
      <c r="M172">
        <v>78.680000000000007</v>
      </c>
    </row>
    <row r="173" spans="5:13" x14ac:dyDescent="0.15">
      <c r="E173" s="12">
        <v>177</v>
      </c>
      <c r="F173" s="11" t="s">
        <v>731</v>
      </c>
      <c r="G173" t="s">
        <v>1403</v>
      </c>
      <c r="H173" t="s">
        <v>1290</v>
      </c>
      <c r="I173">
        <v>-9.2100000000000009</v>
      </c>
      <c r="J173">
        <v>-3.93</v>
      </c>
      <c r="K173">
        <v>144.72</v>
      </c>
      <c r="L173">
        <v>61.99</v>
      </c>
      <c r="M173">
        <v>82.73</v>
      </c>
    </row>
    <row r="174" spans="5:13" x14ac:dyDescent="0.15">
      <c r="E174" s="12">
        <v>178</v>
      </c>
      <c r="F174" s="11" t="s">
        <v>722</v>
      </c>
      <c r="G174" t="s">
        <v>1404</v>
      </c>
      <c r="H174" t="s">
        <v>1290</v>
      </c>
      <c r="I174">
        <v>-10.18</v>
      </c>
      <c r="J174">
        <v>-4.9000000000000004</v>
      </c>
      <c r="K174">
        <v>144.60999999999999</v>
      </c>
      <c r="L174">
        <v>57.01</v>
      </c>
      <c r="M174">
        <v>87.6</v>
      </c>
    </row>
    <row r="175" spans="5:13" x14ac:dyDescent="0.15">
      <c r="E175" s="12">
        <v>179</v>
      </c>
      <c r="F175" s="11" t="s">
        <v>724</v>
      </c>
      <c r="G175" t="s">
        <v>1405</v>
      </c>
      <c r="H175" t="s">
        <v>1290</v>
      </c>
      <c r="I175">
        <v>-11.96</v>
      </c>
      <c r="J175">
        <v>-6.95</v>
      </c>
      <c r="K175">
        <v>144.38</v>
      </c>
      <c r="L175">
        <v>50.52</v>
      </c>
      <c r="M175">
        <v>93.86</v>
      </c>
    </row>
    <row r="176" spans="5:13" x14ac:dyDescent="0.15">
      <c r="E176" s="12">
        <v>180</v>
      </c>
      <c r="F176" s="11" t="s">
        <v>658</v>
      </c>
      <c r="G176" t="s">
        <v>1406</v>
      </c>
      <c r="H176" t="s">
        <v>1290</v>
      </c>
      <c r="I176">
        <v>-5.26</v>
      </c>
      <c r="J176">
        <v>-0.22</v>
      </c>
      <c r="K176">
        <v>144.26</v>
      </c>
      <c r="L176">
        <v>80.53</v>
      </c>
      <c r="M176">
        <v>63.73</v>
      </c>
    </row>
    <row r="177" spans="5:13" x14ac:dyDescent="0.15">
      <c r="E177" s="12">
        <v>181</v>
      </c>
      <c r="F177" s="11" t="s">
        <v>701</v>
      </c>
      <c r="G177" t="s">
        <v>1407</v>
      </c>
      <c r="H177" t="s">
        <v>1290</v>
      </c>
      <c r="I177">
        <v>-11.06</v>
      </c>
      <c r="J177">
        <v>-5.74</v>
      </c>
      <c r="K177">
        <v>144.13999999999999</v>
      </c>
      <c r="L177">
        <v>53.53</v>
      </c>
      <c r="M177">
        <v>90.61</v>
      </c>
    </row>
    <row r="178" spans="5:13" x14ac:dyDescent="0.15">
      <c r="E178" s="12">
        <v>182</v>
      </c>
      <c r="F178" s="11" t="s">
        <v>920</v>
      </c>
      <c r="G178" t="s">
        <v>1408</v>
      </c>
      <c r="H178" t="s">
        <v>1290</v>
      </c>
      <c r="I178">
        <v>-13.75</v>
      </c>
      <c r="J178">
        <v>-10.47</v>
      </c>
      <c r="K178">
        <v>144.03</v>
      </c>
      <c r="L178">
        <v>44.84</v>
      </c>
      <c r="M178">
        <v>99.19</v>
      </c>
    </row>
    <row r="179" spans="5:13" x14ac:dyDescent="0.15">
      <c r="E179" s="12">
        <v>183</v>
      </c>
      <c r="F179" s="11" t="s">
        <v>827</v>
      </c>
      <c r="G179" t="s">
        <v>1409</v>
      </c>
      <c r="H179" t="s">
        <v>1290</v>
      </c>
      <c r="I179">
        <v>-3.6</v>
      </c>
      <c r="J179">
        <v>-0.12</v>
      </c>
      <c r="K179">
        <v>144.03</v>
      </c>
      <c r="L179">
        <v>85.86</v>
      </c>
      <c r="M179">
        <v>58.17</v>
      </c>
    </row>
    <row r="180" spans="5:13" x14ac:dyDescent="0.15">
      <c r="E180" s="12">
        <v>184</v>
      </c>
      <c r="F180" s="11" t="s">
        <v>743</v>
      </c>
      <c r="G180" t="s">
        <v>1410</v>
      </c>
      <c r="H180" t="s">
        <v>1290</v>
      </c>
      <c r="I180">
        <v>-9.81</v>
      </c>
      <c r="J180">
        <v>-4.25</v>
      </c>
      <c r="K180">
        <v>144.03</v>
      </c>
      <c r="L180">
        <v>59.56</v>
      </c>
      <c r="M180">
        <v>84.47</v>
      </c>
    </row>
    <row r="181" spans="5:13" x14ac:dyDescent="0.15">
      <c r="E181" s="12">
        <v>185</v>
      </c>
      <c r="F181" s="11" t="s">
        <v>619</v>
      </c>
      <c r="G181" t="s">
        <v>1411</v>
      </c>
      <c r="H181" t="s">
        <v>1290</v>
      </c>
      <c r="I181">
        <v>-6.84</v>
      </c>
      <c r="J181">
        <v>-0.64</v>
      </c>
      <c r="K181">
        <v>144.03</v>
      </c>
      <c r="L181">
        <v>72.650000000000006</v>
      </c>
      <c r="M181">
        <v>71.38</v>
      </c>
    </row>
    <row r="182" spans="5:13" x14ac:dyDescent="0.15">
      <c r="E182" s="12">
        <v>186</v>
      </c>
      <c r="F182" s="11" t="s">
        <v>907</v>
      </c>
      <c r="G182" t="s">
        <v>1412</v>
      </c>
      <c r="H182" t="s">
        <v>1290</v>
      </c>
      <c r="I182">
        <v>-12.47</v>
      </c>
      <c r="J182">
        <v>-7.57</v>
      </c>
      <c r="K182">
        <v>143.81</v>
      </c>
      <c r="L182">
        <v>48.44</v>
      </c>
      <c r="M182">
        <v>95.37</v>
      </c>
    </row>
    <row r="183" spans="5:13" x14ac:dyDescent="0.15">
      <c r="E183" s="12">
        <v>187</v>
      </c>
      <c r="F183" s="11" t="s">
        <v>1061</v>
      </c>
      <c r="G183" t="s">
        <v>1413</v>
      </c>
      <c r="H183" t="s">
        <v>1290</v>
      </c>
      <c r="I183">
        <v>-11.7</v>
      </c>
      <c r="J183">
        <v>-6.33</v>
      </c>
      <c r="K183">
        <v>143.80000000000001</v>
      </c>
      <c r="L183">
        <v>51.33</v>
      </c>
      <c r="M183">
        <v>92.47</v>
      </c>
    </row>
    <row r="184" spans="5:13" x14ac:dyDescent="0.15">
      <c r="E184" s="12">
        <v>188</v>
      </c>
      <c r="F184" s="11" t="s">
        <v>525</v>
      </c>
      <c r="G184" t="s">
        <v>1414</v>
      </c>
      <c r="H184" t="s">
        <v>1290</v>
      </c>
      <c r="I184">
        <v>-10.93</v>
      </c>
      <c r="J184">
        <v>-5.18</v>
      </c>
      <c r="K184">
        <v>143.69</v>
      </c>
      <c r="L184">
        <v>54.58</v>
      </c>
      <c r="M184">
        <v>89.11</v>
      </c>
    </row>
    <row r="185" spans="5:13" x14ac:dyDescent="0.15">
      <c r="E185" s="12">
        <v>189</v>
      </c>
      <c r="F185" s="11" t="s">
        <v>604</v>
      </c>
      <c r="G185" t="s">
        <v>1415</v>
      </c>
      <c r="H185" t="s">
        <v>1290</v>
      </c>
      <c r="I185">
        <v>-10.37</v>
      </c>
      <c r="J185">
        <v>-4.91</v>
      </c>
      <c r="K185">
        <v>143.34</v>
      </c>
      <c r="L185">
        <v>55.62</v>
      </c>
      <c r="M185">
        <v>87.72</v>
      </c>
    </row>
    <row r="186" spans="5:13" x14ac:dyDescent="0.15">
      <c r="E186" s="12">
        <v>190</v>
      </c>
      <c r="F186" s="11" t="s">
        <v>620</v>
      </c>
      <c r="G186" t="s">
        <v>1416</v>
      </c>
      <c r="H186" t="s">
        <v>1290</v>
      </c>
      <c r="I186">
        <v>-10.99</v>
      </c>
      <c r="J186">
        <v>-5.15</v>
      </c>
      <c r="K186">
        <v>143.34</v>
      </c>
      <c r="L186">
        <v>54.35</v>
      </c>
      <c r="M186">
        <v>88.99</v>
      </c>
    </row>
    <row r="187" spans="5:13" x14ac:dyDescent="0.15">
      <c r="E187" s="12">
        <v>191</v>
      </c>
      <c r="F187" s="11" t="s">
        <v>702</v>
      </c>
      <c r="G187" t="s">
        <v>1417</v>
      </c>
      <c r="H187" t="s">
        <v>1290</v>
      </c>
      <c r="I187">
        <v>-7.74</v>
      </c>
      <c r="J187">
        <v>-2.17</v>
      </c>
      <c r="K187">
        <v>143.23000000000002</v>
      </c>
      <c r="L187">
        <v>68.37</v>
      </c>
      <c r="M187">
        <v>74.86</v>
      </c>
    </row>
    <row r="188" spans="5:13" x14ac:dyDescent="0.15">
      <c r="E188" s="12">
        <v>192</v>
      </c>
      <c r="F188" s="11" t="s">
        <v>664</v>
      </c>
      <c r="G188" t="s">
        <v>1418</v>
      </c>
      <c r="H188" t="s">
        <v>1290</v>
      </c>
      <c r="I188">
        <v>-0.72</v>
      </c>
      <c r="J188">
        <v>0</v>
      </c>
      <c r="K188">
        <v>143.10999999999999</v>
      </c>
      <c r="L188">
        <v>92.24</v>
      </c>
      <c r="M188">
        <v>50.87</v>
      </c>
    </row>
    <row r="189" spans="5:13" x14ac:dyDescent="0.15">
      <c r="E189" s="12">
        <v>193</v>
      </c>
      <c r="F189" s="11" t="s">
        <v>633</v>
      </c>
      <c r="G189" t="s">
        <v>1419</v>
      </c>
      <c r="H189" t="s">
        <v>1290</v>
      </c>
      <c r="I189">
        <v>-6.3</v>
      </c>
      <c r="J189">
        <v>-0.3</v>
      </c>
      <c r="K189">
        <v>142.41</v>
      </c>
      <c r="L189">
        <v>75.78</v>
      </c>
      <c r="M189">
        <v>66.63</v>
      </c>
    </row>
    <row r="190" spans="5:13" x14ac:dyDescent="0.15">
      <c r="E190" s="12">
        <v>194</v>
      </c>
      <c r="F190" s="11" t="s">
        <v>772</v>
      </c>
      <c r="G190" t="s">
        <v>1420</v>
      </c>
      <c r="H190" t="s">
        <v>1290</v>
      </c>
      <c r="I190">
        <v>-9.14</v>
      </c>
      <c r="J190">
        <v>-3.42</v>
      </c>
      <c r="K190">
        <v>142.18</v>
      </c>
      <c r="L190">
        <v>62.57</v>
      </c>
      <c r="M190">
        <v>79.61</v>
      </c>
    </row>
    <row r="191" spans="5:13" x14ac:dyDescent="0.15">
      <c r="E191" s="12">
        <v>195</v>
      </c>
      <c r="F191" s="11" t="s">
        <v>855</v>
      </c>
      <c r="G191" t="s">
        <v>1421</v>
      </c>
      <c r="H191" t="s">
        <v>1290</v>
      </c>
      <c r="I191">
        <v>-13.46</v>
      </c>
      <c r="J191">
        <v>-8.08</v>
      </c>
      <c r="K191">
        <v>141.6</v>
      </c>
      <c r="L191">
        <v>45.89</v>
      </c>
      <c r="M191">
        <v>95.71</v>
      </c>
    </row>
    <row r="192" spans="5:13" x14ac:dyDescent="0.15">
      <c r="E192" s="12">
        <v>196</v>
      </c>
      <c r="F192" s="11" t="s">
        <v>812</v>
      </c>
      <c r="G192" t="s">
        <v>1422</v>
      </c>
      <c r="H192" t="s">
        <v>1290</v>
      </c>
      <c r="I192">
        <v>0.5</v>
      </c>
      <c r="J192">
        <v>0.06</v>
      </c>
      <c r="K192">
        <v>141.49</v>
      </c>
      <c r="L192">
        <v>96.76</v>
      </c>
      <c r="M192">
        <v>44.73</v>
      </c>
    </row>
    <row r="193" spans="5:13" x14ac:dyDescent="0.15">
      <c r="E193" s="12">
        <v>197</v>
      </c>
      <c r="F193" s="11" t="s">
        <v>844</v>
      </c>
      <c r="G193" t="s">
        <v>1423</v>
      </c>
      <c r="H193" t="s">
        <v>1290</v>
      </c>
      <c r="I193">
        <v>0.32</v>
      </c>
      <c r="J193">
        <v>0.01</v>
      </c>
      <c r="K193">
        <v>141.25</v>
      </c>
      <c r="L193">
        <v>95.71</v>
      </c>
      <c r="M193">
        <v>45.54</v>
      </c>
    </row>
    <row r="194" spans="5:13" x14ac:dyDescent="0.15">
      <c r="E194" s="12">
        <v>198</v>
      </c>
      <c r="F194" s="11" t="s">
        <v>990</v>
      </c>
      <c r="G194" t="s">
        <v>1424</v>
      </c>
      <c r="H194" t="s">
        <v>1290</v>
      </c>
      <c r="I194">
        <v>0.5</v>
      </c>
      <c r="J194">
        <v>0.08</v>
      </c>
      <c r="K194">
        <v>141.13999999999999</v>
      </c>
      <c r="L194">
        <v>96.99</v>
      </c>
      <c r="M194">
        <v>44.15</v>
      </c>
    </row>
    <row r="195" spans="5:13" x14ac:dyDescent="0.15">
      <c r="E195" s="12">
        <v>199</v>
      </c>
      <c r="F195" s="11" t="s">
        <v>717</v>
      </c>
      <c r="G195" t="s">
        <v>1425</v>
      </c>
      <c r="H195" t="s">
        <v>1290</v>
      </c>
      <c r="I195">
        <v>-7.4</v>
      </c>
      <c r="J195">
        <v>-0.45</v>
      </c>
      <c r="K195">
        <v>141.02000000000001</v>
      </c>
      <c r="L195">
        <v>71.260000000000005</v>
      </c>
      <c r="M195">
        <v>69.760000000000005</v>
      </c>
    </row>
    <row r="196" spans="5:13" x14ac:dyDescent="0.15">
      <c r="E196" s="12">
        <v>200</v>
      </c>
      <c r="F196" s="11" t="s">
        <v>482</v>
      </c>
      <c r="G196" t="s">
        <v>1426</v>
      </c>
      <c r="H196" t="s">
        <v>1290</v>
      </c>
      <c r="I196">
        <v>0.23</v>
      </c>
      <c r="J196">
        <v>0.01</v>
      </c>
      <c r="K196">
        <v>141.02000000000001</v>
      </c>
      <c r="L196">
        <v>95.37</v>
      </c>
      <c r="M196">
        <v>45.65</v>
      </c>
    </row>
    <row r="197" spans="5:13" x14ac:dyDescent="0.15">
      <c r="E197" s="12">
        <v>201</v>
      </c>
      <c r="F197" s="11" t="s">
        <v>891</v>
      </c>
      <c r="G197" t="s">
        <v>1427</v>
      </c>
      <c r="H197" t="s">
        <v>1290</v>
      </c>
      <c r="I197">
        <v>-10.66</v>
      </c>
      <c r="J197">
        <v>-4.62</v>
      </c>
      <c r="K197">
        <v>140.9</v>
      </c>
      <c r="L197">
        <v>55.04</v>
      </c>
      <c r="M197">
        <v>85.86</v>
      </c>
    </row>
    <row r="198" spans="5:13" x14ac:dyDescent="0.15">
      <c r="E198" s="12">
        <v>202</v>
      </c>
      <c r="F198" s="11" t="s">
        <v>950</v>
      </c>
      <c r="G198" t="s">
        <v>1428</v>
      </c>
      <c r="H198" t="s">
        <v>1290</v>
      </c>
      <c r="I198">
        <v>0.13</v>
      </c>
      <c r="J198">
        <v>0.01</v>
      </c>
      <c r="K198">
        <v>140.55000000000001</v>
      </c>
      <c r="L198">
        <v>95.13</v>
      </c>
      <c r="M198">
        <v>45.42</v>
      </c>
    </row>
    <row r="199" spans="5:13" x14ac:dyDescent="0.15">
      <c r="E199" s="12">
        <v>203</v>
      </c>
      <c r="F199" s="11" t="s">
        <v>645</v>
      </c>
      <c r="G199" t="s">
        <v>1429</v>
      </c>
      <c r="H199" t="s">
        <v>1290</v>
      </c>
      <c r="I199">
        <v>-3.59</v>
      </c>
      <c r="J199">
        <v>-0.01</v>
      </c>
      <c r="K199">
        <v>140.33000000000001</v>
      </c>
      <c r="L199">
        <v>85.98</v>
      </c>
      <c r="M199">
        <v>54.35</v>
      </c>
    </row>
    <row r="200" spans="5:13" x14ac:dyDescent="0.15">
      <c r="E200" s="12">
        <v>204</v>
      </c>
      <c r="F200" s="11" t="s">
        <v>899</v>
      </c>
      <c r="G200" t="s">
        <v>1430</v>
      </c>
      <c r="H200" t="s">
        <v>1290</v>
      </c>
      <c r="I200">
        <v>-9.25</v>
      </c>
      <c r="J200">
        <v>-3.26</v>
      </c>
      <c r="K200">
        <v>140.21</v>
      </c>
      <c r="L200">
        <v>61.65</v>
      </c>
      <c r="M200">
        <v>78.56</v>
      </c>
    </row>
    <row r="201" spans="5:13" x14ac:dyDescent="0.15">
      <c r="E201" s="12">
        <v>205</v>
      </c>
      <c r="F201" s="11" t="s">
        <v>863</v>
      </c>
      <c r="G201" t="s">
        <v>1431</v>
      </c>
      <c r="H201" t="s">
        <v>1290</v>
      </c>
      <c r="I201">
        <v>-12.35</v>
      </c>
      <c r="J201">
        <v>-5.9</v>
      </c>
      <c r="K201">
        <v>140.21</v>
      </c>
      <c r="L201">
        <v>48.9</v>
      </c>
      <c r="M201">
        <v>91.31</v>
      </c>
    </row>
    <row r="202" spans="5:13" x14ac:dyDescent="0.15">
      <c r="E202" s="12">
        <v>206</v>
      </c>
      <c r="F202" s="11" t="s">
        <v>706</v>
      </c>
      <c r="G202" t="s">
        <v>1432</v>
      </c>
      <c r="H202" t="s">
        <v>1290</v>
      </c>
      <c r="I202">
        <v>-12.81</v>
      </c>
      <c r="J202">
        <v>-6.43</v>
      </c>
      <c r="K202">
        <v>140.09</v>
      </c>
      <c r="L202">
        <v>47.39</v>
      </c>
      <c r="M202">
        <v>92.7</v>
      </c>
    </row>
    <row r="203" spans="5:13" x14ac:dyDescent="0.15">
      <c r="E203" s="12">
        <v>207</v>
      </c>
      <c r="F203" s="11" t="s">
        <v>533</v>
      </c>
      <c r="G203" t="s">
        <v>1433</v>
      </c>
      <c r="H203" t="s">
        <v>1290</v>
      </c>
      <c r="I203">
        <v>-0.56000000000000005</v>
      </c>
      <c r="J203">
        <v>0</v>
      </c>
      <c r="K203">
        <v>139.98000000000002</v>
      </c>
      <c r="L203">
        <v>92.93</v>
      </c>
      <c r="M203">
        <v>47.05</v>
      </c>
    </row>
    <row r="204" spans="5:13" x14ac:dyDescent="0.15">
      <c r="E204" s="12">
        <v>208</v>
      </c>
      <c r="F204" s="11" t="s">
        <v>786</v>
      </c>
      <c r="G204" t="s">
        <v>1434</v>
      </c>
      <c r="H204" t="s">
        <v>1290</v>
      </c>
      <c r="I204">
        <v>-7.38</v>
      </c>
      <c r="J204">
        <v>-0.39</v>
      </c>
      <c r="K204">
        <v>139.97999999999999</v>
      </c>
      <c r="L204">
        <v>71.38</v>
      </c>
      <c r="M204">
        <v>68.599999999999994</v>
      </c>
    </row>
    <row r="205" spans="5:13" x14ac:dyDescent="0.15">
      <c r="E205" s="12">
        <v>209</v>
      </c>
      <c r="F205" s="11" t="s">
        <v>856</v>
      </c>
      <c r="G205" t="s">
        <v>406</v>
      </c>
      <c r="H205" t="s">
        <v>1290</v>
      </c>
      <c r="I205">
        <v>-12.37</v>
      </c>
      <c r="J205">
        <v>-5.77</v>
      </c>
      <c r="K205">
        <v>139.86000000000001</v>
      </c>
      <c r="L205">
        <v>48.78</v>
      </c>
      <c r="M205">
        <v>91.08</v>
      </c>
    </row>
    <row r="206" spans="5:13" x14ac:dyDescent="0.15">
      <c r="E206" s="12">
        <v>210</v>
      </c>
      <c r="F206" s="11" t="s">
        <v>784</v>
      </c>
      <c r="G206" t="s">
        <v>1435</v>
      </c>
      <c r="H206" t="s">
        <v>1290</v>
      </c>
      <c r="I206">
        <v>-6.5</v>
      </c>
      <c r="J206">
        <v>-0.31</v>
      </c>
      <c r="K206">
        <v>139.86000000000001</v>
      </c>
      <c r="L206">
        <v>73</v>
      </c>
      <c r="M206">
        <v>66.86</v>
      </c>
    </row>
    <row r="207" spans="5:13" x14ac:dyDescent="0.15">
      <c r="E207" s="12">
        <v>211</v>
      </c>
      <c r="F207" s="11" t="s">
        <v>929</v>
      </c>
      <c r="G207" t="s">
        <v>1436</v>
      </c>
      <c r="H207" t="s">
        <v>1290</v>
      </c>
      <c r="I207">
        <v>-6.41</v>
      </c>
      <c r="J207">
        <v>-0.28000000000000003</v>
      </c>
      <c r="K207">
        <v>139.86000000000001</v>
      </c>
      <c r="L207">
        <v>73.81</v>
      </c>
      <c r="M207">
        <v>66.05</v>
      </c>
    </row>
    <row r="208" spans="5:13" x14ac:dyDescent="0.15">
      <c r="E208" s="12">
        <v>212</v>
      </c>
      <c r="F208" s="11" t="s">
        <v>836</v>
      </c>
      <c r="G208" t="s">
        <v>1437</v>
      </c>
      <c r="H208" t="s">
        <v>1290</v>
      </c>
      <c r="I208">
        <v>-14.48</v>
      </c>
      <c r="J208">
        <v>-9.02</v>
      </c>
      <c r="K208">
        <v>139.85999999999999</v>
      </c>
      <c r="L208">
        <v>42.87</v>
      </c>
      <c r="M208">
        <v>96.99</v>
      </c>
    </row>
    <row r="209" spans="5:13" x14ac:dyDescent="0.15">
      <c r="E209" s="12">
        <v>213</v>
      </c>
      <c r="F209" s="11" t="s">
        <v>1002</v>
      </c>
      <c r="G209" t="s">
        <v>1438</v>
      </c>
      <c r="H209" t="s">
        <v>1290</v>
      </c>
      <c r="I209">
        <v>-7.02</v>
      </c>
      <c r="J209">
        <v>-0.32</v>
      </c>
      <c r="K209">
        <v>139.16999999999999</v>
      </c>
      <c r="L209">
        <v>71.959999999999994</v>
      </c>
      <c r="M209">
        <v>67.209999999999994</v>
      </c>
    </row>
    <row r="210" spans="5:13" x14ac:dyDescent="0.15">
      <c r="E210" s="12">
        <v>214</v>
      </c>
      <c r="F210" s="11" t="s">
        <v>1060</v>
      </c>
      <c r="G210" t="s">
        <v>1439</v>
      </c>
      <c r="H210" t="s">
        <v>1290</v>
      </c>
      <c r="I210">
        <v>0.31</v>
      </c>
      <c r="J210">
        <v>0.09</v>
      </c>
      <c r="K210">
        <v>139.16</v>
      </c>
      <c r="L210">
        <v>95.48</v>
      </c>
      <c r="M210">
        <v>43.68</v>
      </c>
    </row>
    <row r="211" spans="5:13" x14ac:dyDescent="0.15">
      <c r="E211" s="12">
        <v>215</v>
      </c>
      <c r="F211" s="11" t="s">
        <v>1069</v>
      </c>
      <c r="G211" t="s">
        <v>1440</v>
      </c>
      <c r="H211" t="s">
        <v>1290</v>
      </c>
      <c r="I211">
        <v>-11.06</v>
      </c>
      <c r="J211">
        <v>-4.2699999999999996</v>
      </c>
      <c r="K211">
        <v>138.47</v>
      </c>
      <c r="L211">
        <v>53.65</v>
      </c>
      <c r="M211">
        <v>84.82</v>
      </c>
    </row>
    <row r="212" spans="5:13" x14ac:dyDescent="0.15">
      <c r="E212" s="12">
        <v>216</v>
      </c>
      <c r="F212" s="11" t="s">
        <v>747</v>
      </c>
      <c r="G212" t="s">
        <v>1441</v>
      </c>
      <c r="H212" t="s">
        <v>1290</v>
      </c>
      <c r="I212">
        <v>0.61</v>
      </c>
      <c r="J212">
        <v>0.13</v>
      </c>
      <c r="K212">
        <v>138.47</v>
      </c>
      <c r="L212">
        <v>97.1</v>
      </c>
      <c r="M212">
        <v>41.37</v>
      </c>
    </row>
    <row r="213" spans="5:13" x14ac:dyDescent="0.15">
      <c r="E213" s="12">
        <v>217</v>
      </c>
      <c r="F213" s="11" t="s">
        <v>588</v>
      </c>
      <c r="G213" t="s">
        <v>1442</v>
      </c>
      <c r="H213" t="s">
        <v>1290</v>
      </c>
      <c r="I213">
        <v>-14.3</v>
      </c>
      <c r="J213">
        <v>-7.41</v>
      </c>
      <c r="K213">
        <v>138.24</v>
      </c>
      <c r="L213">
        <v>43.22</v>
      </c>
      <c r="M213">
        <v>95.02</v>
      </c>
    </row>
    <row r="214" spans="5:13" x14ac:dyDescent="0.15">
      <c r="E214" s="12">
        <v>218</v>
      </c>
      <c r="F214" s="11" t="s">
        <v>961</v>
      </c>
      <c r="G214" t="s">
        <v>1443</v>
      </c>
      <c r="H214" t="s">
        <v>1290</v>
      </c>
      <c r="I214">
        <v>-6.31</v>
      </c>
      <c r="J214">
        <v>-0.17</v>
      </c>
      <c r="K214">
        <v>137.78</v>
      </c>
      <c r="L214">
        <v>75.319999999999993</v>
      </c>
      <c r="M214">
        <v>62.46</v>
      </c>
    </row>
    <row r="215" spans="5:13" x14ac:dyDescent="0.15">
      <c r="E215" s="12">
        <v>219</v>
      </c>
      <c r="F215" s="11" t="s">
        <v>919</v>
      </c>
      <c r="G215" t="s">
        <v>1444</v>
      </c>
      <c r="H215" t="s">
        <v>1290</v>
      </c>
      <c r="I215">
        <v>-11.55</v>
      </c>
      <c r="J215">
        <v>-4.63</v>
      </c>
      <c r="K215">
        <v>137.78</v>
      </c>
      <c r="L215">
        <v>51.8</v>
      </c>
      <c r="M215">
        <v>85.98</v>
      </c>
    </row>
    <row r="216" spans="5:13" x14ac:dyDescent="0.15">
      <c r="E216" s="12">
        <v>220</v>
      </c>
      <c r="F216" s="11" t="s">
        <v>834</v>
      </c>
      <c r="G216" t="s">
        <v>1445</v>
      </c>
      <c r="H216" t="s">
        <v>1290</v>
      </c>
      <c r="I216">
        <v>-8.4600000000000009</v>
      </c>
      <c r="J216">
        <v>-0.77</v>
      </c>
      <c r="K216">
        <v>137.31</v>
      </c>
      <c r="L216">
        <v>65.349999999999994</v>
      </c>
      <c r="M216">
        <v>71.959999999999994</v>
      </c>
    </row>
    <row r="217" spans="5:13" x14ac:dyDescent="0.15">
      <c r="E217" s="12">
        <v>221</v>
      </c>
      <c r="F217" s="11" t="s">
        <v>612</v>
      </c>
      <c r="G217" t="s">
        <v>1446</v>
      </c>
      <c r="H217" t="s">
        <v>1290</v>
      </c>
      <c r="I217">
        <v>-11</v>
      </c>
      <c r="J217">
        <v>-4</v>
      </c>
      <c r="K217">
        <v>137.19</v>
      </c>
      <c r="L217">
        <v>54.11</v>
      </c>
      <c r="M217">
        <v>83.08</v>
      </c>
    </row>
    <row r="218" spans="5:13" x14ac:dyDescent="0.15">
      <c r="E218" s="12">
        <v>222</v>
      </c>
      <c r="F218" s="11" t="s">
        <v>789</v>
      </c>
      <c r="G218" t="s">
        <v>1447</v>
      </c>
      <c r="H218" t="s">
        <v>1290</v>
      </c>
      <c r="I218">
        <v>-9.0299999999999994</v>
      </c>
      <c r="J218">
        <v>-1.94</v>
      </c>
      <c r="K218">
        <v>137.08000000000001</v>
      </c>
      <c r="L218">
        <v>63.04</v>
      </c>
      <c r="M218">
        <v>74.040000000000006</v>
      </c>
    </row>
    <row r="219" spans="5:13" x14ac:dyDescent="0.15">
      <c r="E219" s="12">
        <v>223</v>
      </c>
      <c r="F219" s="11" t="s">
        <v>1016</v>
      </c>
      <c r="G219" t="s">
        <v>1448</v>
      </c>
      <c r="H219" t="s">
        <v>1290</v>
      </c>
      <c r="I219">
        <v>-3.14</v>
      </c>
      <c r="J219">
        <v>0</v>
      </c>
      <c r="K219">
        <v>136.85</v>
      </c>
      <c r="L219">
        <v>87.6</v>
      </c>
      <c r="M219">
        <v>49.25</v>
      </c>
    </row>
    <row r="220" spans="5:13" x14ac:dyDescent="0.15">
      <c r="E220" s="12">
        <v>224</v>
      </c>
      <c r="F220" s="11" t="s">
        <v>846</v>
      </c>
      <c r="G220" t="s">
        <v>1449</v>
      </c>
      <c r="H220" t="s">
        <v>1290</v>
      </c>
      <c r="I220">
        <v>-7.55</v>
      </c>
      <c r="J220">
        <v>-0.28999999999999998</v>
      </c>
      <c r="K220">
        <v>136.73000000000002</v>
      </c>
      <c r="L220">
        <v>70.22</v>
      </c>
      <c r="M220">
        <v>66.510000000000005</v>
      </c>
    </row>
    <row r="221" spans="5:13" x14ac:dyDescent="0.15">
      <c r="E221" s="12">
        <v>225</v>
      </c>
      <c r="F221" s="11" t="s">
        <v>1011</v>
      </c>
      <c r="G221" t="s">
        <v>1450</v>
      </c>
      <c r="H221" t="s">
        <v>1290</v>
      </c>
      <c r="I221">
        <v>-4.7300000000000004</v>
      </c>
      <c r="J221">
        <v>0</v>
      </c>
      <c r="K221">
        <v>136.38</v>
      </c>
      <c r="L221">
        <v>82.27</v>
      </c>
      <c r="M221">
        <v>54.11</v>
      </c>
    </row>
    <row r="222" spans="5:13" x14ac:dyDescent="0.15">
      <c r="E222" s="12">
        <v>226</v>
      </c>
      <c r="F222" s="11" t="s">
        <v>1008</v>
      </c>
      <c r="G222" t="s">
        <v>1451</v>
      </c>
      <c r="H222" t="s">
        <v>1290</v>
      </c>
      <c r="I222">
        <v>-12.21</v>
      </c>
      <c r="J222">
        <v>-4.83</v>
      </c>
      <c r="K222">
        <v>136.15</v>
      </c>
      <c r="L222">
        <v>49.36</v>
      </c>
      <c r="M222">
        <v>86.79</v>
      </c>
    </row>
    <row r="223" spans="5:13" x14ac:dyDescent="0.15">
      <c r="E223" s="12">
        <v>227</v>
      </c>
      <c r="F223" s="11" t="s">
        <v>838</v>
      </c>
      <c r="G223" t="s">
        <v>1452</v>
      </c>
      <c r="H223" t="s">
        <v>1290</v>
      </c>
      <c r="I223">
        <v>-14.18</v>
      </c>
      <c r="J223">
        <v>-6.3</v>
      </c>
      <c r="K223">
        <v>136.03</v>
      </c>
      <c r="L223">
        <v>43.68</v>
      </c>
      <c r="M223">
        <v>92.35</v>
      </c>
    </row>
    <row r="224" spans="5:13" x14ac:dyDescent="0.15">
      <c r="E224" s="12">
        <v>228</v>
      </c>
      <c r="F224" s="11" t="s">
        <v>1000</v>
      </c>
      <c r="G224" t="s">
        <v>1453</v>
      </c>
      <c r="H224" t="s">
        <v>1290</v>
      </c>
      <c r="I224">
        <v>-7.68</v>
      </c>
      <c r="J224">
        <v>-0.31</v>
      </c>
      <c r="K224">
        <v>135.81</v>
      </c>
      <c r="L224">
        <v>68.83</v>
      </c>
      <c r="M224">
        <v>66.98</v>
      </c>
    </row>
    <row r="225" spans="5:13" x14ac:dyDescent="0.15">
      <c r="E225" s="12">
        <v>229</v>
      </c>
      <c r="F225" s="11" t="s">
        <v>980</v>
      </c>
      <c r="G225" t="s">
        <v>1454</v>
      </c>
      <c r="H225" t="s">
        <v>1290</v>
      </c>
      <c r="I225">
        <v>-10.34</v>
      </c>
      <c r="J225">
        <v>-3.51</v>
      </c>
      <c r="K225">
        <v>135.46</v>
      </c>
      <c r="L225">
        <v>55.74</v>
      </c>
      <c r="M225">
        <v>79.72</v>
      </c>
    </row>
    <row r="226" spans="5:13" x14ac:dyDescent="0.15">
      <c r="E226" s="12">
        <v>230</v>
      </c>
      <c r="F226" s="11" t="s">
        <v>719</v>
      </c>
      <c r="G226" t="s">
        <v>1455</v>
      </c>
      <c r="H226" t="s">
        <v>1290</v>
      </c>
      <c r="I226">
        <v>-6.22</v>
      </c>
      <c r="J226">
        <v>-0.13</v>
      </c>
      <c r="K226">
        <v>135.46</v>
      </c>
      <c r="L226">
        <v>76.83</v>
      </c>
      <c r="M226">
        <v>58.63</v>
      </c>
    </row>
    <row r="227" spans="5:13" x14ac:dyDescent="0.15">
      <c r="E227" s="12">
        <v>231</v>
      </c>
      <c r="F227" s="11" t="s">
        <v>1015</v>
      </c>
      <c r="G227" t="s">
        <v>1456</v>
      </c>
      <c r="H227" t="s">
        <v>1290</v>
      </c>
      <c r="I227">
        <v>-1.67</v>
      </c>
      <c r="J227">
        <v>0.02</v>
      </c>
      <c r="K227">
        <v>135.23000000000002</v>
      </c>
      <c r="L227">
        <v>89.92</v>
      </c>
      <c r="M227">
        <v>45.31</v>
      </c>
    </row>
    <row r="228" spans="5:13" x14ac:dyDescent="0.15">
      <c r="E228" s="12">
        <v>232</v>
      </c>
      <c r="F228" s="11" t="s">
        <v>923</v>
      </c>
      <c r="G228" t="s">
        <v>1457</v>
      </c>
      <c r="H228" t="s">
        <v>1290</v>
      </c>
      <c r="I228">
        <v>-15.23</v>
      </c>
      <c r="J228">
        <v>-7.72</v>
      </c>
      <c r="K228">
        <v>135.11000000000001</v>
      </c>
      <c r="L228">
        <v>39.630000000000003</v>
      </c>
      <c r="M228">
        <v>95.48</v>
      </c>
    </row>
    <row r="229" spans="5:13" x14ac:dyDescent="0.15">
      <c r="E229" s="12">
        <v>233</v>
      </c>
      <c r="F229" s="11" t="s">
        <v>873</v>
      </c>
      <c r="G229" t="s">
        <v>1458</v>
      </c>
      <c r="H229" t="s">
        <v>1290</v>
      </c>
      <c r="I229">
        <v>-11.88</v>
      </c>
      <c r="J229">
        <v>-4.07</v>
      </c>
      <c r="K229">
        <v>135.10999999999999</v>
      </c>
      <c r="L229">
        <v>50.98</v>
      </c>
      <c r="M229">
        <v>84.13</v>
      </c>
    </row>
    <row r="230" spans="5:13" x14ac:dyDescent="0.15">
      <c r="E230" s="12">
        <v>234</v>
      </c>
      <c r="F230" s="11" t="s">
        <v>878</v>
      </c>
      <c r="G230" t="s">
        <v>1459</v>
      </c>
      <c r="H230" t="s">
        <v>1290</v>
      </c>
      <c r="I230">
        <v>-12.48</v>
      </c>
      <c r="J230">
        <v>-4.72</v>
      </c>
      <c r="K230">
        <v>134.88</v>
      </c>
      <c r="L230">
        <v>48.32</v>
      </c>
      <c r="M230">
        <v>86.56</v>
      </c>
    </row>
    <row r="231" spans="5:13" x14ac:dyDescent="0.15">
      <c r="E231" s="12">
        <v>235</v>
      </c>
      <c r="F231" s="11" t="s">
        <v>969</v>
      </c>
      <c r="G231" t="s">
        <v>1460</v>
      </c>
      <c r="H231" t="s">
        <v>1290</v>
      </c>
      <c r="I231">
        <v>-15.51</v>
      </c>
      <c r="J231">
        <v>-8.76</v>
      </c>
      <c r="K231">
        <v>134.63999999999999</v>
      </c>
      <c r="L231">
        <v>38.119999999999997</v>
      </c>
      <c r="M231">
        <v>96.52</v>
      </c>
    </row>
    <row r="232" spans="5:13" x14ac:dyDescent="0.15">
      <c r="E232" s="12">
        <v>236</v>
      </c>
      <c r="F232" s="11" t="s">
        <v>867</v>
      </c>
      <c r="G232" t="s">
        <v>1461</v>
      </c>
      <c r="H232" t="s">
        <v>1290</v>
      </c>
      <c r="I232">
        <v>-14.86</v>
      </c>
      <c r="J232">
        <v>-6.54</v>
      </c>
      <c r="K232">
        <v>134.42000000000002</v>
      </c>
      <c r="L232">
        <v>41.14</v>
      </c>
      <c r="M232">
        <v>93.28</v>
      </c>
    </row>
    <row r="233" spans="5:13" x14ac:dyDescent="0.15">
      <c r="E233" s="12">
        <v>237</v>
      </c>
      <c r="F233" s="11" t="s">
        <v>1017</v>
      </c>
      <c r="G233" t="s">
        <v>1462</v>
      </c>
      <c r="H233" t="s">
        <v>1290</v>
      </c>
      <c r="I233">
        <v>-5.22</v>
      </c>
      <c r="J233">
        <v>0</v>
      </c>
      <c r="K233">
        <v>134.41</v>
      </c>
      <c r="L233">
        <v>80.88</v>
      </c>
      <c r="M233">
        <v>53.53</v>
      </c>
    </row>
    <row r="234" spans="5:13" x14ac:dyDescent="0.15">
      <c r="E234" s="12">
        <v>238</v>
      </c>
      <c r="F234" s="11" t="s">
        <v>853</v>
      </c>
      <c r="G234" t="s">
        <v>1463</v>
      </c>
      <c r="H234" t="s">
        <v>1290</v>
      </c>
      <c r="I234">
        <v>-1.23</v>
      </c>
      <c r="J234">
        <v>0.1</v>
      </c>
      <c r="K234">
        <v>134.19</v>
      </c>
      <c r="L234">
        <v>90.85</v>
      </c>
      <c r="M234">
        <v>43.34</v>
      </c>
    </row>
    <row r="235" spans="5:13" x14ac:dyDescent="0.15">
      <c r="E235" s="12">
        <v>239</v>
      </c>
      <c r="F235" s="11" t="s">
        <v>523</v>
      </c>
      <c r="G235" t="s">
        <v>1464</v>
      </c>
      <c r="H235" t="s">
        <v>1290</v>
      </c>
      <c r="I235">
        <v>-9.17</v>
      </c>
      <c r="J235">
        <v>-0.73</v>
      </c>
      <c r="K235">
        <v>134.07</v>
      </c>
      <c r="L235">
        <v>62.46</v>
      </c>
      <c r="M235">
        <v>71.61</v>
      </c>
    </row>
    <row r="236" spans="5:13" x14ac:dyDescent="0.15">
      <c r="E236" s="12">
        <v>240</v>
      </c>
      <c r="F236" s="11" t="s">
        <v>567</v>
      </c>
      <c r="G236" t="s">
        <v>1465</v>
      </c>
      <c r="H236" t="s">
        <v>1290</v>
      </c>
      <c r="I236">
        <v>-3.59</v>
      </c>
      <c r="J236">
        <v>0</v>
      </c>
      <c r="K236">
        <v>133.60999999999999</v>
      </c>
      <c r="L236">
        <v>86.1</v>
      </c>
      <c r="M236">
        <v>47.51</v>
      </c>
    </row>
    <row r="237" spans="5:13" x14ac:dyDescent="0.15">
      <c r="E237" s="12">
        <v>241</v>
      </c>
      <c r="F237" s="11" t="s">
        <v>721</v>
      </c>
      <c r="G237" t="s">
        <v>1466</v>
      </c>
      <c r="H237" t="s">
        <v>1290</v>
      </c>
      <c r="I237">
        <v>-11.89</v>
      </c>
      <c r="J237">
        <v>-3.91</v>
      </c>
      <c r="K237">
        <v>133.37</v>
      </c>
      <c r="L237">
        <v>50.75</v>
      </c>
      <c r="M237">
        <v>82.62</v>
      </c>
    </row>
    <row r="238" spans="5:13" x14ac:dyDescent="0.15">
      <c r="E238" s="12">
        <v>242</v>
      </c>
      <c r="F238" s="11" t="s">
        <v>942</v>
      </c>
      <c r="G238" t="s">
        <v>1467</v>
      </c>
      <c r="H238" t="s">
        <v>1290</v>
      </c>
      <c r="I238">
        <v>-0.51</v>
      </c>
      <c r="J238">
        <v>0.17</v>
      </c>
      <c r="K238">
        <v>132.91</v>
      </c>
      <c r="L238">
        <v>93.86</v>
      </c>
      <c r="M238">
        <v>39.049999999999997</v>
      </c>
    </row>
    <row r="239" spans="5:13" x14ac:dyDescent="0.15">
      <c r="E239" s="12">
        <v>243</v>
      </c>
      <c r="F239" s="11" t="s">
        <v>511</v>
      </c>
      <c r="G239" t="s">
        <v>1468</v>
      </c>
      <c r="H239" t="s">
        <v>1290</v>
      </c>
      <c r="I239">
        <v>-10.68</v>
      </c>
      <c r="J239">
        <v>-3.17</v>
      </c>
      <c r="K239">
        <v>132.9</v>
      </c>
      <c r="L239">
        <v>54.92</v>
      </c>
      <c r="M239">
        <v>77.98</v>
      </c>
    </row>
    <row r="240" spans="5:13" x14ac:dyDescent="0.15">
      <c r="E240" s="12">
        <v>244</v>
      </c>
      <c r="F240" s="11" t="s">
        <v>528</v>
      </c>
      <c r="G240" t="s">
        <v>1469</v>
      </c>
      <c r="H240" t="s">
        <v>1290</v>
      </c>
      <c r="I240">
        <v>-6.47</v>
      </c>
      <c r="J240">
        <v>-0.14000000000000001</v>
      </c>
      <c r="K240">
        <v>132.80000000000001</v>
      </c>
      <c r="L240">
        <v>73.12</v>
      </c>
      <c r="M240">
        <v>59.68</v>
      </c>
    </row>
    <row r="241" spans="5:13" x14ac:dyDescent="0.15">
      <c r="E241" s="12">
        <v>245</v>
      </c>
      <c r="F241" s="11" t="s">
        <v>892</v>
      </c>
      <c r="G241" t="s">
        <v>1470</v>
      </c>
      <c r="H241" t="s">
        <v>1290</v>
      </c>
      <c r="I241">
        <v>-14.29</v>
      </c>
      <c r="J241">
        <v>-5.1100000000000003</v>
      </c>
      <c r="K241">
        <v>132.09</v>
      </c>
      <c r="L241">
        <v>43.45</v>
      </c>
      <c r="M241">
        <v>88.64</v>
      </c>
    </row>
    <row r="242" spans="5:13" x14ac:dyDescent="0.15">
      <c r="E242" s="12">
        <v>246</v>
      </c>
      <c r="F242" s="11" t="s">
        <v>898</v>
      </c>
      <c r="G242" t="s">
        <v>1471</v>
      </c>
      <c r="H242" t="s">
        <v>1290</v>
      </c>
      <c r="I242">
        <v>-8.75</v>
      </c>
      <c r="J242">
        <v>-0.37</v>
      </c>
      <c r="K242">
        <v>132.09</v>
      </c>
      <c r="L242">
        <v>64.19</v>
      </c>
      <c r="M242">
        <v>67.900000000000006</v>
      </c>
    </row>
    <row r="243" spans="5:13" x14ac:dyDescent="0.15">
      <c r="E243" s="12">
        <v>247</v>
      </c>
      <c r="F243" s="11" t="s">
        <v>1025</v>
      </c>
      <c r="G243" t="s">
        <v>1472</v>
      </c>
      <c r="H243" t="s">
        <v>1290</v>
      </c>
      <c r="I243">
        <v>-17.02</v>
      </c>
      <c r="J243">
        <v>-9.73</v>
      </c>
      <c r="K243">
        <v>131.75</v>
      </c>
      <c r="L243">
        <v>33.26</v>
      </c>
      <c r="M243">
        <v>98.49</v>
      </c>
    </row>
    <row r="244" spans="5:13" x14ac:dyDescent="0.15">
      <c r="E244" s="12">
        <v>248</v>
      </c>
      <c r="F244" s="11" t="s">
        <v>669</v>
      </c>
      <c r="G244" t="s">
        <v>1473</v>
      </c>
      <c r="H244" t="s">
        <v>1290</v>
      </c>
      <c r="I244">
        <v>-13.08</v>
      </c>
      <c r="J244">
        <v>-4.34</v>
      </c>
      <c r="K244">
        <v>131.63999999999999</v>
      </c>
      <c r="L244">
        <v>46.47</v>
      </c>
      <c r="M244">
        <v>85.17</v>
      </c>
    </row>
    <row r="245" spans="5:13" x14ac:dyDescent="0.15">
      <c r="E245" s="12">
        <v>249</v>
      </c>
      <c r="F245" s="11" t="s">
        <v>848</v>
      </c>
      <c r="G245" t="s">
        <v>1474</v>
      </c>
      <c r="H245" t="s">
        <v>1290</v>
      </c>
      <c r="I245">
        <v>-11.47</v>
      </c>
      <c r="J245">
        <v>-3.42</v>
      </c>
      <c r="K245">
        <v>131.51999999999998</v>
      </c>
      <c r="L245">
        <v>52.03</v>
      </c>
      <c r="M245">
        <v>79.489999999999995</v>
      </c>
    </row>
    <row r="246" spans="5:13" x14ac:dyDescent="0.15">
      <c r="E246" s="12">
        <v>250</v>
      </c>
      <c r="F246" s="11" t="s">
        <v>938</v>
      </c>
      <c r="G246" t="s">
        <v>1475</v>
      </c>
      <c r="H246" t="s">
        <v>1290</v>
      </c>
      <c r="I246">
        <v>-6.03</v>
      </c>
      <c r="J246">
        <v>0</v>
      </c>
      <c r="K246">
        <v>130.94</v>
      </c>
      <c r="L246">
        <v>77.87</v>
      </c>
      <c r="M246">
        <v>53.07</v>
      </c>
    </row>
    <row r="247" spans="5:13" x14ac:dyDescent="0.15">
      <c r="E247" s="12">
        <v>251</v>
      </c>
      <c r="F247" s="11" t="s">
        <v>905</v>
      </c>
      <c r="G247" t="s">
        <v>1476</v>
      </c>
      <c r="H247" t="s">
        <v>1290</v>
      </c>
      <c r="I247">
        <v>-6.17</v>
      </c>
      <c r="J247">
        <v>0</v>
      </c>
      <c r="K247">
        <v>130.94</v>
      </c>
      <c r="L247">
        <v>77.06</v>
      </c>
      <c r="M247">
        <v>53.88</v>
      </c>
    </row>
    <row r="248" spans="5:13" x14ac:dyDescent="0.15">
      <c r="E248" s="12">
        <v>252</v>
      </c>
      <c r="F248" s="11" t="s">
        <v>1042</v>
      </c>
      <c r="G248" t="s">
        <v>1477</v>
      </c>
      <c r="H248" t="s">
        <v>1290</v>
      </c>
      <c r="I248">
        <v>-10.52</v>
      </c>
      <c r="J248">
        <v>-2.42</v>
      </c>
      <c r="K248">
        <v>130.82999999999998</v>
      </c>
      <c r="L248">
        <v>55.16</v>
      </c>
      <c r="M248">
        <v>75.67</v>
      </c>
    </row>
    <row r="249" spans="5:13" x14ac:dyDescent="0.15">
      <c r="E249" s="12">
        <v>253</v>
      </c>
      <c r="F249" s="11" t="s">
        <v>850</v>
      </c>
      <c r="G249" t="s">
        <v>1478</v>
      </c>
      <c r="H249" t="s">
        <v>1290</v>
      </c>
      <c r="I249">
        <v>-8.4600000000000009</v>
      </c>
      <c r="J249">
        <v>-0.27</v>
      </c>
      <c r="K249">
        <v>130.82</v>
      </c>
      <c r="L249">
        <v>65.47</v>
      </c>
      <c r="M249">
        <v>65.349999999999994</v>
      </c>
    </row>
    <row r="250" spans="5:13" x14ac:dyDescent="0.15">
      <c r="E250" s="12">
        <v>254</v>
      </c>
      <c r="F250" s="11" t="s">
        <v>918</v>
      </c>
      <c r="G250" t="s">
        <v>1479</v>
      </c>
      <c r="H250" t="s">
        <v>1290</v>
      </c>
      <c r="I250">
        <v>-17.07</v>
      </c>
      <c r="J250">
        <v>-9.36</v>
      </c>
      <c r="K250">
        <v>130.59</v>
      </c>
      <c r="L250">
        <v>33.020000000000003</v>
      </c>
      <c r="M250">
        <v>97.57</v>
      </c>
    </row>
    <row r="251" spans="5:13" x14ac:dyDescent="0.15">
      <c r="E251" s="12">
        <v>255</v>
      </c>
      <c r="F251" s="11" t="s">
        <v>770</v>
      </c>
      <c r="G251" t="s">
        <v>1480</v>
      </c>
      <c r="H251" t="s">
        <v>1290</v>
      </c>
      <c r="I251">
        <v>-11.21</v>
      </c>
      <c r="J251">
        <v>-3.02</v>
      </c>
      <c r="K251">
        <v>130.48000000000002</v>
      </c>
      <c r="L251">
        <v>52.84</v>
      </c>
      <c r="M251">
        <v>77.64</v>
      </c>
    </row>
    <row r="252" spans="5:13" x14ac:dyDescent="0.15">
      <c r="E252" s="12">
        <v>256</v>
      </c>
      <c r="F252" s="11" t="s">
        <v>1006</v>
      </c>
      <c r="G252" t="s">
        <v>1481</v>
      </c>
      <c r="H252" t="s">
        <v>1290</v>
      </c>
      <c r="I252">
        <v>-12.1</v>
      </c>
      <c r="J252">
        <v>-3.63</v>
      </c>
      <c r="K252">
        <v>130.47999999999999</v>
      </c>
      <c r="L252">
        <v>50.29</v>
      </c>
      <c r="M252">
        <v>80.19</v>
      </c>
    </row>
    <row r="253" spans="5:13" x14ac:dyDescent="0.15">
      <c r="E253" s="12">
        <v>257</v>
      </c>
      <c r="F253" s="11" t="s">
        <v>870</v>
      </c>
      <c r="G253" t="s">
        <v>1482</v>
      </c>
      <c r="H253" t="s">
        <v>1290</v>
      </c>
      <c r="I253">
        <v>-18.010000000000002</v>
      </c>
      <c r="J253">
        <v>-10.53</v>
      </c>
      <c r="K253">
        <v>130.24</v>
      </c>
      <c r="L253">
        <v>30.94</v>
      </c>
      <c r="M253">
        <v>99.3</v>
      </c>
    </row>
    <row r="254" spans="5:13" x14ac:dyDescent="0.15">
      <c r="E254" s="12">
        <v>258</v>
      </c>
      <c r="F254" s="11" t="s">
        <v>988</v>
      </c>
      <c r="G254" t="s">
        <v>1483</v>
      </c>
      <c r="H254" t="s">
        <v>1290</v>
      </c>
      <c r="I254">
        <v>-14.12</v>
      </c>
      <c r="J254">
        <v>-4.6399999999999997</v>
      </c>
      <c r="K254">
        <v>129.89999999999998</v>
      </c>
      <c r="L254">
        <v>43.8</v>
      </c>
      <c r="M254">
        <v>86.1</v>
      </c>
    </row>
    <row r="255" spans="5:13" x14ac:dyDescent="0.15">
      <c r="E255" s="12">
        <v>259</v>
      </c>
      <c r="F255" s="11" t="s">
        <v>487</v>
      </c>
      <c r="G255" t="s">
        <v>1484</v>
      </c>
      <c r="H255" t="s">
        <v>1290</v>
      </c>
      <c r="I255">
        <v>-6.16</v>
      </c>
      <c r="J255">
        <v>0</v>
      </c>
      <c r="K255">
        <v>129.78</v>
      </c>
      <c r="L255">
        <v>77.17</v>
      </c>
      <c r="M255">
        <v>52.61</v>
      </c>
    </row>
    <row r="256" spans="5:13" x14ac:dyDescent="0.15">
      <c r="E256" s="12">
        <v>260</v>
      </c>
      <c r="F256" s="11" t="s">
        <v>794</v>
      </c>
      <c r="G256" t="s">
        <v>1485</v>
      </c>
      <c r="H256" t="s">
        <v>1290</v>
      </c>
      <c r="I256">
        <v>-14.79</v>
      </c>
      <c r="J256">
        <v>-4.9400000000000004</v>
      </c>
      <c r="K256">
        <v>129.54</v>
      </c>
      <c r="L256">
        <v>41.71</v>
      </c>
      <c r="M256">
        <v>87.83</v>
      </c>
    </row>
    <row r="257" spans="5:13" x14ac:dyDescent="0.15">
      <c r="E257" s="12">
        <v>261</v>
      </c>
      <c r="F257" s="11" t="s">
        <v>648</v>
      </c>
      <c r="G257" t="s">
        <v>1486</v>
      </c>
      <c r="H257" t="s">
        <v>1290</v>
      </c>
      <c r="I257">
        <v>-14.32</v>
      </c>
      <c r="J257">
        <v>-4.68</v>
      </c>
      <c r="K257">
        <v>129.32</v>
      </c>
      <c r="L257">
        <v>43.11</v>
      </c>
      <c r="M257">
        <v>86.21</v>
      </c>
    </row>
    <row r="258" spans="5:13" x14ac:dyDescent="0.15">
      <c r="E258" s="12">
        <v>262</v>
      </c>
      <c r="F258" s="11" t="s">
        <v>904</v>
      </c>
      <c r="G258" t="s">
        <v>1487</v>
      </c>
      <c r="H258" t="s">
        <v>1290</v>
      </c>
      <c r="I258">
        <v>-6.46</v>
      </c>
      <c r="J258">
        <v>-0.05</v>
      </c>
      <c r="K258">
        <v>129.09</v>
      </c>
      <c r="L258">
        <v>73.349999999999994</v>
      </c>
      <c r="M258">
        <v>55.74</v>
      </c>
    </row>
    <row r="259" spans="5:13" x14ac:dyDescent="0.15">
      <c r="E259" s="12">
        <v>263</v>
      </c>
      <c r="F259" s="11" t="s">
        <v>1066</v>
      </c>
      <c r="G259" t="s">
        <v>1488</v>
      </c>
      <c r="H259" t="s">
        <v>1290</v>
      </c>
      <c r="I259">
        <v>-16.62</v>
      </c>
      <c r="J259">
        <v>-7.17</v>
      </c>
      <c r="K259">
        <v>128.95999999999998</v>
      </c>
      <c r="L259">
        <v>34.409999999999997</v>
      </c>
      <c r="M259">
        <v>94.55</v>
      </c>
    </row>
    <row r="260" spans="5:13" x14ac:dyDescent="0.15">
      <c r="E260" s="12">
        <v>264</v>
      </c>
      <c r="F260" s="11" t="s">
        <v>819</v>
      </c>
      <c r="G260" t="s">
        <v>1489</v>
      </c>
      <c r="H260" t="s">
        <v>1290</v>
      </c>
      <c r="I260">
        <v>-3.63</v>
      </c>
      <c r="J260">
        <v>0.11</v>
      </c>
      <c r="K260">
        <v>128.86000000000001</v>
      </c>
      <c r="L260">
        <v>85.75</v>
      </c>
      <c r="M260">
        <v>43.11</v>
      </c>
    </row>
    <row r="261" spans="5:13" x14ac:dyDescent="0.15">
      <c r="E261" s="12">
        <v>265</v>
      </c>
      <c r="F261" s="11" t="s">
        <v>576</v>
      </c>
      <c r="G261" t="s">
        <v>1490</v>
      </c>
      <c r="H261" t="s">
        <v>1290</v>
      </c>
      <c r="I261">
        <v>-15.32</v>
      </c>
      <c r="J261">
        <v>-5.54</v>
      </c>
      <c r="K261">
        <v>128.74</v>
      </c>
      <c r="L261">
        <v>38.47</v>
      </c>
      <c r="M261">
        <v>90.27</v>
      </c>
    </row>
    <row r="262" spans="5:13" x14ac:dyDescent="0.15">
      <c r="E262" s="12">
        <v>266</v>
      </c>
      <c r="F262" s="11" t="s">
        <v>536</v>
      </c>
      <c r="G262" t="s">
        <v>1491</v>
      </c>
      <c r="H262" t="s">
        <v>1290</v>
      </c>
      <c r="I262">
        <v>-18.190000000000001</v>
      </c>
      <c r="J262">
        <v>-9.77</v>
      </c>
      <c r="K262">
        <v>128.51</v>
      </c>
      <c r="L262">
        <v>29.9</v>
      </c>
      <c r="M262">
        <v>98.61</v>
      </c>
    </row>
    <row r="263" spans="5:13" x14ac:dyDescent="0.15">
      <c r="E263" s="12">
        <v>267</v>
      </c>
      <c r="F263" s="11" t="s">
        <v>732</v>
      </c>
      <c r="G263" t="s">
        <v>1492</v>
      </c>
      <c r="H263" t="s">
        <v>1290</v>
      </c>
      <c r="I263">
        <v>-16.46</v>
      </c>
      <c r="J263">
        <v>-6.46</v>
      </c>
      <c r="K263">
        <v>128.16</v>
      </c>
      <c r="L263">
        <v>35.11</v>
      </c>
      <c r="M263">
        <v>93.05</v>
      </c>
    </row>
    <row r="264" spans="5:13" x14ac:dyDescent="0.15">
      <c r="E264" s="12">
        <v>268</v>
      </c>
      <c r="F264" s="11" t="s">
        <v>921</v>
      </c>
      <c r="G264" t="s">
        <v>1493</v>
      </c>
      <c r="H264" t="s">
        <v>1290</v>
      </c>
      <c r="I264">
        <v>-7.45</v>
      </c>
      <c r="J264">
        <v>-0.1</v>
      </c>
      <c r="K264">
        <v>128.05000000000001</v>
      </c>
      <c r="L264">
        <v>70.92</v>
      </c>
      <c r="M264">
        <v>57.13</v>
      </c>
    </row>
    <row r="265" spans="5:13" x14ac:dyDescent="0.15">
      <c r="E265" s="12">
        <v>269</v>
      </c>
      <c r="F265" s="11" t="s">
        <v>840</v>
      </c>
      <c r="G265" t="s">
        <v>1494</v>
      </c>
      <c r="H265" t="s">
        <v>1290</v>
      </c>
      <c r="I265">
        <v>-17.77</v>
      </c>
      <c r="J265">
        <v>-8.7200000000000006</v>
      </c>
      <c r="K265">
        <v>127.92999999999999</v>
      </c>
      <c r="L265">
        <v>31.52</v>
      </c>
      <c r="M265">
        <v>96.41</v>
      </c>
    </row>
    <row r="266" spans="5:13" x14ac:dyDescent="0.15">
      <c r="E266" s="12">
        <v>270</v>
      </c>
      <c r="F266" s="11" t="s">
        <v>926</v>
      </c>
      <c r="G266" t="s">
        <v>1495</v>
      </c>
      <c r="H266" t="s">
        <v>1290</v>
      </c>
      <c r="I266">
        <v>-9.9700000000000006</v>
      </c>
      <c r="J266">
        <v>-0.37</v>
      </c>
      <c r="K266">
        <v>127.46</v>
      </c>
      <c r="L266">
        <v>59.44</v>
      </c>
      <c r="M266">
        <v>68.02</v>
      </c>
    </row>
    <row r="267" spans="5:13" x14ac:dyDescent="0.15">
      <c r="E267" s="12">
        <v>271</v>
      </c>
      <c r="F267" s="11" t="s">
        <v>865</v>
      </c>
      <c r="G267" t="s">
        <v>1496</v>
      </c>
      <c r="H267" t="s">
        <v>1290</v>
      </c>
      <c r="I267">
        <v>0.14000000000000001</v>
      </c>
      <c r="J267">
        <v>0.26</v>
      </c>
      <c r="K267">
        <v>127.12</v>
      </c>
      <c r="L267">
        <v>95.25</v>
      </c>
      <c r="M267">
        <v>31.87</v>
      </c>
    </row>
    <row r="268" spans="5:13" x14ac:dyDescent="0.15">
      <c r="E268" s="12">
        <v>272</v>
      </c>
      <c r="F268" s="11" t="s">
        <v>1024</v>
      </c>
      <c r="G268" t="s">
        <v>1497</v>
      </c>
      <c r="H268" t="s">
        <v>1290</v>
      </c>
      <c r="I268">
        <v>-10.119999999999999</v>
      </c>
      <c r="J268">
        <v>-0.4</v>
      </c>
      <c r="K268">
        <v>127.10999999999999</v>
      </c>
      <c r="L268">
        <v>58.4</v>
      </c>
      <c r="M268">
        <v>68.709999999999994</v>
      </c>
    </row>
    <row r="269" spans="5:13" x14ac:dyDescent="0.15">
      <c r="E269" s="12">
        <v>273</v>
      </c>
      <c r="F269" s="11" t="s">
        <v>609</v>
      </c>
      <c r="G269" t="s">
        <v>1498</v>
      </c>
      <c r="H269" t="s">
        <v>1290</v>
      </c>
      <c r="I269">
        <v>2.86</v>
      </c>
      <c r="J269">
        <v>0.33</v>
      </c>
      <c r="K269">
        <v>127</v>
      </c>
      <c r="L269">
        <v>99.54</v>
      </c>
      <c r="M269">
        <v>27.46</v>
      </c>
    </row>
    <row r="270" spans="5:13" x14ac:dyDescent="0.15">
      <c r="E270" s="12">
        <v>274</v>
      </c>
      <c r="F270" s="11" t="s">
        <v>1041</v>
      </c>
      <c r="G270" t="s">
        <v>1499</v>
      </c>
      <c r="H270" t="s">
        <v>1290</v>
      </c>
      <c r="I270">
        <v>-18.559999999999999</v>
      </c>
      <c r="J270">
        <v>-9.7899999999999991</v>
      </c>
      <c r="K270">
        <v>126.77000000000001</v>
      </c>
      <c r="L270">
        <v>28.04</v>
      </c>
      <c r="M270">
        <v>98.73</v>
      </c>
    </row>
    <row r="271" spans="5:13" x14ac:dyDescent="0.15">
      <c r="E271" s="12">
        <v>275</v>
      </c>
      <c r="F271" s="11" t="s">
        <v>593</v>
      </c>
      <c r="G271" t="s">
        <v>1500</v>
      </c>
      <c r="H271" t="s">
        <v>1290</v>
      </c>
      <c r="I271">
        <v>-7.67</v>
      </c>
      <c r="J271">
        <v>-0.11</v>
      </c>
      <c r="K271">
        <v>126.77000000000001</v>
      </c>
      <c r="L271">
        <v>69.06</v>
      </c>
      <c r="M271">
        <v>57.71</v>
      </c>
    </row>
    <row r="272" spans="5:13" x14ac:dyDescent="0.15">
      <c r="E272" s="12">
        <v>276</v>
      </c>
      <c r="F272" s="11" t="s">
        <v>879</v>
      </c>
      <c r="G272" t="s">
        <v>1501</v>
      </c>
      <c r="H272" t="s">
        <v>1290</v>
      </c>
      <c r="I272">
        <v>-18.37</v>
      </c>
      <c r="J272">
        <v>-9.3699999999999992</v>
      </c>
      <c r="K272">
        <v>126.76</v>
      </c>
      <c r="L272">
        <v>29.08</v>
      </c>
      <c r="M272">
        <v>97.68</v>
      </c>
    </row>
    <row r="273" spans="5:13" x14ac:dyDescent="0.15">
      <c r="E273" s="12">
        <v>277</v>
      </c>
      <c r="F273" s="11" t="s">
        <v>1046</v>
      </c>
      <c r="G273" t="s">
        <v>1502</v>
      </c>
      <c r="H273" t="s">
        <v>1290</v>
      </c>
      <c r="I273">
        <v>-13.16</v>
      </c>
      <c r="J273">
        <v>-3.66</v>
      </c>
      <c r="K273">
        <v>126.65</v>
      </c>
      <c r="L273">
        <v>46.23</v>
      </c>
      <c r="M273">
        <v>80.42</v>
      </c>
    </row>
    <row r="274" spans="5:13" x14ac:dyDescent="0.15">
      <c r="E274" s="12">
        <v>278</v>
      </c>
      <c r="F274" s="11" t="s">
        <v>933</v>
      </c>
      <c r="G274" t="s">
        <v>1503</v>
      </c>
      <c r="H274" t="s">
        <v>1290</v>
      </c>
      <c r="I274">
        <v>-3.64</v>
      </c>
      <c r="J274">
        <v>0.14000000000000001</v>
      </c>
      <c r="K274">
        <v>126.3</v>
      </c>
      <c r="L274">
        <v>85.63</v>
      </c>
      <c r="M274">
        <v>40.67</v>
      </c>
    </row>
    <row r="275" spans="5:13" x14ac:dyDescent="0.15">
      <c r="E275" s="12">
        <v>279</v>
      </c>
      <c r="F275" s="11" t="s">
        <v>558</v>
      </c>
      <c r="G275" t="s">
        <v>1504</v>
      </c>
      <c r="H275" t="s">
        <v>1290</v>
      </c>
      <c r="I275">
        <v>-8.89</v>
      </c>
      <c r="J275">
        <v>-0.16</v>
      </c>
      <c r="K275">
        <v>126.07</v>
      </c>
      <c r="L275">
        <v>64.08</v>
      </c>
      <c r="M275">
        <v>61.99</v>
      </c>
    </row>
    <row r="276" spans="5:13" x14ac:dyDescent="0.15">
      <c r="E276" s="12">
        <v>280</v>
      </c>
      <c r="F276" s="11" t="s">
        <v>580</v>
      </c>
      <c r="G276" t="s">
        <v>1505</v>
      </c>
      <c r="H276" t="s">
        <v>1290</v>
      </c>
      <c r="I276">
        <v>-16.489999999999998</v>
      </c>
      <c r="J276">
        <v>-5.76</v>
      </c>
      <c r="K276">
        <v>125.72999999999999</v>
      </c>
      <c r="L276">
        <v>34.880000000000003</v>
      </c>
      <c r="M276">
        <v>90.85</v>
      </c>
    </row>
    <row r="277" spans="5:13" x14ac:dyDescent="0.15">
      <c r="E277" s="12">
        <v>281</v>
      </c>
      <c r="F277" s="11" t="s">
        <v>991</v>
      </c>
      <c r="G277" t="s">
        <v>1506</v>
      </c>
      <c r="H277" t="s">
        <v>1290</v>
      </c>
      <c r="I277">
        <v>-17.579999999999998</v>
      </c>
      <c r="J277">
        <v>-6.91</v>
      </c>
      <c r="K277">
        <v>125.61</v>
      </c>
      <c r="L277">
        <v>31.87</v>
      </c>
      <c r="M277">
        <v>93.74</v>
      </c>
    </row>
    <row r="278" spans="5:13" x14ac:dyDescent="0.15">
      <c r="E278" s="12">
        <v>282</v>
      </c>
      <c r="F278" s="11" t="s">
        <v>866</v>
      </c>
      <c r="G278" t="s">
        <v>1507</v>
      </c>
      <c r="H278" t="s">
        <v>1290</v>
      </c>
      <c r="I278">
        <v>-6.91</v>
      </c>
      <c r="J278">
        <v>0</v>
      </c>
      <c r="K278">
        <v>125.37</v>
      </c>
      <c r="L278">
        <v>72.42</v>
      </c>
      <c r="M278">
        <v>52.95</v>
      </c>
    </row>
    <row r="279" spans="5:13" x14ac:dyDescent="0.15">
      <c r="E279" s="12">
        <v>283</v>
      </c>
      <c r="F279" s="11" t="s">
        <v>939</v>
      </c>
      <c r="G279" t="s">
        <v>1508</v>
      </c>
      <c r="H279" t="s">
        <v>1290</v>
      </c>
      <c r="I279">
        <v>-3.73</v>
      </c>
      <c r="J279">
        <v>0.14000000000000001</v>
      </c>
      <c r="K279">
        <v>125.15</v>
      </c>
      <c r="L279">
        <v>85.17</v>
      </c>
      <c r="M279">
        <v>39.979999999999997</v>
      </c>
    </row>
    <row r="280" spans="5:13" x14ac:dyDescent="0.15">
      <c r="E280" s="12">
        <v>284</v>
      </c>
      <c r="F280" s="11" t="s">
        <v>691</v>
      </c>
      <c r="G280" t="s">
        <v>1485</v>
      </c>
      <c r="H280" t="s">
        <v>1290</v>
      </c>
      <c r="I280">
        <v>-10.19</v>
      </c>
      <c r="J280">
        <v>-0.38</v>
      </c>
      <c r="K280">
        <v>125.03</v>
      </c>
      <c r="L280">
        <v>56.78</v>
      </c>
      <c r="M280">
        <v>68.25</v>
      </c>
    </row>
    <row r="281" spans="5:13" x14ac:dyDescent="0.15">
      <c r="E281" s="12">
        <v>285</v>
      </c>
      <c r="F281" s="11" t="s">
        <v>740</v>
      </c>
      <c r="G281" t="s">
        <v>1509</v>
      </c>
      <c r="H281" t="s">
        <v>1290</v>
      </c>
      <c r="I281">
        <v>-18.91</v>
      </c>
      <c r="J281">
        <v>-9.3800000000000008</v>
      </c>
      <c r="K281">
        <v>124.56</v>
      </c>
      <c r="L281">
        <v>26.65</v>
      </c>
      <c r="M281">
        <v>97.91</v>
      </c>
    </row>
    <row r="282" spans="5:13" x14ac:dyDescent="0.15">
      <c r="E282" s="12">
        <v>286</v>
      </c>
      <c r="F282" s="11" t="s">
        <v>703</v>
      </c>
      <c r="G282" t="s">
        <v>1510</v>
      </c>
      <c r="H282" t="s">
        <v>1290</v>
      </c>
      <c r="I282">
        <v>-8.52</v>
      </c>
      <c r="J282">
        <v>-0.13</v>
      </c>
      <c r="K282">
        <v>124.45</v>
      </c>
      <c r="L282">
        <v>65.12</v>
      </c>
      <c r="M282">
        <v>59.33</v>
      </c>
    </row>
    <row r="283" spans="5:13" x14ac:dyDescent="0.15">
      <c r="E283" s="12">
        <v>287</v>
      </c>
      <c r="F283" s="11" t="s">
        <v>764</v>
      </c>
      <c r="G283" t="s">
        <v>1511</v>
      </c>
      <c r="H283" t="s">
        <v>1290</v>
      </c>
      <c r="I283">
        <v>-9.07</v>
      </c>
      <c r="J283">
        <v>-0.16</v>
      </c>
      <c r="K283">
        <v>124.45</v>
      </c>
      <c r="L283">
        <v>62.92</v>
      </c>
      <c r="M283">
        <v>61.53</v>
      </c>
    </row>
    <row r="284" spans="5:13" x14ac:dyDescent="0.15">
      <c r="E284" s="12">
        <v>288</v>
      </c>
      <c r="F284" s="11" t="s">
        <v>935</v>
      </c>
      <c r="G284" t="s">
        <v>1512</v>
      </c>
      <c r="H284" t="s">
        <v>1290</v>
      </c>
      <c r="I284">
        <v>-15.31</v>
      </c>
      <c r="J284">
        <v>-4.45</v>
      </c>
      <c r="K284">
        <v>124.10000000000001</v>
      </c>
      <c r="L284">
        <v>38.700000000000003</v>
      </c>
      <c r="M284">
        <v>85.4</v>
      </c>
    </row>
    <row r="285" spans="5:13" x14ac:dyDescent="0.15">
      <c r="E285" s="12">
        <v>289</v>
      </c>
      <c r="F285" s="11" t="s">
        <v>996</v>
      </c>
      <c r="G285" t="s">
        <v>1513</v>
      </c>
      <c r="H285" t="s">
        <v>1290</v>
      </c>
      <c r="I285">
        <v>-16.420000000000002</v>
      </c>
      <c r="J285">
        <v>-5.13</v>
      </c>
      <c r="K285">
        <v>123.99000000000001</v>
      </c>
      <c r="L285">
        <v>35.229999999999997</v>
      </c>
      <c r="M285">
        <v>88.76</v>
      </c>
    </row>
    <row r="286" spans="5:13" x14ac:dyDescent="0.15">
      <c r="E286" s="12">
        <v>290</v>
      </c>
      <c r="F286" s="11" t="s">
        <v>924</v>
      </c>
      <c r="G286" t="s">
        <v>1514</v>
      </c>
      <c r="H286" t="s">
        <v>1290</v>
      </c>
      <c r="I286">
        <v>-19.07</v>
      </c>
      <c r="J286">
        <v>-9.1199999999999992</v>
      </c>
      <c r="K286">
        <v>123.64</v>
      </c>
      <c r="L286">
        <v>26.42</v>
      </c>
      <c r="M286">
        <v>97.22</v>
      </c>
    </row>
    <row r="287" spans="5:13" x14ac:dyDescent="0.15">
      <c r="E287" s="12">
        <v>291</v>
      </c>
      <c r="F287" s="11" t="s">
        <v>976</v>
      </c>
      <c r="G287" t="s">
        <v>1515</v>
      </c>
      <c r="H287" t="s">
        <v>1290</v>
      </c>
      <c r="I287">
        <v>-13.84</v>
      </c>
      <c r="J287">
        <v>-3.33</v>
      </c>
      <c r="K287">
        <v>123.52000000000001</v>
      </c>
      <c r="L287">
        <v>44.38</v>
      </c>
      <c r="M287">
        <v>79.14</v>
      </c>
    </row>
    <row r="288" spans="5:13" x14ac:dyDescent="0.15">
      <c r="E288" s="12">
        <v>292</v>
      </c>
      <c r="F288" s="11" t="s">
        <v>621</v>
      </c>
      <c r="G288" t="s">
        <v>1516</v>
      </c>
      <c r="H288" t="s">
        <v>1290</v>
      </c>
      <c r="I288">
        <v>-8.5</v>
      </c>
      <c r="J288">
        <v>-0.12</v>
      </c>
      <c r="K288">
        <v>123.06</v>
      </c>
      <c r="L288">
        <v>65.239999999999995</v>
      </c>
      <c r="M288">
        <v>57.82</v>
      </c>
    </row>
    <row r="289" spans="5:13" x14ac:dyDescent="0.15">
      <c r="E289" s="12">
        <v>293</v>
      </c>
      <c r="F289" s="11" t="s">
        <v>973</v>
      </c>
      <c r="G289" t="s">
        <v>1517</v>
      </c>
      <c r="H289" t="s">
        <v>1290</v>
      </c>
      <c r="I289">
        <v>-3.79</v>
      </c>
      <c r="J289">
        <v>0.18</v>
      </c>
      <c r="K289">
        <v>122.14</v>
      </c>
      <c r="L289">
        <v>84.94</v>
      </c>
      <c r="M289">
        <v>37.200000000000003</v>
      </c>
    </row>
    <row r="290" spans="5:13" x14ac:dyDescent="0.15">
      <c r="E290" s="12">
        <v>294</v>
      </c>
      <c r="F290" s="11" t="s">
        <v>799</v>
      </c>
      <c r="G290" t="s">
        <v>1518</v>
      </c>
      <c r="H290" t="s">
        <v>1290</v>
      </c>
      <c r="I290">
        <v>-15.88</v>
      </c>
      <c r="J290">
        <v>-4.2699999999999996</v>
      </c>
      <c r="K290">
        <v>122.13</v>
      </c>
      <c r="L290">
        <v>37.43</v>
      </c>
      <c r="M290">
        <v>84.7</v>
      </c>
    </row>
    <row r="291" spans="5:13" x14ac:dyDescent="0.15">
      <c r="E291" s="12">
        <v>295</v>
      </c>
      <c r="F291" s="11" t="s">
        <v>992</v>
      </c>
      <c r="G291" t="s">
        <v>395</v>
      </c>
      <c r="H291" t="s">
        <v>1290</v>
      </c>
      <c r="I291">
        <v>-18.239999999999998</v>
      </c>
      <c r="J291">
        <v>-6.29</v>
      </c>
      <c r="K291">
        <v>121.78999999999999</v>
      </c>
      <c r="L291">
        <v>29.55</v>
      </c>
      <c r="M291">
        <v>92.24</v>
      </c>
    </row>
    <row r="292" spans="5:13" x14ac:dyDescent="0.15">
      <c r="E292" s="12">
        <v>296</v>
      </c>
      <c r="F292" s="11" t="s">
        <v>1001</v>
      </c>
      <c r="G292" t="s">
        <v>1519</v>
      </c>
      <c r="H292" t="s">
        <v>1290</v>
      </c>
      <c r="I292">
        <v>-7.48</v>
      </c>
      <c r="J292">
        <v>0</v>
      </c>
      <c r="K292">
        <v>121.78</v>
      </c>
      <c r="L292">
        <v>70.680000000000007</v>
      </c>
      <c r="M292">
        <v>51.1</v>
      </c>
    </row>
    <row r="293" spans="5:13" x14ac:dyDescent="0.15">
      <c r="E293" s="12">
        <v>297</v>
      </c>
      <c r="F293" s="11" t="s">
        <v>797</v>
      </c>
      <c r="G293" t="s">
        <v>1520</v>
      </c>
      <c r="H293" t="s">
        <v>1290</v>
      </c>
      <c r="I293">
        <v>-1.9</v>
      </c>
      <c r="J293">
        <v>0.25</v>
      </c>
      <c r="K293">
        <v>121.55000000000001</v>
      </c>
      <c r="L293">
        <v>89.34</v>
      </c>
      <c r="M293">
        <v>32.21</v>
      </c>
    </row>
    <row r="294" spans="5:13" x14ac:dyDescent="0.15">
      <c r="E294" s="12">
        <v>298</v>
      </c>
      <c r="F294" s="11" t="s">
        <v>551</v>
      </c>
      <c r="G294" t="s">
        <v>1521</v>
      </c>
      <c r="H294" t="s">
        <v>1290</v>
      </c>
      <c r="I294">
        <v>-16.79</v>
      </c>
      <c r="J294">
        <v>-4.9000000000000004</v>
      </c>
      <c r="K294">
        <v>121.33</v>
      </c>
      <c r="L294">
        <v>33.840000000000003</v>
      </c>
      <c r="M294">
        <v>87.49</v>
      </c>
    </row>
    <row r="295" spans="5:13" x14ac:dyDescent="0.15">
      <c r="E295" s="12">
        <v>299</v>
      </c>
      <c r="F295" s="11" t="s">
        <v>1053</v>
      </c>
      <c r="G295" t="s">
        <v>1522</v>
      </c>
      <c r="H295" t="s">
        <v>1290</v>
      </c>
      <c r="I295">
        <v>-10.1</v>
      </c>
      <c r="J295">
        <v>-0.19</v>
      </c>
      <c r="K295">
        <v>121.32</v>
      </c>
      <c r="L295">
        <v>58.52</v>
      </c>
      <c r="M295">
        <v>62.8</v>
      </c>
    </row>
    <row r="296" spans="5:13" x14ac:dyDescent="0.15">
      <c r="E296" s="12">
        <v>300</v>
      </c>
      <c r="F296" s="11" t="s">
        <v>841</v>
      </c>
      <c r="G296" t="s">
        <v>1523</v>
      </c>
      <c r="H296" t="s">
        <v>1290</v>
      </c>
      <c r="I296">
        <v>-5.88</v>
      </c>
      <c r="J296">
        <v>0.12</v>
      </c>
      <c r="K296">
        <v>121.32</v>
      </c>
      <c r="L296">
        <v>78.91</v>
      </c>
      <c r="M296">
        <v>42.41</v>
      </c>
    </row>
    <row r="297" spans="5:13" x14ac:dyDescent="0.15">
      <c r="E297" s="12">
        <v>301</v>
      </c>
      <c r="F297" s="11" t="s">
        <v>531</v>
      </c>
      <c r="G297" t="s">
        <v>1524</v>
      </c>
      <c r="H297" t="s">
        <v>1290</v>
      </c>
      <c r="I297">
        <v>-13.61</v>
      </c>
      <c r="J297">
        <v>-2.4</v>
      </c>
      <c r="K297">
        <v>120.86</v>
      </c>
      <c r="L297">
        <v>45.31</v>
      </c>
      <c r="M297">
        <v>75.55</v>
      </c>
    </row>
    <row r="298" spans="5:13" x14ac:dyDescent="0.15">
      <c r="E298" s="12">
        <v>302</v>
      </c>
      <c r="F298" s="11" t="s">
        <v>806</v>
      </c>
      <c r="G298" t="s">
        <v>1525</v>
      </c>
      <c r="H298" t="s">
        <v>1290</v>
      </c>
      <c r="I298">
        <v>-10.89</v>
      </c>
      <c r="J298">
        <v>-0.27</v>
      </c>
      <c r="K298">
        <v>120.50999999999999</v>
      </c>
      <c r="L298">
        <v>54.69</v>
      </c>
      <c r="M298">
        <v>65.819999999999993</v>
      </c>
    </row>
    <row r="299" spans="5:13" x14ac:dyDescent="0.15">
      <c r="E299" s="12">
        <v>303</v>
      </c>
      <c r="F299" s="11" t="s">
        <v>874</v>
      </c>
      <c r="G299" t="s">
        <v>1526</v>
      </c>
      <c r="H299" t="s">
        <v>1290</v>
      </c>
      <c r="I299">
        <v>-18.47</v>
      </c>
      <c r="J299">
        <v>-6.19</v>
      </c>
      <c r="K299">
        <v>120.39</v>
      </c>
      <c r="L299">
        <v>28.62</v>
      </c>
      <c r="M299">
        <v>91.77</v>
      </c>
    </row>
    <row r="300" spans="5:13" x14ac:dyDescent="0.15">
      <c r="E300" s="12">
        <v>304</v>
      </c>
      <c r="F300" s="11" t="s">
        <v>977</v>
      </c>
      <c r="G300" t="s">
        <v>1479</v>
      </c>
      <c r="H300" t="s">
        <v>1290</v>
      </c>
      <c r="I300">
        <v>-10.8</v>
      </c>
      <c r="J300">
        <v>-0.27</v>
      </c>
      <c r="K300">
        <v>120.28</v>
      </c>
      <c r="L300">
        <v>54.81</v>
      </c>
      <c r="M300">
        <v>65.47</v>
      </c>
    </row>
    <row r="301" spans="5:13" x14ac:dyDescent="0.15">
      <c r="E301" s="12">
        <v>305</v>
      </c>
      <c r="F301" s="11" t="s">
        <v>833</v>
      </c>
      <c r="G301" t="s">
        <v>1527</v>
      </c>
      <c r="H301" t="s">
        <v>1290</v>
      </c>
      <c r="I301">
        <v>-3.7</v>
      </c>
      <c r="J301">
        <v>0.21</v>
      </c>
      <c r="K301">
        <v>120.05000000000001</v>
      </c>
      <c r="L301">
        <v>85.4</v>
      </c>
      <c r="M301">
        <v>34.65</v>
      </c>
    </row>
    <row r="302" spans="5:13" x14ac:dyDescent="0.15">
      <c r="E302" s="12">
        <v>306</v>
      </c>
      <c r="F302" s="11" t="s">
        <v>931</v>
      </c>
      <c r="G302" t="s">
        <v>1528</v>
      </c>
      <c r="H302" t="s">
        <v>1290</v>
      </c>
      <c r="I302">
        <v>-18.559999999999999</v>
      </c>
      <c r="J302">
        <v>-6.19</v>
      </c>
      <c r="K302">
        <v>120.05</v>
      </c>
      <c r="L302">
        <v>28.16</v>
      </c>
      <c r="M302">
        <v>91.89</v>
      </c>
    </row>
    <row r="303" spans="5:13" x14ac:dyDescent="0.15">
      <c r="E303" s="12">
        <v>307</v>
      </c>
      <c r="F303" s="11" t="s">
        <v>456</v>
      </c>
      <c r="G303" t="s">
        <v>1201</v>
      </c>
      <c r="H303" t="s">
        <v>1290</v>
      </c>
      <c r="I303">
        <v>-0.55000000000000004</v>
      </c>
      <c r="J303">
        <v>0.34</v>
      </c>
      <c r="K303">
        <v>120.05</v>
      </c>
      <c r="L303">
        <v>93.28</v>
      </c>
      <c r="M303">
        <v>26.77</v>
      </c>
    </row>
    <row r="304" spans="5:13" x14ac:dyDescent="0.15">
      <c r="E304" s="12">
        <v>308</v>
      </c>
      <c r="F304" s="11" t="s">
        <v>617</v>
      </c>
      <c r="G304" t="s">
        <v>1529</v>
      </c>
      <c r="H304" t="s">
        <v>1290</v>
      </c>
      <c r="I304">
        <v>-1.55</v>
      </c>
      <c r="J304">
        <v>0.3</v>
      </c>
      <c r="K304">
        <v>119.81</v>
      </c>
      <c r="L304">
        <v>90.03</v>
      </c>
      <c r="M304">
        <v>29.78</v>
      </c>
    </row>
    <row r="305" spans="5:13" x14ac:dyDescent="0.15">
      <c r="E305" s="12">
        <v>309</v>
      </c>
      <c r="F305" s="11" t="s">
        <v>650</v>
      </c>
      <c r="G305" t="s">
        <v>1530</v>
      </c>
      <c r="H305" t="s">
        <v>1290</v>
      </c>
      <c r="I305">
        <v>-13.7</v>
      </c>
      <c r="J305">
        <v>-2.09</v>
      </c>
      <c r="K305">
        <v>119.47</v>
      </c>
      <c r="L305">
        <v>44.96</v>
      </c>
      <c r="M305">
        <v>74.510000000000005</v>
      </c>
    </row>
    <row r="306" spans="5:13" x14ac:dyDescent="0.15">
      <c r="E306" s="12">
        <v>310</v>
      </c>
      <c r="F306" s="11" t="s">
        <v>548</v>
      </c>
      <c r="G306" t="s">
        <v>1531</v>
      </c>
      <c r="H306" t="s">
        <v>1290</v>
      </c>
      <c r="I306">
        <v>-5.92</v>
      </c>
      <c r="J306">
        <v>0.13</v>
      </c>
      <c r="K306">
        <v>119.47</v>
      </c>
      <c r="L306">
        <v>78.45</v>
      </c>
      <c r="M306">
        <v>41.02</v>
      </c>
    </row>
    <row r="307" spans="5:13" x14ac:dyDescent="0.15">
      <c r="E307" s="12">
        <v>311</v>
      </c>
      <c r="F307" s="11" t="s">
        <v>564</v>
      </c>
      <c r="G307" t="s">
        <v>1532</v>
      </c>
      <c r="H307" t="s">
        <v>1290</v>
      </c>
      <c r="I307">
        <v>-3.42</v>
      </c>
      <c r="J307">
        <v>0.23</v>
      </c>
      <c r="K307">
        <v>119.46000000000001</v>
      </c>
      <c r="L307">
        <v>86.44</v>
      </c>
      <c r="M307">
        <v>33.020000000000003</v>
      </c>
    </row>
    <row r="308" spans="5:13" x14ac:dyDescent="0.15">
      <c r="E308" s="12">
        <v>312</v>
      </c>
      <c r="F308" s="11" t="s">
        <v>1084</v>
      </c>
      <c r="G308" t="s">
        <v>1533</v>
      </c>
      <c r="H308" t="s">
        <v>1290</v>
      </c>
      <c r="I308">
        <v>-7.64</v>
      </c>
      <c r="J308">
        <v>0</v>
      </c>
      <c r="K308">
        <v>119.35000000000001</v>
      </c>
      <c r="L308">
        <v>69.180000000000007</v>
      </c>
      <c r="M308">
        <v>50.17</v>
      </c>
    </row>
    <row r="309" spans="5:13" x14ac:dyDescent="0.15">
      <c r="E309" s="12">
        <v>313</v>
      </c>
      <c r="F309" s="11" t="s">
        <v>610</v>
      </c>
      <c r="G309" t="s">
        <v>1534</v>
      </c>
      <c r="H309" t="s">
        <v>1290</v>
      </c>
      <c r="I309">
        <v>-6.27</v>
      </c>
      <c r="J309">
        <v>0.11</v>
      </c>
      <c r="K309">
        <v>119.12</v>
      </c>
      <c r="L309">
        <v>76.36</v>
      </c>
      <c r="M309">
        <v>42.76</v>
      </c>
    </row>
    <row r="310" spans="5:13" x14ac:dyDescent="0.15">
      <c r="E310" s="12">
        <v>314</v>
      </c>
      <c r="F310" s="11" t="s">
        <v>817</v>
      </c>
      <c r="G310" t="s">
        <v>1535</v>
      </c>
      <c r="H310" t="s">
        <v>1290</v>
      </c>
      <c r="I310">
        <v>-20.37</v>
      </c>
      <c r="J310">
        <v>-9.3699999999999992</v>
      </c>
      <c r="K310">
        <v>119.00999999999999</v>
      </c>
      <c r="L310">
        <v>21.21</v>
      </c>
      <c r="M310">
        <v>97.8</v>
      </c>
    </row>
    <row r="311" spans="5:13" x14ac:dyDescent="0.15">
      <c r="E311" s="12">
        <v>315</v>
      </c>
      <c r="F311" s="11" t="s">
        <v>890</v>
      </c>
      <c r="G311" t="s">
        <v>1536</v>
      </c>
      <c r="H311" t="s">
        <v>1290</v>
      </c>
      <c r="I311">
        <v>-18.46</v>
      </c>
      <c r="J311">
        <v>-5.46</v>
      </c>
      <c r="K311">
        <v>118.89</v>
      </c>
      <c r="L311">
        <v>28.74</v>
      </c>
      <c r="M311">
        <v>90.15</v>
      </c>
    </row>
    <row r="312" spans="5:13" x14ac:dyDescent="0.15">
      <c r="E312" s="12">
        <v>316</v>
      </c>
      <c r="F312" s="11" t="s">
        <v>568</v>
      </c>
      <c r="G312" t="s">
        <v>1537</v>
      </c>
      <c r="H312" t="s">
        <v>1290</v>
      </c>
      <c r="I312">
        <v>-2.81</v>
      </c>
      <c r="J312">
        <v>0.28999999999999998</v>
      </c>
      <c r="K312">
        <v>118.64999999999999</v>
      </c>
      <c r="L312">
        <v>88.41</v>
      </c>
      <c r="M312">
        <v>30.24</v>
      </c>
    </row>
    <row r="313" spans="5:13" x14ac:dyDescent="0.15">
      <c r="E313" s="12">
        <v>317</v>
      </c>
      <c r="F313" s="11" t="s">
        <v>728</v>
      </c>
      <c r="G313" t="s">
        <v>1447</v>
      </c>
      <c r="H313" t="s">
        <v>1290</v>
      </c>
      <c r="I313">
        <v>-18.43</v>
      </c>
      <c r="J313">
        <v>-5.37</v>
      </c>
      <c r="K313">
        <v>118.53999999999999</v>
      </c>
      <c r="L313">
        <v>28.85</v>
      </c>
      <c r="M313">
        <v>89.69</v>
      </c>
    </row>
    <row r="314" spans="5:13" x14ac:dyDescent="0.15">
      <c r="E314" s="12">
        <v>318</v>
      </c>
      <c r="F314" s="11" t="s">
        <v>986</v>
      </c>
      <c r="G314" t="s">
        <v>1538</v>
      </c>
      <c r="H314" t="s">
        <v>1290</v>
      </c>
      <c r="I314">
        <v>-19.760000000000002</v>
      </c>
      <c r="J314">
        <v>-8.2100000000000009</v>
      </c>
      <c r="K314">
        <v>118.31</v>
      </c>
      <c r="L314">
        <v>22.48</v>
      </c>
      <c r="M314">
        <v>95.83</v>
      </c>
    </row>
    <row r="315" spans="5:13" x14ac:dyDescent="0.15">
      <c r="E315" s="12">
        <v>319</v>
      </c>
      <c r="F315" s="11" t="s">
        <v>1031</v>
      </c>
      <c r="G315" t="s">
        <v>1539</v>
      </c>
      <c r="H315" t="s">
        <v>1290</v>
      </c>
      <c r="I315">
        <v>-11.04</v>
      </c>
      <c r="J315">
        <v>-0.23</v>
      </c>
      <c r="K315">
        <v>118.31</v>
      </c>
      <c r="L315">
        <v>53.77</v>
      </c>
      <c r="M315">
        <v>64.540000000000006</v>
      </c>
    </row>
    <row r="316" spans="5:13" x14ac:dyDescent="0.15">
      <c r="E316" s="12">
        <v>320</v>
      </c>
      <c r="F316" s="11" t="s">
        <v>822</v>
      </c>
      <c r="G316" t="s">
        <v>1540</v>
      </c>
      <c r="H316" t="s">
        <v>1290</v>
      </c>
      <c r="I316">
        <v>-19.64</v>
      </c>
      <c r="J316">
        <v>-7.16</v>
      </c>
      <c r="K316">
        <v>118.08</v>
      </c>
      <c r="L316">
        <v>23.64</v>
      </c>
      <c r="M316">
        <v>94.44</v>
      </c>
    </row>
    <row r="317" spans="5:13" x14ac:dyDescent="0.15">
      <c r="E317" s="12">
        <v>321</v>
      </c>
      <c r="F317" s="11" t="s">
        <v>791</v>
      </c>
      <c r="G317" t="s">
        <v>1541</v>
      </c>
      <c r="H317" t="s">
        <v>1290</v>
      </c>
      <c r="I317">
        <v>-3.41</v>
      </c>
      <c r="J317">
        <v>0.27</v>
      </c>
      <c r="K317">
        <v>117.73</v>
      </c>
      <c r="L317">
        <v>86.56</v>
      </c>
      <c r="M317">
        <v>31.17</v>
      </c>
    </row>
    <row r="318" spans="5:13" x14ac:dyDescent="0.15">
      <c r="E318" s="12">
        <v>322</v>
      </c>
      <c r="F318" s="11" t="s">
        <v>983</v>
      </c>
      <c r="G318" t="s">
        <v>1437</v>
      </c>
      <c r="H318" t="s">
        <v>1290</v>
      </c>
      <c r="I318">
        <v>-10.18</v>
      </c>
      <c r="J318">
        <v>-0.15</v>
      </c>
      <c r="K318">
        <v>117.73</v>
      </c>
      <c r="L318">
        <v>57.13</v>
      </c>
      <c r="M318">
        <v>60.6</v>
      </c>
    </row>
    <row r="319" spans="5:13" x14ac:dyDescent="0.15">
      <c r="E319" s="12">
        <v>323</v>
      </c>
      <c r="F319" s="11" t="s">
        <v>718</v>
      </c>
      <c r="G319" t="s">
        <v>1542</v>
      </c>
      <c r="H319" t="s">
        <v>1290</v>
      </c>
      <c r="I319">
        <v>-6.35</v>
      </c>
      <c r="J319">
        <v>0.11</v>
      </c>
      <c r="K319">
        <v>117.72999999999999</v>
      </c>
      <c r="L319">
        <v>74.739999999999995</v>
      </c>
      <c r="M319">
        <v>42.99</v>
      </c>
    </row>
    <row r="320" spans="5:13" x14ac:dyDescent="0.15">
      <c r="E320" s="12">
        <v>324</v>
      </c>
      <c r="F320" s="11" t="s">
        <v>1073</v>
      </c>
      <c r="G320" t="s">
        <v>1543</v>
      </c>
      <c r="H320" t="s">
        <v>1290</v>
      </c>
      <c r="I320">
        <v>-20.22</v>
      </c>
      <c r="J320">
        <v>-8.6999999999999993</v>
      </c>
      <c r="K320">
        <v>117.61000000000001</v>
      </c>
      <c r="L320">
        <v>21.32</v>
      </c>
      <c r="M320">
        <v>96.29</v>
      </c>
    </row>
    <row r="321" spans="5:13" x14ac:dyDescent="0.15">
      <c r="E321" s="12">
        <v>325</v>
      </c>
      <c r="F321" s="11" t="s">
        <v>816</v>
      </c>
      <c r="G321" t="s">
        <v>1544</v>
      </c>
      <c r="H321" t="s">
        <v>1290</v>
      </c>
      <c r="I321">
        <v>-16.52</v>
      </c>
      <c r="J321">
        <v>-3.89</v>
      </c>
      <c r="K321">
        <v>117.15</v>
      </c>
      <c r="L321">
        <v>34.76</v>
      </c>
      <c r="M321">
        <v>82.39</v>
      </c>
    </row>
    <row r="322" spans="5:13" x14ac:dyDescent="0.15">
      <c r="E322" s="12">
        <v>326</v>
      </c>
      <c r="F322" s="11" t="s">
        <v>1013</v>
      </c>
      <c r="G322" t="s">
        <v>1545</v>
      </c>
      <c r="H322" t="s">
        <v>1290</v>
      </c>
      <c r="I322">
        <v>-11.45</v>
      </c>
      <c r="J322">
        <v>-0.25</v>
      </c>
      <c r="K322">
        <v>117.15</v>
      </c>
      <c r="L322">
        <v>52.14</v>
      </c>
      <c r="M322">
        <v>65.010000000000005</v>
      </c>
    </row>
    <row r="323" spans="5:13" x14ac:dyDescent="0.15">
      <c r="E323" s="12">
        <v>327</v>
      </c>
      <c r="F323" s="11" t="s">
        <v>932</v>
      </c>
      <c r="G323" t="s">
        <v>1546</v>
      </c>
      <c r="H323" t="s">
        <v>1290</v>
      </c>
      <c r="I323">
        <v>-20.85</v>
      </c>
      <c r="J323">
        <v>-9.02</v>
      </c>
      <c r="K323">
        <v>116.57000000000001</v>
      </c>
      <c r="L323">
        <v>19.7</v>
      </c>
      <c r="M323">
        <v>96.87</v>
      </c>
    </row>
    <row r="324" spans="5:13" x14ac:dyDescent="0.15">
      <c r="E324" s="12">
        <v>328</v>
      </c>
      <c r="F324" s="11" t="s">
        <v>960</v>
      </c>
      <c r="G324" t="s">
        <v>1547</v>
      </c>
      <c r="H324" t="s">
        <v>1290</v>
      </c>
      <c r="I324">
        <v>-10.16</v>
      </c>
      <c r="J324">
        <v>-0.13</v>
      </c>
      <c r="K324">
        <v>116.34</v>
      </c>
      <c r="L324">
        <v>57.59</v>
      </c>
      <c r="M324">
        <v>58.75</v>
      </c>
    </row>
    <row r="325" spans="5:13" x14ac:dyDescent="0.15">
      <c r="E325" s="12">
        <v>329</v>
      </c>
      <c r="F325" s="11" t="s">
        <v>476</v>
      </c>
      <c r="G325" t="s">
        <v>1548</v>
      </c>
      <c r="H325" t="s">
        <v>1290</v>
      </c>
      <c r="I325">
        <v>-3.19</v>
      </c>
      <c r="J325">
        <v>0.31</v>
      </c>
      <c r="K325">
        <v>116.33</v>
      </c>
      <c r="L325">
        <v>87.25</v>
      </c>
      <c r="M325">
        <v>29.08</v>
      </c>
    </row>
    <row r="326" spans="5:13" x14ac:dyDescent="0.15">
      <c r="E326" s="12">
        <v>330</v>
      </c>
      <c r="F326" s="11" t="s">
        <v>887</v>
      </c>
      <c r="G326" t="s">
        <v>1549</v>
      </c>
      <c r="H326" t="s">
        <v>1290</v>
      </c>
      <c r="I326">
        <v>-19.98</v>
      </c>
      <c r="J326">
        <v>-7.07</v>
      </c>
      <c r="K326">
        <v>115.99</v>
      </c>
      <c r="L326">
        <v>21.67</v>
      </c>
      <c r="M326">
        <v>94.32</v>
      </c>
    </row>
    <row r="327" spans="5:13" x14ac:dyDescent="0.15">
      <c r="E327" s="12">
        <v>331</v>
      </c>
      <c r="F327" s="11" t="s">
        <v>745</v>
      </c>
      <c r="G327" t="s">
        <v>1550</v>
      </c>
      <c r="H327" t="s">
        <v>1290</v>
      </c>
      <c r="I327">
        <v>-5.22</v>
      </c>
      <c r="J327">
        <v>0.21</v>
      </c>
      <c r="K327">
        <v>115.87</v>
      </c>
      <c r="L327">
        <v>80.760000000000005</v>
      </c>
      <c r="M327">
        <v>35.11</v>
      </c>
    </row>
    <row r="328" spans="5:13" x14ac:dyDescent="0.15">
      <c r="E328" s="12">
        <v>332</v>
      </c>
      <c r="F328" s="11" t="s">
        <v>868</v>
      </c>
      <c r="G328" t="s">
        <v>1332</v>
      </c>
      <c r="H328" t="s">
        <v>1290</v>
      </c>
      <c r="I328">
        <v>-8.9</v>
      </c>
      <c r="J328">
        <v>0</v>
      </c>
      <c r="K328">
        <v>115.30000000000001</v>
      </c>
      <c r="L328">
        <v>63.85</v>
      </c>
      <c r="M328">
        <v>51.45</v>
      </c>
    </row>
    <row r="329" spans="5:13" x14ac:dyDescent="0.15">
      <c r="E329" s="12">
        <v>333</v>
      </c>
      <c r="F329" s="11" t="s">
        <v>982</v>
      </c>
      <c r="G329" t="s">
        <v>1551</v>
      </c>
      <c r="H329" t="s">
        <v>1290</v>
      </c>
      <c r="I329">
        <v>-5.25</v>
      </c>
      <c r="J329">
        <v>0.22</v>
      </c>
      <c r="K329">
        <v>114.95</v>
      </c>
      <c r="L329">
        <v>80.650000000000006</v>
      </c>
      <c r="M329">
        <v>34.299999999999997</v>
      </c>
    </row>
    <row r="330" spans="5:13" x14ac:dyDescent="0.15">
      <c r="E330" s="12">
        <v>334</v>
      </c>
      <c r="F330" s="11" t="s">
        <v>646</v>
      </c>
      <c r="G330" t="s">
        <v>1552</v>
      </c>
      <c r="H330" t="s">
        <v>1290</v>
      </c>
      <c r="I330">
        <v>-0.61</v>
      </c>
      <c r="J330">
        <v>0.44</v>
      </c>
      <c r="K330">
        <v>114.95</v>
      </c>
      <c r="L330">
        <v>92.7</v>
      </c>
      <c r="M330">
        <v>22.25</v>
      </c>
    </row>
    <row r="331" spans="5:13" x14ac:dyDescent="0.15">
      <c r="E331" s="12">
        <v>335</v>
      </c>
      <c r="F331" s="11" t="s">
        <v>635</v>
      </c>
      <c r="G331" t="s">
        <v>1553</v>
      </c>
      <c r="H331" t="s">
        <v>1290</v>
      </c>
      <c r="I331">
        <v>-11.14</v>
      </c>
      <c r="J331">
        <v>-0.16</v>
      </c>
      <c r="K331">
        <v>114.94999999999999</v>
      </c>
      <c r="L331">
        <v>53.19</v>
      </c>
      <c r="M331">
        <v>61.76</v>
      </c>
    </row>
    <row r="332" spans="5:13" x14ac:dyDescent="0.15">
      <c r="E332" s="12">
        <v>336</v>
      </c>
      <c r="F332" s="11" t="s">
        <v>527</v>
      </c>
      <c r="G332" t="s">
        <v>1554</v>
      </c>
      <c r="H332" t="s">
        <v>1290</v>
      </c>
      <c r="I332">
        <v>-4.4000000000000004</v>
      </c>
      <c r="J332">
        <v>0.27</v>
      </c>
      <c r="K332">
        <v>114.72</v>
      </c>
      <c r="L332">
        <v>82.97</v>
      </c>
      <c r="M332">
        <v>31.75</v>
      </c>
    </row>
    <row r="333" spans="5:13" x14ac:dyDescent="0.15">
      <c r="E333" s="12">
        <v>337</v>
      </c>
      <c r="F333" s="11" t="s">
        <v>614</v>
      </c>
      <c r="G333" t="s">
        <v>1555</v>
      </c>
      <c r="H333" t="s">
        <v>1290</v>
      </c>
      <c r="I333">
        <v>-14.42</v>
      </c>
      <c r="J333">
        <v>-0.74</v>
      </c>
      <c r="K333">
        <v>114.72</v>
      </c>
      <c r="L333">
        <v>42.99</v>
      </c>
      <c r="M333">
        <v>71.73</v>
      </c>
    </row>
    <row r="334" spans="5:13" x14ac:dyDescent="0.15">
      <c r="E334" s="12">
        <v>338</v>
      </c>
      <c r="F334" s="11" t="s">
        <v>530</v>
      </c>
      <c r="G334" t="s">
        <v>1556</v>
      </c>
      <c r="H334" t="s">
        <v>1290</v>
      </c>
      <c r="I334">
        <v>-18.170000000000002</v>
      </c>
      <c r="J334">
        <v>-4.07</v>
      </c>
      <c r="K334">
        <v>114.02000000000001</v>
      </c>
      <c r="L334">
        <v>30.01</v>
      </c>
      <c r="M334">
        <v>84.01</v>
      </c>
    </row>
    <row r="335" spans="5:13" x14ac:dyDescent="0.15">
      <c r="E335" s="12">
        <v>339</v>
      </c>
      <c r="F335" s="11" t="s">
        <v>955</v>
      </c>
      <c r="G335" t="s">
        <v>1557</v>
      </c>
      <c r="H335" t="s">
        <v>1290</v>
      </c>
      <c r="I335">
        <v>-13.48</v>
      </c>
      <c r="J335">
        <v>-0.38</v>
      </c>
      <c r="K335">
        <v>114.02000000000001</v>
      </c>
      <c r="L335">
        <v>45.54</v>
      </c>
      <c r="M335">
        <v>68.48</v>
      </c>
    </row>
    <row r="336" spans="5:13" x14ac:dyDescent="0.15">
      <c r="E336" s="12">
        <v>340</v>
      </c>
      <c r="F336" s="11" t="s">
        <v>626</v>
      </c>
      <c r="G336" t="s">
        <v>1558</v>
      </c>
      <c r="H336" t="s">
        <v>1290</v>
      </c>
      <c r="I336">
        <v>-8.17</v>
      </c>
      <c r="J336">
        <v>0</v>
      </c>
      <c r="K336">
        <v>114.02</v>
      </c>
      <c r="L336">
        <v>66.86</v>
      </c>
      <c r="M336">
        <v>47.16</v>
      </c>
    </row>
    <row r="337" spans="5:13" x14ac:dyDescent="0.15">
      <c r="E337" s="12">
        <v>341</v>
      </c>
      <c r="F337" s="11" t="s">
        <v>726</v>
      </c>
      <c r="G337" t="s">
        <v>1559</v>
      </c>
      <c r="H337" t="s">
        <v>1290</v>
      </c>
      <c r="I337">
        <v>-21.57</v>
      </c>
      <c r="J337">
        <v>-9.6199999999999992</v>
      </c>
      <c r="K337">
        <v>113.9</v>
      </c>
      <c r="L337">
        <v>15.64</v>
      </c>
      <c r="M337">
        <v>98.26</v>
      </c>
    </row>
    <row r="338" spans="5:13" x14ac:dyDescent="0.15">
      <c r="E338" s="12">
        <v>342</v>
      </c>
      <c r="F338" s="11" t="s">
        <v>813</v>
      </c>
      <c r="G338" t="s">
        <v>1560</v>
      </c>
      <c r="H338" t="s">
        <v>1290</v>
      </c>
      <c r="I338">
        <v>-21.5</v>
      </c>
      <c r="J338">
        <v>-9.1300000000000008</v>
      </c>
      <c r="K338">
        <v>113.9</v>
      </c>
      <c r="L338">
        <v>16.45</v>
      </c>
      <c r="M338">
        <v>97.45</v>
      </c>
    </row>
    <row r="339" spans="5:13" x14ac:dyDescent="0.15">
      <c r="E339" s="12">
        <v>343</v>
      </c>
      <c r="F339" s="11" t="s">
        <v>1030</v>
      </c>
      <c r="G339" t="s">
        <v>1561</v>
      </c>
      <c r="H339" t="s">
        <v>1290</v>
      </c>
      <c r="I339">
        <v>-13.69</v>
      </c>
      <c r="J339">
        <v>-0.38</v>
      </c>
      <c r="K339">
        <v>113.45</v>
      </c>
      <c r="L339">
        <v>45.08</v>
      </c>
      <c r="M339">
        <v>68.37</v>
      </c>
    </row>
    <row r="340" spans="5:13" x14ac:dyDescent="0.15">
      <c r="E340" s="12">
        <v>344</v>
      </c>
      <c r="F340" s="11" t="s">
        <v>818</v>
      </c>
      <c r="G340" t="s">
        <v>1562</v>
      </c>
      <c r="H340" t="s">
        <v>1290</v>
      </c>
      <c r="I340">
        <v>-18.2</v>
      </c>
      <c r="J340">
        <v>-4.04</v>
      </c>
      <c r="K340">
        <v>113.44</v>
      </c>
      <c r="L340">
        <v>29.78</v>
      </c>
      <c r="M340">
        <v>83.66</v>
      </c>
    </row>
    <row r="341" spans="5:13" x14ac:dyDescent="0.15">
      <c r="E341" s="12">
        <v>345</v>
      </c>
      <c r="F341" s="11" t="s">
        <v>538</v>
      </c>
      <c r="G341" t="s">
        <v>1563</v>
      </c>
      <c r="H341" t="s">
        <v>1290</v>
      </c>
      <c r="I341">
        <v>-6.24</v>
      </c>
      <c r="J341">
        <v>0.18</v>
      </c>
      <c r="K341">
        <v>113.44</v>
      </c>
      <c r="L341">
        <v>76.59</v>
      </c>
      <c r="M341">
        <v>36.85</v>
      </c>
    </row>
    <row r="342" spans="5:13" x14ac:dyDescent="0.15">
      <c r="E342" s="12">
        <v>346</v>
      </c>
      <c r="F342" s="11" t="s">
        <v>997</v>
      </c>
      <c r="G342" t="s">
        <v>1564</v>
      </c>
      <c r="H342" t="s">
        <v>1290</v>
      </c>
      <c r="I342">
        <v>-21.7</v>
      </c>
      <c r="J342">
        <v>-10.11</v>
      </c>
      <c r="K342">
        <v>113.33</v>
      </c>
      <c r="L342">
        <v>14.37</v>
      </c>
      <c r="M342">
        <v>98.96</v>
      </c>
    </row>
    <row r="343" spans="5:13" x14ac:dyDescent="0.15">
      <c r="E343" s="12">
        <v>347</v>
      </c>
      <c r="F343" s="11" t="s">
        <v>896</v>
      </c>
      <c r="G343" t="s">
        <v>1565</v>
      </c>
      <c r="H343" t="s">
        <v>1290</v>
      </c>
      <c r="I343">
        <v>-10.16</v>
      </c>
      <c r="J343">
        <v>-0.05</v>
      </c>
      <c r="K343">
        <v>113.33</v>
      </c>
      <c r="L343">
        <v>57.71</v>
      </c>
      <c r="M343">
        <v>55.62</v>
      </c>
    </row>
    <row r="344" spans="5:13" x14ac:dyDescent="0.15">
      <c r="E344" s="12">
        <v>348</v>
      </c>
      <c r="F344" s="11" t="s">
        <v>592</v>
      </c>
      <c r="G344" t="s">
        <v>1566</v>
      </c>
      <c r="H344" t="s">
        <v>1290</v>
      </c>
      <c r="I344">
        <v>-9.8000000000000007</v>
      </c>
      <c r="J344">
        <v>0</v>
      </c>
      <c r="K344">
        <v>113.33</v>
      </c>
      <c r="L344">
        <v>59.68</v>
      </c>
      <c r="M344">
        <v>53.65</v>
      </c>
    </row>
    <row r="345" spans="5:13" x14ac:dyDescent="0.15">
      <c r="E345" s="12">
        <v>349</v>
      </c>
      <c r="F345" s="11" t="s">
        <v>807</v>
      </c>
      <c r="G345" t="s">
        <v>1567</v>
      </c>
      <c r="H345" t="s">
        <v>1290</v>
      </c>
      <c r="I345">
        <v>-18.64</v>
      </c>
      <c r="J345">
        <v>-4.4800000000000004</v>
      </c>
      <c r="K345">
        <v>113.21</v>
      </c>
      <c r="L345">
        <v>27.69</v>
      </c>
      <c r="M345">
        <v>85.52</v>
      </c>
    </row>
    <row r="346" spans="5:13" x14ac:dyDescent="0.15">
      <c r="E346" s="12">
        <v>350</v>
      </c>
      <c r="F346" s="11" t="s">
        <v>775</v>
      </c>
      <c r="G346" t="s">
        <v>1568</v>
      </c>
      <c r="H346" t="s">
        <v>1290</v>
      </c>
      <c r="I346">
        <v>-21.95</v>
      </c>
      <c r="J346">
        <v>-12.72</v>
      </c>
      <c r="K346">
        <v>113.09</v>
      </c>
      <c r="L346">
        <v>13.21</v>
      </c>
      <c r="M346">
        <v>99.88</v>
      </c>
    </row>
    <row r="347" spans="5:13" x14ac:dyDescent="0.15">
      <c r="E347" s="12">
        <v>351</v>
      </c>
      <c r="F347" s="11" t="s">
        <v>625</v>
      </c>
      <c r="G347" t="s">
        <v>1569</v>
      </c>
      <c r="H347" t="s">
        <v>1290</v>
      </c>
      <c r="I347">
        <v>-20.86</v>
      </c>
      <c r="J347">
        <v>-6.64</v>
      </c>
      <c r="K347">
        <v>112.98</v>
      </c>
      <c r="L347">
        <v>19.579999999999998</v>
      </c>
      <c r="M347">
        <v>93.4</v>
      </c>
    </row>
    <row r="348" spans="5:13" x14ac:dyDescent="0.15">
      <c r="E348" s="12">
        <v>352</v>
      </c>
      <c r="F348" s="11" t="s">
        <v>947</v>
      </c>
      <c r="G348" t="s">
        <v>1570</v>
      </c>
      <c r="H348" t="s">
        <v>1290</v>
      </c>
      <c r="I348">
        <v>-17.96</v>
      </c>
      <c r="J348">
        <v>-3.87</v>
      </c>
      <c r="K348">
        <v>112.50999999999999</v>
      </c>
      <c r="L348">
        <v>31.05</v>
      </c>
      <c r="M348">
        <v>81.459999999999994</v>
      </c>
    </row>
    <row r="349" spans="5:13" x14ac:dyDescent="0.15">
      <c r="E349" s="12">
        <v>353</v>
      </c>
      <c r="F349" s="11" t="s">
        <v>1034</v>
      </c>
      <c r="G349" t="s">
        <v>1571</v>
      </c>
      <c r="H349" t="s">
        <v>1290</v>
      </c>
      <c r="I349">
        <v>-3.3</v>
      </c>
      <c r="J349">
        <v>0.37</v>
      </c>
      <c r="K349">
        <v>112.28</v>
      </c>
      <c r="L349">
        <v>86.79</v>
      </c>
      <c r="M349">
        <v>25.49</v>
      </c>
    </row>
    <row r="350" spans="5:13" x14ac:dyDescent="0.15">
      <c r="E350" s="12">
        <v>354</v>
      </c>
      <c r="F350" s="11" t="s">
        <v>782</v>
      </c>
      <c r="G350" t="s">
        <v>1572</v>
      </c>
      <c r="H350" t="s">
        <v>1290</v>
      </c>
      <c r="I350">
        <v>-18.04</v>
      </c>
      <c r="J350">
        <v>-3.88</v>
      </c>
      <c r="K350">
        <v>112.28</v>
      </c>
      <c r="L350">
        <v>30.59</v>
      </c>
      <c r="M350">
        <v>81.69</v>
      </c>
    </row>
    <row r="351" spans="5:13" x14ac:dyDescent="0.15">
      <c r="E351" s="12">
        <v>355</v>
      </c>
      <c r="F351" s="11" t="s">
        <v>937</v>
      </c>
      <c r="G351" t="s">
        <v>1573</v>
      </c>
      <c r="H351" t="s">
        <v>1290</v>
      </c>
      <c r="I351">
        <v>-17.29</v>
      </c>
      <c r="J351">
        <v>-3.38</v>
      </c>
      <c r="K351">
        <v>111.82000000000001</v>
      </c>
      <c r="L351">
        <v>32.56</v>
      </c>
      <c r="M351">
        <v>79.260000000000005</v>
      </c>
    </row>
    <row r="352" spans="5:13" x14ac:dyDescent="0.15">
      <c r="E352" s="12">
        <v>356</v>
      </c>
      <c r="F352" s="11" t="s">
        <v>903</v>
      </c>
      <c r="G352" t="s">
        <v>1574</v>
      </c>
      <c r="H352" t="s">
        <v>1290</v>
      </c>
      <c r="I352">
        <v>-16.38</v>
      </c>
      <c r="J352">
        <v>-2.5499999999999998</v>
      </c>
      <c r="K352">
        <v>111.82</v>
      </c>
      <c r="L352">
        <v>35.57</v>
      </c>
      <c r="M352">
        <v>76.25</v>
      </c>
    </row>
    <row r="353" spans="5:13" x14ac:dyDescent="0.15">
      <c r="E353" s="12">
        <v>357</v>
      </c>
      <c r="F353" s="11" t="s">
        <v>951</v>
      </c>
      <c r="G353" t="s">
        <v>1575</v>
      </c>
      <c r="H353" t="s">
        <v>1290</v>
      </c>
      <c r="I353">
        <v>-12.18</v>
      </c>
      <c r="J353">
        <v>-0.16</v>
      </c>
      <c r="K353">
        <v>111.71000000000001</v>
      </c>
      <c r="L353">
        <v>49.83</v>
      </c>
      <c r="M353">
        <v>61.88</v>
      </c>
    </row>
    <row r="354" spans="5:13" x14ac:dyDescent="0.15">
      <c r="E354" s="12">
        <v>358</v>
      </c>
      <c r="F354" s="11" t="s">
        <v>734</v>
      </c>
      <c r="G354" t="s">
        <v>1576</v>
      </c>
      <c r="H354" t="s">
        <v>1290</v>
      </c>
      <c r="I354">
        <v>-21.18</v>
      </c>
      <c r="J354">
        <v>-6.44</v>
      </c>
      <c r="K354">
        <v>111.47999999999999</v>
      </c>
      <c r="L354">
        <v>18.66</v>
      </c>
      <c r="M354">
        <v>92.82</v>
      </c>
    </row>
    <row r="355" spans="5:13" x14ac:dyDescent="0.15">
      <c r="E355" s="12">
        <v>359</v>
      </c>
      <c r="F355" s="11" t="s">
        <v>700</v>
      </c>
      <c r="G355" t="s">
        <v>1577</v>
      </c>
      <c r="H355" t="s">
        <v>1290</v>
      </c>
      <c r="I355">
        <v>-20.72</v>
      </c>
      <c r="J355">
        <v>-5.75</v>
      </c>
      <c r="K355">
        <v>111.12</v>
      </c>
      <c r="L355">
        <v>20.39</v>
      </c>
      <c r="M355">
        <v>90.73</v>
      </c>
    </row>
    <row r="356" spans="5:13" x14ac:dyDescent="0.15">
      <c r="E356" s="12">
        <v>360</v>
      </c>
      <c r="F356" s="11" t="s">
        <v>854</v>
      </c>
      <c r="G356" t="s">
        <v>1578</v>
      </c>
      <c r="H356" t="s">
        <v>1290</v>
      </c>
      <c r="I356">
        <v>-21.68</v>
      </c>
      <c r="J356">
        <v>-8.6999999999999993</v>
      </c>
      <c r="K356">
        <v>110.9</v>
      </c>
      <c r="L356">
        <v>14.72</v>
      </c>
      <c r="M356">
        <v>96.18</v>
      </c>
    </row>
    <row r="357" spans="5:13" x14ac:dyDescent="0.15">
      <c r="E357" s="12">
        <v>361</v>
      </c>
      <c r="F357" s="11" t="s">
        <v>1032</v>
      </c>
      <c r="G357" t="s">
        <v>1579</v>
      </c>
      <c r="H357" t="s">
        <v>1290</v>
      </c>
      <c r="I357">
        <v>-17.28</v>
      </c>
      <c r="J357">
        <v>-3.19</v>
      </c>
      <c r="K357">
        <v>110.9</v>
      </c>
      <c r="L357">
        <v>32.68</v>
      </c>
      <c r="M357">
        <v>78.22</v>
      </c>
    </row>
    <row r="358" spans="5:13" x14ac:dyDescent="0.15">
      <c r="E358" s="12">
        <v>362</v>
      </c>
      <c r="F358" s="11" t="s">
        <v>894</v>
      </c>
      <c r="G358" t="s">
        <v>1580</v>
      </c>
      <c r="H358" t="s">
        <v>1290</v>
      </c>
      <c r="I358">
        <v>-0.56000000000000005</v>
      </c>
      <c r="J358">
        <v>0.61</v>
      </c>
      <c r="K358">
        <v>110.89</v>
      </c>
      <c r="L358">
        <v>93.05</v>
      </c>
      <c r="M358">
        <v>17.84</v>
      </c>
    </row>
    <row r="359" spans="5:13" x14ac:dyDescent="0.15">
      <c r="E359" s="12">
        <v>363</v>
      </c>
      <c r="F359" s="11" t="s">
        <v>514</v>
      </c>
      <c r="G359" t="s">
        <v>1581</v>
      </c>
      <c r="H359" t="s">
        <v>1290</v>
      </c>
      <c r="I359">
        <v>-12.51</v>
      </c>
      <c r="J359">
        <v>-0.18</v>
      </c>
      <c r="K359">
        <v>110.78</v>
      </c>
      <c r="L359">
        <v>48.09</v>
      </c>
      <c r="M359">
        <v>62.69</v>
      </c>
    </row>
    <row r="360" spans="5:13" x14ac:dyDescent="0.15">
      <c r="E360" s="12">
        <v>364</v>
      </c>
      <c r="F360" s="11" t="s">
        <v>876</v>
      </c>
      <c r="G360" t="s">
        <v>1582</v>
      </c>
      <c r="H360" t="s">
        <v>1290</v>
      </c>
      <c r="I360">
        <v>-11</v>
      </c>
      <c r="J360">
        <v>-0.09</v>
      </c>
      <c r="K360">
        <v>110.66</v>
      </c>
      <c r="L360">
        <v>54.23</v>
      </c>
      <c r="M360">
        <v>56.43</v>
      </c>
    </row>
    <row r="361" spans="5:13" x14ac:dyDescent="0.15">
      <c r="E361" s="12">
        <v>365</v>
      </c>
      <c r="F361" s="11" t="s">
        <v>849</v>
      </c>
      <c r="G361" t="s">
        <v>1583</v>
      </c>
      <c r="H361" t="s">
        <v>1290</v>
      </c>
      <c r="I361">
        <v>-5.65</v>
      </c>
      <c r="J361">
        <v>0.27</v>
      </c>
      <c r="K361">
        <v>110.53999999999999</v>
      </c>
      <c r="L361">
        <v>79.489999999999995</v>
      </c>
      <c r="M361">
        <v>31.05</v>
      </c>
    </row>
    <row r="362" spans="5:13" x14ac:dyDescent="0.15">
      <c r="E362" s="12">
        <v>366</v>
      </c>
      <c r="F362" s="11" t="s">
        <v>1049</v>
      </c>
      <c r="G362" t="s">
        <v>1571</v>
      </c>
      <c r="H362" t="s">
        <v>1290</v>
      </c>
      <c r="I362">
        <v>-21.75</v>
      </c>
      <c r="J362">
        <v>-8.59</v>
      </c>
      <c r="K362">
        <v>109.96000000000001</v>
      </c>
      <c r="L362">
        <v>13.9</v>
      </c>
      <c r="M362">
        <v>96.06</v>
      </c>
    </row>
    <row r="363" spans="5:13" x14ac:dyDescent="0.15">
      <c r="E363" s="12">
        <v>367</v>
      </c>
      <c r="F363" s="11" t="s">
        <v>999</v>
      </c>
      <c r="G363" t="s">
        <v>1584</v>
      </c>
      <c r="H363" t="s">
        <v>1290</v>
      </c>
      <c r="I363">
        <v>-13.68</v>
      </c>
      <c r="J363">
        <v>-0.24</v>
      </c>
      <c r="K363">
        <v>109.96</v>
      </c>
      <c r="L363">
        <v>45.19</v>
      </c>
      <c r="M363">
        <v>64.77</v>
      </c>
    </row>
    <row r="364" spans="5:13" x14ac:dyDescent="0.15">
      <c r="E364" s="12">
        <v>368</v>
      </c>
      <c r="F364" s="11" t="s">
        <v>733</v>
      </c>
      <c r="G364" t="s">
        <v>1585</v>
      </c>
      <c r="H364" t="s">
        <v>1290</v>
      </c>
      <c r="I364">
        <v>-22.66</v>
      </c>
      <c r="J364">
        <v>-11.94</v>
      </c>
      <c r="K364">
        <v>109.39</v>
      </c>
      <c r="L364">
        <v>9.6199999999999992</v>
      </c>
      <c r="M364">
        <v>99.77</v>
      </c>
    </row>
    <row r="365" spans="5:13" x14ac:dyDescent="0.15">
      <c r="E365" s="12">
        <v>369</v>
      </c>
      <c r="F365" s="11" t="s">
        <v>987</v>
      </c>
      <c r="G365" t="s">
        <v>1586</v>
      </c>
      <c r="H365" t="s">
        <v>1290</v>
      </c>
      <c r="I365">
        <v>-6.37</v>
      </c>
      <c r="J365">
        <v>0.21</v>
      </c>
      <c r="K365">
        <v>109.38</v>
      </c>
      <c r="L365">
        <v>74.39</v>
      </c>
      <c r="M365">
        <v>34.99</v>
      </c>
    </row>
    <row r="366" spans="5:13" x14ac:dyDescent="0.15">
      <c r="E366" s="12">
        <v>370</v>
      </c>
      <c r="F366" s="11" t="s">
        <v>681</v>
      </c>
      <c r="G366" t="s">
        <v>1587</v>
      </c>
      <c r="H366" t="s">
        <v>1290</v>
      </c>
      <c r="I366">
        <v>-9.4700000000000006</v>
      </c>
      <c r="J366">
        <v>0</v>
      </c>
      <c r="K366">
        <v>108.92</v>
      </c>
      <c r="L366">
        <v>60.83</v>
      </c>
      <c r="M366">
        <v>48.09</v>
      </c>
    </row>
    <row r="367" spans="5:13" x14ac:dyDescent="0.15">
      <c r="E367" s="12">
        <v>371</v>
      </c>
      <c r="F367" s="11" t="s">
        <v>644</v>
      </c>
      <c r="G367" t="s">
        <v>1588</v>
      </c>
      <c r="H367" t="s">
        <v>1290</v>
      </c>
      <c r="I367">
        <v>-19.399999999999999</v>
      </c>
      <c r="J367">
        <v>-4.0999999999999996</v>
      </c>
      <c r="K367">
        <v>108.91999999999999</v>
      </c>
      <c r="L367">
        <v>24.68</v>
      </c>
      <c r="M367">
        <v>84.24</v>
      </c>
    </row>
    <row r="368" spans="5:13" x14ac:dyDescent="0.15">
      <c r="E368" s="12">
        <v>372</v>
      </c>
      <c r="F368" s="11" t="s">
        <v>959</v>
      </c>
      <c r="G368" t="s">
        <v>1589</v>
      </c>
      <c r="H368" t="s">
        <v>1290</v>
      </c>
      <c r="I368">
        <v>-0.61</v>
      </c>
      <c r="J368">
        <v>0.66</v>
      </c>
      <c r="K368">
        <v>108.8</v>
      </c>
      <c r="L368">
        <v>92.58</v>
      </c>
      <c r="M368">
        <v>16.22</v>
      </c>
    </row>
    <row r="369" spans="5:13" x14ac:dyDescent="0.15">
      <c r="E369" s="12">
        <v>373</v>
      </c>
      <c r="F369" s="11" t="s">
        <v>466</v>
      </c>
      <c r="G369" t="s">
        <v>1200</v>
      </c>
      <c r="H369" t="s">
        <v>1290</v>
      </c>
      <c r="I369">
        <v>-10.25</v>
      </c>
      <c r="J369">
        <v>0</v>
      </c>
      <c r="K369">
        <v>108.69</v>
      </c>
      <c r="L369">
        <v>56.2</v>
      </c>
      <c r="M369">
        <v>52.49</v>
      </c>
    </row>
    <row r="370" spans="5:13" x14ac:dyDescent="0.15">
      <c r="E370" s="12">
        <v>374</v>
      </c>
      <c r="F370" s="11" t="s">
        <v>877</v>
      </c>
      <c r="G370" t="s">
        <v>1590</v>
      </c>
      <c r="H370" t="s">
        <v>1290</v>
      </c>
      <c r="I370">
        <v>-10.1</v>
      </c>
      <c r="J370">
        <v>0</v>
      </c>
      <c r="K370">
        <v>108.57</v>
      </c>
      <c r="L370">
        <v>58.63</v>
      </c>
      <c r="M370">
        <v>49.94</v>
      </c>
    </row>
    <row r="371" spans="5:13" x14ac:dyDescent="0.15">
      <c r="E371" s="12">
        <v>375</v>
      </c>
      <c r="F371" s="11" t="s">
        <v>776</v>
      </c>
      <c r="G371" t="s">
        <v>1591</v>
      </c>
      <c r="H371" t="s">
        <v>1290</v>
      </c>
      <c r="I371">
        <v>-6.35</v>
      </c>
      <c r="J371">
        <v>0.23</v>
      </c>
      <c r="K371">
        <v>108.35</v>
      </c>
      <c r="L371">
        <v>74.86</v>
      </c>
      <c r="M371">
        <v>33.49</v>
      </c>
    </row>
    <row r="372" spans="5:13" x14ac:dyDescent="0.15">
      <c r="E372" s="12">
        <v>376</v>
      </c>
      <c r="F372" s="11" t="s">
        <v>774</v>
      </c>
      <c r="G372" t="s">
        <v>1592</v>
      </c>
      <c r="H372" t="s">
        <v>1290</v>
      </c>
      <c r="I372">
        <v>-21.16</v>
      </c>
      <c r="J372">
        <v>-5.27</v>
      </c>
      <c r="K372">
        <v>108.11</v>
      </c>
      <c r="L372">
        <v>18.89</v>
      </c>
      <c r="M372">
        <v>89.22</v>
      </c>
    </row>
    <row r="373" spans="5:13" x14ac:dyDescent="0.15">
      <c r="E373" s="12">
        <v>377</v>
      </c>
      <c r="F373" s="11" t="s">
        <v>524</v>
      </c>
      <c r="G373" t="s">
        <v>1593</v>
      </c>
      <c r="H373" t="s">
        <v>1290</v>
      </c>
      <c r="I373">
        <v>-12.65</v>
      </c>
      <c r="J373">
        <v>-0.14000000000000001</v>
      </c>
      <c r="K373">
        <v>107.87</v>
      </c>
      <c r="L373">
        <v>47.62</v>
      </c>
      <c r="M373">
        <v>60.25</v>
      </c>
    </row>
    <row r="374" spans="5:13" x14ac:dyDescent="0.15">
      <c r="E374" s="12">
        <v>378</v>
      </c>
      <c r="F374" s="11" t="s">
        <v>553</v>
      </c>
      <c r="G374" t="s">
        <v>1594</v>
      </c>
      <c r="H374" t="s">
        <v>1290</v>
      </c>
      <c r="I374">
        <v>-7.22</v>
      </c>
      <c r="J374">
        <v>0.2</v>
      </c>
      <c r="K374">
        <v>107.77000000000001</v>
      </c>
      <c r="L374">
        <v>71.73</v>
      </c>
      <c r="M374">
        <v>36.04</v>
      </c>
    </row>
    <row r="375" spans="5:13" x14ac:dyDescent="0.15">
      <c r="E375" s="12">
        <v>379</v>
      </c>
      <c r="F375" s="11" t="s">
        <v>1014</v>
      </c>
      <c r="G375" t="s">
        <v>404</v>
      </c>
      <c r="H375" t="s">
        <v>1290</v>
      </c>
      <c r="I375">
        <v>-9.14</v>
      </c>
      <c r="J375">
        <v>0.03</v>
      </c>
      <c r="K375">
        <v>107.77</v>
      </c>
      <c r="L375">
        <v>62.69</v>
      </c>
      <c r="M375">
        <v>45.08</v>
      </c>
    </row>
    <row r="376" spans="5:13" x14ac:dyDescent="0.15">
      <c r="E376" s="12">
        <v>380</v>
      </c>
      <c r="F376" s="11" t="s">
        <v>753</v>
      </c>
      <c r="G376" t="s">
        <v>1595</v>
      </c>
      <c r="H376" t="s">
        <v>1290</v>
      </c>
      <c r="I376">
        <v>-0.93</v>
      </c>
      <c r="J376">
        <v>0.67</v>
      </c>
      <c r="K376">
        <v>107.42</v>
      </c>
      <c r="L376">
        <v>91.43</v>
      </c>
      <c r="M376">
        <v>15.99</v>
      </c>
    </row>
    <row r="377" spans="5:13" x14ac:dyDescent="0.15">
      <c r="E377" s="12">
        <v>381</v>
      </c>
      <c r="F377" s="11" t="s">
        <v>842</v>
      </c>
      <c r="G377" t="s">
        <v>1596</v>
      </c>
      <c r="H377" t="s">
        <v>1290</v>
      </c>
      <c r="I377">
        <v>-16.39</v>
      </c>
      <c r="J377">
        <v>-0.62</v>
      </c>
      <c r="K377">
        <v>106.60000000000001</v>
      </c>
      <c r="L377">
        <v>35.340000000000003</v>
      </c>
      <c r="M377">
        <v>71.260000000000005</v>
      </c>
    </row>
    <row r="378" spans="5:13" x14ac:dyDescent="0.15">
      <c r="E378" s="12">
        <v>382</v>
      </c>
      <c r="F378" s="11" t="s">
        <v>917</v>
      </c>
      <c r="G378" t="s">
        <v>1597</v>
      </c>
      <c r="H378" t="s">
        <v>1290</v>
      </c>
      <c r="I378">
        <v>-6.47</v>
      </c>
      <c r="J378">
        <v>0.23</v>
      </c>
      <c r="K378">
        <v>106.6</v>
      </c>
      <c r="L378">
        <v>73.23</v>
      </c>
      <c r="M378">
        <v>33.369999999999997</v>
      </c>
    </row>
    <row r="379" spans="5:13" x14ac:dyDescent="0.15">
      <c r="E379" s="12">
        <v>383</v>
      </c>
      <c r="F379" s="11" t="s">
        <v>504</v>
      </c>
      <c r="G379" t="s">
        <v>1598</v>
      </c>
      <c r="H379" t="s">
        <v>1290</v>
      </c>
      <c r="I379">
        <v>-22.11</v>
      </c>
      <c r="J379">
        <v>-7.38</v>
      </c>
      <c r="K379">
        <v>106.37</v>
      </c>
      <c r="L379">
        <v>11.47</v>
      </c>
      <c r="M379">
        <v>94.9</v>
      </c>
    </row>
    <row r="380" spans="5:13" x14ac:dyDescent="0.15">
      <c r="E380" s="12">
        <v>384</v>
      </c>
      <c r="F380" s="11" t="s">
        <v>737</v>
      </c>
      <c r="G380" t="s">
        <v>1599</v>
      </c>
      <c r="H380" t="s">
        <v>1290</v>
      </c>
      <c r="I380">
        <v>-16.07</v>
      </c>
      <c r="J380">
        <v>-0.42</v>
      </c>
      <c r="K380">
        <v>106.25999999999999</v>
      </c>
      <c r="L380">
        <v>36.619999999999997</v>
      </c>
      <c r="M380">
        <v>69.64</v>
      </c>
    </row>
    <row r="381" spans="5:13" x14ac:dyDescent="0.15">
      <c r="E381" s="12">
        <v>385</v>
      </c>
      <c r="F381" s="11" t="s">
        <v>629</v>
      </c>
      <c r="G381" t="s">
        <v>1600</v>
      </c>
      <c r="H381" t="s">
        <v>1290</v>
      </c>
      <c r="I381">
        <v>-23.75</v>
      </c>
      <c r="J381">
        <v>-11.36</v>
      </c>
      <c r="K381">
        <v>106.25</v>
      </c>
      <c r="L381">
        <v>6.6</v>
      </c>
      <c r="M381">
        <v>99.65</v>
      </c>
    </row>
    <row r="382" spans="5:13" x14ac:dyDescent="0.15">
      <c r="E382" s="12">
        <v>386</v>
      </c>
      <c r="F382" s="11" t="s">
        <v>928</v>
      </c>
      <c r="G382" t="s">
        <v>1601</v>
      </c>
      <c r="H382" t="s">
        <v>1290</v>
      </c>
      <c r="I382">
        <v>-12.41</v>
      </c>
      <c r="J382">
        <v>-0.1</v>
      </c>
      <c r="K382">
        <v>105.91</v>
      </c>
      <c r="L382">
        <v>48.55</v>
      </c>
      <c r="M382">
        <v>57.36</v>
      </c>
    </row>
    <row r="383" spans="5:13" x14ac:dyDescent="0.15">
      <c r="E383" s="12">
        <v>387</v>
      </c>
      <c r="F383" s="11" t="s">
        <v>605</v>
      </c>
      <c r="G383" t="s">
        <v>1602</v>
      </c>
      <c r="H383" t="s">
        <v>1290</v>
      </c>
      <c r="I383">
        <v>-22.87</v>
      </c>
      <c r="J383">
        <v>-9.1199999999999992</v>
      </c>
      <c r="K383">
        <v>105.9</v>
      </c>
      <c r="L383">
        <v>8.57</v>
      </c>
      <c r="M383">
        <v>97.33</v>
      </c>
    </row>
    <row r="384" spans="5:13" x14ac:dyDescent="0.15">
      <c r="E384" s="12">
        <v>388</v>
      </c>
      <c r="F384" s="11" t="s">
        <v>972</v>
      </c>
      <c r="G384" t="s">
        <v>1502</v>
      </c>
      <c r="H384" t="s">
        <v>1290</v>
      </c>
      <c r="I384">
        <v>-5.18</v>
      </c>
      <c r="J384">
        <v>0.39</v>
      </c>
      <c r="K384">
        <v>105.68</v>
      </c>
      <c r="L384">
        <v>81.11</v>
      </c>
      <c r="M384">
        <v>24.57</v>
      </c>
    </row>
    <row r="385" spans="5:13" x14ac:dyDescent="0.15">
      <c r="E385" s="12">
        <v>389</v>
      </c>
      <c r="F385" s="11" t="s">
        <v>754</v>
      </c>
      <c r="G385" t="s">
        <v>1603</v>
      </c>
      <c r="H385" t="s">
        <v>1290</v>
      </c>
      <c r="I385">
        <v>-9.24</v>
      </c>
      <c r="J385">
        <v>0.09</v>
      </c>
      <c r="K385">
        <v>105.68</v>
      </c>
      <c r="L385">
        <v>61.76</v>
      </c>
      <c r="M385">
        <v>43.92</v>
      </c>
    </row>
    <row r="386" spans="5:13" x14ac:dyDescent="0.15">
      <c r="E386" s="12">
        <v>390</v>
      </c>
      <c r="F386" s="11" t="s">
        <v>589</v>
      </c>
      <c r="G386" t="s">
        <v>1604</v>
      </c>
      <c r="H386" t="s">
        <v>1290</v>
      </c>
      <c r="I386">
        <v>-11.19</v>
      </c>
      <c r="J386">
        <v>0</v>
      </c>
      <c r="K386">
        <v>105.67</v>
      </c>
      <c r="L386">
        <v>52.95</v>
      </c>
      <c r="M386">
        <v>52.72</v>
      </c>
    </row>
    <row r="387" spans="5:13" x14ac:dyDescent="0.15">
      <c r="E387" s="12">
        <v>391</v>
      </c>
      <c r="F387" s="11" t="s">
        <v>974</v>
      </c>
      <c r="G387" t="s">
        <v>1551</v>
      </c>
      <c r="H387" t="s">
        <v>1290</v>
      </c>
      <c r="I387">
        <v>-12.39</v>
      </c>
      <c r="J387">
        <v>-0.1</v>
      </c>
      <c r="K387">
        <v>105.56</v>
      </c>
      <c r="L387">
        <v>48.67</v>
      </c>
      <c r="M387">
        <v>56.89</v>
      </c>
    </row>
    <row r="388" spans="5:13" x14ac:dyDescent="0.15">
      <c r="E388" s="12">
        <v>392</v>
      </c>
      <c r="F388" s="11" t="s">
        <v>864</v>
      </c>
      <c r="G388" t="s">
        <v>1605</v>
      </c>
      <c r="H388" t="s">
        <v>1290</v>
      </c>
      <c r="I388">
        <v>-4.84</v>
      </c>
      <c r="J388">
        <v>0.42</v>
      </c>
      <c r="K388">
        <v>105.33</v>
      </c>
      <c r="L388">
        <v>81.81</v>
      </c>
      <c r="M388">
        <v>23.52</v>
      </c>
    </row>
    <row r="389" spans="5:13" x14ac:dyDescent="0.15">
      <c r="E389" s="12">
        <v>393</v>
      </c>
      <c r="F389" s="11" t="s">
        <v>979</v>
      </c>
      <c r="G389" t="s">
        <v>1606</v>
      </c>
      <c r="H389" t="s">
        <v>1290</v>
      </c>
      <c r="I389">
        <v>-13.88</v>
      </c>
      <c r="J389">
        <v>-0.15</v>
      </c>
      <c r="K389">
        <v>105.21000000000001</v>
      </c>
      <c r="L389">
        <v>44.03</v>
      </c>
      <c r="M389">
        <v>61.18</v>
      </c>
    </row>
    <row r="390" spans="5:13" x14ac:dyDescent="0.15">
      <c r="E390" s="12">
        <v>394</v>
      </c>
      <c r="F390" s="11" t="s">
        <v>1067</v>
      </c>
      <c r="G390" t="s">
        <v>1607</v>
      </c>
      <c r="H390" t="s">
        <v>1290</v>
      </c>
      <c r="I390">
        <v>0.31</v>
      </c>
      <c r="J390">
        <v>1.1000000000000001</v>
      </c>
      <c r="K390">
        <v>104.63999999999999</v>
      </c>
      <c r="L390">
        <v>95.6</v>
      </c>
      <c r="M390">
        <v>9.0399999999999991</v>
      </c>
    </row>
    <row r="391" spans="5:13" x14ac:dyDescent="0.15">
      <c r="E391" s="12">
        <v>395</v>
      </c>
      <c r="F391" s="11" t="s">
        <v>952</v>
      </c>
      <c r="G391" t="s">
        <v>1608</v>
      </c>
      <c r="H391" t="s">
        <v>1290</v>
      </c>
      <c r="I391">
        <v>-24.27</v>
      </c>
      <c r="J391">
        <v>-9.92</v>
      </c>
      <c r="K391">
        <v>104.63000000000001</v>
      </c>
      <c r="L391">
        <v>5.79</v>
      </c>
      <c r="M391">
        <v>98.84</v>
      </c>
    </row>
    <row r="392" spans="5:13" x14ac:dyDescent="0.15">
      <c r="E392" s="12">
        <v>396</v>
      </c>
      <c r="F392" s="11" t="s">
        <v>906</v>
      </c>
      <c r="G392" t="s">
        <v>1609</v>
      </c>
      <c r="H392" t="s">
        <v>1290</v>
      </c>
      <c r="I392">
        <v>-6.3</v>
      </c>
      <c r="J392">
        <v>0.31</v>
      </c>
      <c r="K392">
        <v>104.52000000000001</v>
      </c>
      <c r="L392">
        <v>75.67</v>
      </c>
      <c r="M392">
        <v>28.85</v>
      </c>
    </row>
    <row r="393" spans="5:13" x14ac:dyDescent="0.15">
      <c r="E393" s="12">
        <v>397</v>
      </c>
      <c r="F393" s="11" t="s">
        <v>940</v>
      </c>
      <c r="G393" t="s">
        <v>1610</v>
      </c>
      <c r="H393" t="s">
        <v>1290</v>
      </c>
      <c r="I393">
        <v>-10.16</v>
      </c>
      <c r="J393">
        <v>0</v>
      </c>
      <c r="K393">
        <v>104.4</v>
      </c>
      <c r="L393">
        <v>57.47</v>
      </c>
      <c r="M393">
        <v>46.93</v>
      </c>
    </row>
    <row r="394" spans="5:13" x14ac:dyDescent="0.15">
      <c r="E394" s="12">
        <v>398</v>
      </c>
      <c r="F394" s="11" t="s">
        <v>762</v>
      </c>
      <c r="G394" t="s">
        <v>1581</v>
      </c>
      <c r="H394" t="s">
        <v>1290</v>
      </c>
      <c r="I394">
        <v>-8.27</v>
      </c>
      <c r="J394">
        <v>0.18</v>
      </c>
      <c r="K394">
        <v>104.06</v>
      </c>
      <c r="L394">
        <v>66.28</v>
      </c>
      <c r="M394">
        <v>37.78</v>
      </c>
    </row>
    <row r="395" spans="5:13" x14ac:dyDescent="0.15">
      <c r="E395" s="12">
        <v>399</v>
      </c>
      <c r="F395" s="11" t="s">
        <v>814</v>
      </c>
      <c r="G395" t="s">
        <v>1478</v>
      </c>
      <c r="H395" t="s">
        <v>1290</v>
      </c>
      <c r="I395">
        <v>-12.2</v>
      </c>
      <c r="J395">
        <v>0</v>
      </c>
      <c r="K395">
        <v>103.82</v>
      </c>
      <c r="L395">
        <v>49.59</v>
      </c>
      <c r="M395">
        <v>54.23</v>
      </c>
    </row>
    <row r="396" spans="5:13" x14ac:dyDescent="0.15">
      <c r="E396" s="12">
        <v>400</v>
      </c>
      <c r="F396" s="11" t="s">
        <v>954</v>
      </c>
      <c r="G396" t="s">
        <v>1463</v>
      </c>
      <c r="H396" t="s">
        <v>1290</v>
      </c>
      <c r="I396">
        <v>-22.51</v>
      </c>
      <c r="J396">
        <v>-6.79</v>
      </c>
      <c r="K396">
        <v>103.71</v>
      </c>
      <c r="L396">
        <v>10.08</v>
      </c>
      <c r="M396">
        <v>93.63</v>
      </c>
    </row>
    <row r="397" spans="5:13" x14ac:dyDescent="0.15">
      <c r="E397" s="12">
        <v>401</v>
      </c>
      <c r="F397" s="11" t="s">
        <v>1003</v>
      </c>
      <c r="G397" t="s">
        <v>1611</v>
      </c>
      <c r="H397" t="s">
        <v>1290</v>
      </c>
      <c r="I397">
        <v>-9.74</v>
      </c>
      <c r="J397">
        <v>0.1</v>
      </c>
      <c r="K397">
        <v>103.59</v>
      </c>
      <c r="L397">
        <v>60.14</v>
      </c>
      <c r="M397">
        <v>43.45</v>
      </c>
    </row>
    <row r="398" spans="5:13" x14ac:dyDescent="0.15">
      <c r="E398" s="12">
        <v>402</v>
      </c>
      <c r="F398" s="11" t="s">
        <v>832</v>
      </c>
      <c r="G398" t="s">
        <v>1612</v>
      </c>
      <c r="H398" t="s">
        <v>1290</v>
      </c>
      <c r="I398">
        <v>-2.5299999999999998</v>
      </c>
      <c r="J398">
        <v>0.73</v>
      </c>
      <c r="K398">
        <v>103.47999999999999</v>
      </c>
      <c r="L398">
        <v>88.88</v>
      </c>
      <c r="M398">
        <v>14.6</v>
      </c>
    </row>
    <row r="399" spans="5:13" x14ac:dyDescent="0.15">
      <c r="E399" s="12">
        <v>403</v>
      </c>
      <c r="F399" s="11" t="s">
        <v>517</v>
      </c>
      <c r="G399" t="s">
        <v>1613</v>
      </c>
      <c r="H399" t="s">
        <v>1290</v>
      </c>
      <c r="I399">
        <v>-16.84</v>
      </c>
      <c r="J399">
        <v>-0.45</v>
      </c>
      <c r="K399">
        <v>103.47</v>
      </c>
      <c r="L399">
        <v>33.6</v>
      </c>
      <c r="M399">
        <v>69.87</v>
      </c>
    </row>
    <row r="400" spans="5:13" x14ac:dyDescent="0.15">
      <c r="E400" s="12">
        <v>404</v>
      </c>
      <c r="F400" s="11" t="s">
        <v>897</v>
      </c>
      <c r="G400" t="s">
        <v>1614</v>
      </c>
      <c r="H400" t="s">
        <v>1290</v>
      </c>
      <c r="I400">
        <v>-10.49</v>
      </c>
      <c r="J400">
        <v>0</v>
      </c>
      <c r="K400">
        <v>103.47</v>
      </c>
      <c r="L400">
        <v>55.27</v>
      </c>
      <c r="M400">
        <v>48.2</v>
      </c>
    </row>
    <row r="401" spans="5:13" x14ac:dyDescent="0.15">
      <c r="E401" s="12">
        <v>405</v>
      </c>
      <c r="F401" s="11" t="s">
        <v>750</v>
      </c>
      <c r="G401" t="s">
        <v>1615</v>
      </c>
      <c r="H401" t="s">
        <v>1290</v>
      </c>
      <c r="I401">
        <v>-12.82</v>
      </c>
      <c r="J401">
        <v>-0.08</v>
      </c>
      <c r="K401">
        <v>103.36</v>
      </c>
      <c r="L401">
        <v>47.28</v>
      </c>
      <c r="M401">
        <v>56.08</v>
      </c>
    </row>
    <row r="402" spans="5:13" x14ac:dyDescent="0.15">
      <c r="E402" s="12">
        <v>406</v>
      </c>
      <c r="F402" s="11" t="s">
        <v>809</v>
      </c>
      <c r="G402" t="s">
        <v>1616</v>
      </c>
      <c r="H402" t="s">
        <v>1290</v>
      </c>
      <c r="I402">
        <v>-15.25</v>
      </c>
      <c r="J402">
        <v>-0.22</v>
      </c>
      <c r="K402">
        <v>103.36</v>
      </c>
      <c r="L402">
        <v>39.51</v>
      </c>
      <c r="M402">
        <v>63.85</v>
      </c>
    </row>
    <row r="403" spans="5:13" x14ac:dyDescent="0.15">
      <c r="E403" s="12">
        <v>407</v>
      </c>
      <c r="F403" s="11" t="s">
        <v>858</v>
      </c>
      <c r="G403" t="s">
        <v>1617</v>
      </c>
      <c r="H403" t="s">
        <v>1290</v>
      </c>
      <c r="I403">
        <v>-10.23</v>
      </c>
      <c r="J403">
        <v>0</v>
      </c>
      <c r="K403">
        <v>103.24000000000001</v>
      </c>
      <c r="L403">
        <v>56.43</v>
      </c>
      <c r="M403">
        <v>46.81</v>
      </c>
    </row>
    <row r="404" spans="5:13" x14ac:dyDescent="0.15">
      <c r="E404" s="12">
        <v>408</v>
      </c>
      <c r="F404" s="11" t="s">
        <v>962</v>
      </c>
      <c r="G404" t="s">
        <v>1618</v>
      </c>
      <c r="H404" t="s">
        <v>1290</v>
      </c>
      <c r="I404">
        <v>-4.3600000000000003</v>
      </c>
      <c r="J404">
        <v>0.54</v>
      </c>
      <c r="K404">
        <v>103.13</v>
      </c>
      <c r="L404">
        <v>83.2</v>
      </c>
      <c r="M404">
        <v>19.93</v>
      </c>
    </row>
    <row r="405" spans="5:13" x14ac:dyDescent="0.15">
      <c r="E405" s="12">
        <v>409</v>
      </c>
      <c r="F405" s="11" t="s">
        <v>957</v>
      </c>
      <c r="G405" t="s">
        <v>1619</v>
      </c>
      <c r="H405" t="s">
        <v>1290</v>
      </c>
      <c r="I405">
        <v>-9.34</v>
      </c>
      <c r="J405">
        <v>0.13</v>
      </c>
      <c r="K405">
        <v>102.9</v>
      </c>
      <c r="L405">
        <v>61.3</v>
      </c>
      <c r="M405">
        <v>41.6</v>
      </c>
    </row>
    <row r="406" spans="5:13" x14ac:dyDescent="0.15">
      <c r="E406" s="12">
        <v>410</v>
      </c>
      <c r="F406" s="11" t="s">
        <v>690</v>
      </c>
      <c r="G406" t="s">
        <v>1620</v>
      </c>
      <c r="H406" t="s">
        <v>1290</v>
      </c>
      <c r="I406">
        <v>-12.21</v>
      </c>
      <c r="J406">
        <v>0</v>
      </c>
      <c r="K406">
        <v>102.78</v>
      </c>
      <c r="L406">
        <v>49.48</v>
      </c>
      <c r="M406">
        <v>53.3</v>
      </c>
    </row>
    <row r="407" spans="5:13" x14ac:dyDescent="0.15">
      <c r="E407" s="12">
        <v>411</v>
      </c>
      <c r="F407" s="11" t="s">
        <v>1009</v>
      </c>
      <c r="G407" t="s">
        <v>1621</v>
      </c>
      <c r="H407" t="s">
        <v>1290</v>
      </c>
      <c r="I407">
        <v>-7.8</v>
      </c>
      <c r="J407">
        <v>0.21</v>
      </c>
      <c r="K407">
        <v>102.78</v>
      </c>
      <c r="L407">
        <v>67.900000000000006</v>
      </c>
      <c r="M407">
        <v>34.880000000000003</v>
      </c>
    </row>
    <row r="408" spans="5:13" x14ac:dyDescent="0.15">
      <c r="E408" s="12">
        <v>412</v>
      </c>
      <c r="F408" s="11" t="s">
        <v>585</v>
      </c>
      <c r="G408" t="s">
        <v>1622</v>
      </c>
      <c r="H408" t="s">
        <v>1290</v>
      </c>
      <c r="I408">
        <v>-3.55</v>
      </c>
      <c r="J408">
        <v>0.65</v>
      </c>
      <c r="K408">
        <v>102.78</v>
      </c>
      <c r="L408">
        <v>86.33</v>
      </c>
      <c r="M408">
        <v>16.45</v>
      </c>
    </row>
    <row r="409" spans="5:13" x14ac:dyDescent="0.15">
      <c r="E409" s="12">
        <v>413</v>
      </c>
      <c r="F409" s="11" t="s">
        <v>783</v>
      </c>
      <c r="G409" t="s">
        <v>1623</v>
      </c>
      <c r="H409" t="s">
        <v>1290</v>
      </c>
      <c r="I409">
        <v>-12.24</v>
      </c>
      <c r="J409">
        <v>0</v>
      </c>
      <c r="K409">
        <v>102.55000000000001</v>
      </c>
      <c r="L409">
        <v>49.13</v>
      </c>
      <c r="M409">
        <v>53.42</v>
      </c>
    </row>
    <row r="410" spans="5:13" x14ac:dyDescent="0.15">
      <c r="E410" s="12">
        <v>414</v>
      </c>
      <c r="F410" s="11" t="s">
        <v>781</v>
      </c>
      <c r="G410" t="s">
        <v>1529</v>
      </c>
      <c r="H410" t="s">
        <v>1290</v>
      </c>
      <c r="I410">
        <v>-12.6</v>
      </c>
      <c r="J410">
        <v>-0.01</v>
      </c>
      <c r="K410">
        <v>102.32</v>
      </c>
      <c r="L410">
        <v>47.74</v>
      </c>
      <c r="M410">
        <v>54.58</v>
      </c>
    </row>
    <row r="411" spans="5:13" x14ac:dyDescent="0.15">
      <c r="E411" s="12">
        <v>415</v>
      </c>
      <c r="F411" s="11" t="s">
        <v>501</v>
      </c>
      <c r="G411" t="s">
        <v>1624</v>
      </c>
      <c r="H411" t="s">
        <v>1290</v>
      </c>
      <c r="I411">
        <v>-9.61</v>
      </c>
      <c r="J411">
        <v>0.12</v>
      </c>
      <c r="K411">
        <v>102.31</v>
      </c>
      <c r="L411">
        <v>60.25</v>
      </c>
      <c r="M411">
        <v>42.06</v>
      </c>
    </row>
    <row r="412" spans="5:13" x14ac:dyDescent="0.15">
      <c r="E412" s="12">
        <v>416</v>
      </c>
      <c r="F412" s="11" t="s">
        <v>751</v>
      </c>
      <c r="G412" t="s">
        <v>1625</v>
      </c>
      <c r="H412" t="s">
        <v>1290</v>
      </c>
      <c r="I412">
        <v>-6.29</v>
      </c>
      <c r="J412">
        <v>0.36</v>
      </c>
      <c r="K412">
        <v>102.31</v>
      </c>
      <c r="L412">
        <v>76.010000000000005</v>
      </c>
      <c r="M412">
        <v>26.3</v>
      </c>
    </row>
    <row r="413" spans="5:13" x14ac:dyDescent="0.15">
      <c r="E413" s="12">
        <v>417</v>
      </c>
      <c r="F413" s="11" t="s">
        <v>945</v>
      </c>
      <c r="G413" t="s">
        <v>1626</v>
      </c>
      <c r="H413" t="s">
        <v>1290</v>
      </c>
      <c r="I413">
        <v>-13.45</v>
      </c>
      <c r="J413">
        <v>-0.06</v>
      </c>
      <c r="K413">
        <v>101.97</v>
      </c>
      <c r="L413">
        <v>46.12</v>
      </c>
      <c r="M413">
        <v>55.85</v>
      </c>
    </row>
    <row r="414" spans="5:13" x14ac:dyDescent="0.15">
      <c r="E414" s="12">
        <v>418</v>
      </c>
      <c r="F414" s="11" t="s">
        <v>677</v>
      </c>
      <c r="G414" t="s">
        <v>1534</v>
      </c>
      <c r="H414" t="s">
        <v>1290</v>
      </c>
      <c r="I414">
        <v>-23.11</v>
      </c>
      <c r="J414">
        <v>-7.05</v>
      </c>
      <c r="K414">
        <v>101.97</v>
      </c>
      <c r="L414">
        <v>7.88</v>
      </c>
      <c r="M414">
        <v>94.09</v>
      </c>
    </row>
    <row r="415" spans="5:13" x14ac:dyDescent="0.15">
      <c r="E415" s="12">
        <v>419</v>
      </c>
      <c r="F415" s="11" t="s">
        <v>823</v>
      </c>
      <c r="G415" t="s">
        <v>1627</v>
      </c>
      <c r="H415" t="s">
        <v>1290</v>
      </c>
      <c r="I415">
        <v>-11.8</v>
      </c>
      <c r="J415">
        <v>0</v>
      </c>
      <c r="K415">
        <v>101.97</v>
      </c>
      <c r="L415">
        <v>51.22</v>
      </c>
      <c r="M415">
        <v>50.75</v>
      </c>
    </row>
    <row r="416" spans="5:13" x14ac:dyDescent="0.15">
      <c r="E416" s="12">
        <v>420</v>
      </c>
      <c r="F416" s="11" t="s">
        <v>995</v>
      </c>
      <c r="G416" t="s">
        <v>1570</v>
      </c>
      <c r="H416" t="s">
        <v>1290</v>
      </c>
      <c r="I416">
        <v>-7.64</v>
      </c>
      <c r="J416">
        <v>0.25</v>
      </c>
      <c r="K416">
        <v>101.85000000000001</v>
      </c>
      <c r="L416">
        <v>69.290000000000006</v>
      </c>
      <c r="M416">
        <v>32.56</v>
      </c>
    </row>
    <row r="417" spans="5:13" x14ac:dyDescent="0.15">
      <c r="E417" s="12">
        <v>421</v>
      </c>
      <c r="F417" s="11" t="s">
        <v>642</v>
      </c>
      <c r="G417" t="s">
        <v>1452</v>
      </c>
      <c r="H417" t="s">
        <v>1290</v>
      </c>
      <c r="I417">
        <v>-15.28</v>
      </c>
      <c r="J417">
        <v>-0.18</v>
      </c>
      <c r="K417">
        <v>101.74000000000001</v>
      </c>
      <c r="L417">
        <v>39.17</v>
      </c>
      <c r="M417">
        <v>62.57</v>
      </c>
    </row>
    <row r="418" spans="5:13" x14ac:dyDescent="0.15">
      <c r="E418" s="12">
        <v>422</v>
      </c>
      <c r="F418" s="11" t="s">
        <v>735</v>
      </c>
      <c r="G418" t="s">
        <v>1568</v>
      </c>
      <c r="H418" t="s">
        <v>1290</v>
      </c>
      <c r="I418">
        <v>-26.65</v>
      </c>
      <c r="J418">
        <v>-13.31</v>
      </c>
      <c r="K418">
        <v>101.74</v>
      </c>
      <c r="L418">
        <v>1.74</v>
      </c>
      <c r="M418">
        <v>100</v>
      </c>
    </row>
    <row r="419" spans="5:13" x14ac:dyDescent="0.15">
      <c r="E419" s="12">
        <v>423</v>
      </c>
      <c r="F419" s="11" t="s">
        <v>756</v>
      </c>
      <c r="G419" t="s">
        <v>1628</v>
      </c>
      <c r="H419" t="s">
        <v>1290</v>
      </c>
      <c r="I419">
        <v>-6.36</v>
      </c>
      <c r="J419">
        <v>0.34</v>
      </c>
      <c r="K419">
        <v>101.39</v>
      </c>
      <c r="L419">
        <v>74.510000000000005</v>
      </c>
      <c r="M419">
        <v>26.88</v>
      </c>
    </row>
    <row r="420" spans="5:13" x14ac:dyDescent="0.15">
      <c r="E420" s="12">
        <v>424</v>
      </c>
      <c r="F420" s="11" t="s">
        <v>1029</v>
      </c>
      <c r="G420" t="s">
        <v>1629</v>
      </c>
      <c r="H420" t="s">
        <v>1290</v>
      </c>
      <c r="I420">
        <v>-4.54</v>
      </c>
      <c r="J420">
        <v>0.59</v>
      </c>
      <c r="K420">
        <v>101.27000000000001</v>
      </c>
      <c r="L420">
        <v>82.73</v>
      </c>
      <c r="M420">
        <v>18.54</v>
      </c>
    </row>
    <row r="421" spans="5:13" x14ac:dyDescent="0.15">
      <c r="E421" s="12">
        <v>425</v>
      </c>
      <c r="F421" s="11" t="s">
        <v>679</v>
      </c>
      <c r="G421" t="s">
        <v>1630</v>
      </c>
      <c r="H421" t="s">
        <v>1290</v>
      </c>
      <c r="I421">
        <v>-8.91</v>
      </c>
      <c r="J421">
        <v>0.18</v>
      </c>
      <c r="K421">
        <v>101.16</v>
      </c>
      <c r="L421">
        <v>63.73</v>
      </c>
      <c r="M421">
        <v>37.43</v>
      </c>
    </row>
    <row r="422" spans="5:13" x14ac:dyDescent="0.15">
      <c r="E422" s="12">
        <v>426</v>
      </c>
      <c r="F422" s="11" t="s">
        <v>695</v>
      </c>
      <c r="G422" t="s">
        <v>1631</v>
      </c>
      <c r="H422" t="s">
        <v>1290</v>
      </c>
      <c r="I422">
        <v>-7.72</v>
      </c>
      <c r="J422">
        <v>0.25</v>
      </c>
      <c r="K422">
        <v>100.58</v>
      </c>
      <c r="L422">
        <v>68.599999999999994</v>
      </c>
      <c r="M422">
        <v>31.98</v>
      </c>
    </row>
    <row r="423" spans="5:13" x14ac:dyDescent="0.15">
      <c r="E423" s="12">
        <v>427</v>
      </c>
      <c r="F423" s="11" t="s">
        <v>944</v>
      </c>
      <c r="G423" t="s">
        <v>1632</v>
      </c>
      <c r="H423" t="s">
        <v>1290</v>
      </c>
      <c r="I423">
        <v>-8.9600000000000009</v>
      </c>
      <c r="J423">
        <v>0.18</v>
      </c>
      <c r="K423">
        <v>100.46000000000001</v>
      </c>
      <c r="L423">
        <v>63.5</v>
      </c>
      <c r="M423">
        <v>36.96</v>
      </c>
    </row>
    <row r="424" spans="5:13" x14ac:dyDescent="0.15">
      <c r="E424" s="12">
        <v>428</v>
      </c>
      <c r="F424" s="11" t="s">
        <v>1085</v>
      </c>
      <c r="G424" t="s">
        <v>1633</v>
      </c>
      <c r="H424" t="s">
        <v>1290</v>
      </c>
      <c r="I424">
        <v>-9.2899999999999991</v>
      </c>
      <c r="J424">
        <v>0.17</v>
      </c>
      <c r="K424">
        <v>100.35</v>
      </c>
      <c r="L424">
        <v>61.53</v>
      </c>
      <c r="M424">
        <v>38.82</v>
      </c>
    </row>
    <row r="425" spans="5:13" x14ac:dyDescent="0.15">
      <c r="E425" s="12">
        <v>429</v>
      </c>
      <c r="F425" s="11" t="s">
        <v>843</v>
      </c>
      <c r="G425" t="s">
        <v>1634</v>
      </c>
      <c r="H425" t="s">
        <v>1290</v>
      </c>
      <c r="I425">
        <v>-6.36</v>
      </c>
      <c r="J425">
        <v>0.37</v>
      </c>
      <c r="K425">
        <v>100.34</v>
      </c>
      <c r="L425">
        <v>74.62</v>
      </c>
      <c r="M425">
        <v>25.72</v>
      </c>
    </row>
    <row r="426" spans="5:13" x14ac:dyDescent="0.15">
      <c r="E426" s="12">
        <v>430</v>
      </c>
      <c r="F426" s="11" t="s">
        <v>845</v>
      </c>
      <c r="G426" t="s">
        <v>1635</v>
      </c>
      <c r="H426" t="s">
        <v>1290</v>
      </c>
      <c r="I426">
        <v>-9.98</v>
      </c>
      <c r="J426">
        <v>0.13</v>
      </c>
      <c r="K426">
        <v>100.12</v>
      </c>
      <c r="L426">
        <v>59.33</v>
      </c>
      <c r="M426">
        <v>40.79</v>
      </c>
    </row>
    <row r="427" spans="5:13" x14ac:dyDescent="0.15">
      <c r="E427" s="12">
        <v>431</v>
      </c>
      <c r="F427" s="11" t="s">
        <v>1018</v>
      </c>
      <c r="G427" t="s">
        <v>1636</v>
      </c>
      <c r="H427" t="s">
        <v>1290</v>
      </c>
      <c r="I427">
        <v>-11.07</v>
      </c>
      <c r="J427">
        <v>0</v>
      </c>
      <c r="K427">
        <v>100.12</v>
      </c>
      <c r="L427">
        <v>53.42</v>
      </c>
      <c r="M427">
        <v>46.7</v>
      </c>
    </row>
    <row r="428" spans="5:13" x14ac:dyDescent="0.15">
      <c r="E428" s="12">
        <v>432</v>
      </c>
      <c r="F428" s="11" t="s">
        <v>1019</v>
      </c>
      <c r="G428" t="s">
        <v>1637</v>
      </c>
      <c r="H428" t="s">
        <v>1290</v>
      </c>
      <c r="I428">
        <v>-0.59</v>
      </c>
      <c r="J428">
        <v>1.26</v>
      </c>
      <c r="K428">
        <v>100</v>
      </c>
      <c r="L428">
        <v>92.82</v>
      </c>
      <c r="M428">
        <v>7.18</v>
      </c>
    </row>
    <row r="429" spans="5:13" x14ac:dyDescent="0.15">
      <c r="E429" s="12">
        <v>433</v>
      </c>
      <c r="F429" s="11" t="s">
        <v>749</v>
      </c>
      <c r="G429" t="s">
        <v>1625</v>
      </c>
      <c r="H429" t="s">
        <v>1290</v>
      </c>
      <c r="I429">
        <v>-12.53</v>
      </c>
      <c r="J429">
        <v>0</v>
      </c>
      <c r="K429">
        <v>100</v>
      </c>
      <c r="L429">
        <v>47.86</v>
      </c>
      <c r="M429">
        <v>52.14</v>
      </c>
    </row>
    <row r="430" spans="5:13" x14ac:dyDescent="0.15">
      <c r="E430" s="12">
        <v>434</v>
      </c>
      <c r="F430" s="11" t="s">
        <v>709</v>
      </c>
      <c r="G430" t="s">
        <v>1638</v>
      </c>
      <c r="H430" t="s">
        <v>1290</v>
      </c>
      <c r="I430">
        <v>-10.14</v>
      </c>
      <c r="J430">
        <v>0.13</v>
      </c>
      <c r="K430">
        <v>100</v>
      </c>
      <c r="L430">
        <v>58.05</v>
      </c>
      <c r="M430">
        <v>41.95</v>
      </c>
    </row>
    <row r="431" spans="5:13" x14ac:dyDescent="0.15">
      <c r="E431" s="12">
        <v>435</v>
      </c>
      <c r="F431" s="11" t="s">
        <v>965</v>
      </c>
      <c r="G431" t="s">
        <v>1639</v>
      </c>
      <c r="H431" t="s">
        <v>1290</v>
      </c>
      <c r="I431">
        <v>-10.15</v>
      </c>
      <c r="J431">
        <v>0.13</v>
      </c>
      <c r="K431">
        <v>99.65</v>
      </c>
      <c r="L431">
        <v>57.82</v>
      </c>
      <c r="M431">
        <v>41.83</v>
      </c>
    </row>
    <row r="432" spans="5:13" x14ac:dyDescent="0.15">
      <c r="E432" s="12">
        <v>436</v>
      </c>
      <c r="F432" s="11" t="s">
        <v>1082</v>
      </c>
      <c r="G432" t="s">
        <v>1640</v>
      </c>
      <c r="H432" t="s">
        <v>1290</v>
      </c>
      <c r="I432">
        <v>-3.87</v>
      </c>
      <c r="J432">
        <v>0.72</v>
      </c>
      <c r="K432">
        <v>99.54</v>
      </c>
      <c r="L432">
        <v>84.59</v>
      </c>
      <c r="M432">
        <v>14.95</v>
      </c>
    </row>
    <row r="433" spans="5:13" x14ac:dyDescent="0.15">
      <c r="E433" s="12">
        <v>437</v>
      </c>
      <c r="F433" s="11" t="s">
        <v>573</v>
      </c>
      <c r="G433" t="s">
        <v>1595</v>
      </c>
      <c r="H433" t="s">
        <v>1290</v>
      </c>
      <c r="I433">
        <v>-13.78</v>
      </c>
      <c r="J433">
        <v>-0.01</v>
      </c>
      <c r="K433">
        <v>99.53</v>
      </c>
      <c r="L433">
        <v>44.61</v>
      </c>
      <c r="M433">
        <v>54.92</v>
      </c>
    </row>
    <row r="434" spans="5:13" x14ac:dyDescent="0.15">
      <c r="E434" s="12">
        <v>438</v>
      </c>
      <c r="F434" s="11" t="s">
        <v>871</v>
      </c>
      <c r="G434" t="s">
        <v>1641</v>
      </c>
      <c r="H434" t="s">
        <v>1290</v>
      </c>
      <c r="I434">
        <v>-26.47</v>
      </c>
      <c r="J434">
        <v>-8.89</v>
      </c>
      <c r="K434">
        <v>98.850000000000009</v>
      </c>
      <c r="L434">
        <v>2.09</v>
      </c>
      <c r="M434">
        <v>96.76</v>
      </c>
    </row>
    <row r="435" spans="5:13" x14ac:dyDescent="0.15">
      <c r="E435" s="12">
        <v>439</v>
      </c>
      <c r="F435" s="11" t="s">
        <v>839</v>
      </c>
      <c r="G435" t="s">
        <v>1642</v>
      </c>
      <c r="H435" t="s">
        <v>1290</v>
      </c>
      <c r="I435">
        <v>-0.89</v>
      </c>
      <c r="J435">
        <v>1.28</v>
      </c>
      <c r="K435">
        <v>98.5</v>
      </c>
      <c r="L435">
        <v>91.66</v>
      </c>
      <c r="M435">
        <v>6.84</v>
      </c>
    </row>
    <row r="436" spans="5:13" x14ac:dyDescent="0.15">
      <c r="E436" s="12">
        <v>440</v>
      </c>
      <c r="F436" s="11" t="s">
        <v>1052</v>
      </c>
      <c r="G436" t="s">
        <v>1543</v>
      </c>
      <c r="H436" t="s">
        <v>1290</v>
      </c>
      <c r="I436">
        <v>-8.3699999999999992</v>
      </c>
      <c r="J436">
        <v>0.25</v>
      </c>
      <c r="K436">
        <v>98.5</v>
      </c>
      <c r="L436">
        <v>65.819999999999993</v>
      </c>
      <c r="M436">
        <v>32.68</v>
      </c>
    </row>
    <row r="437" spans="5:13" x14ac:dyDescent="0.15">
      <c r="E437" s="12">
        <v>441</v>
      </c>
      <c r="F437" s="11" t="s">
        <v>967</v>
      </c>
      <c r="G437" t="s">
        <v>1643</v>
      </c>
      <c r="H437" t="s">
        <v>1290</v>
      </c>
      <c r="I437">
        <v>-12.87</v>
      </c>
      <c r="J437">
        <v>0</v>
      </c>
      <c r="K437">
        <v>98.49</v>
      </c>
      <c r="L437">
        <v>47.16</v>
      </c>
      <c r="M437">
        <v>51.33</v>
      </c>
    </row>
    <row r="438" spans="5:13" x14ac:dyDescent="0.15">
      <c r="E438" s="12">
        <v>442</v>
      </c>
      <c r="F438" s="11" t="s">
        <v>720</v>
      </c>
      <c r="G438" t="s">
        <v>1644</v>
      </c>
      <c r="H438" t="s">
        <v>1290</v>
      </c>
      <c r="I438">
        <v>-24.59</v>
      </c>
      <c r="J438">
        <v>-6.49</v>
      </c>
      <c r="K438">
        <v>98.36999999999999</v>
      </c>
      <c r="L438">
        <v>5.21</v>
      </c>
      <c r="M438">
        <v>93.16</v>
      </c>
    </row>
    <row r="439" spans="5:13" x14ac:dyDescent="0.15">
      <c r="E439" s="12">
        <v>443</v>
      </c>
      <c r="F439" s="11" t="s">
        <v>831</v>
      </c>
      <c r="G439" t="s">
        <v>1645</v>
      </c>
      <c r="H439" t="s">
        <v>1290</v>
      </c>
      <c r="I439">
        <v>-11.12</v>
      </c>
      <c r="J439">
        <v>0.06</v>
      </c>
      <c r="K439">
        <v>98.14</v>
      </c>
      <c r="L439">
        <v>53.3</v>
      </c>
      <c r="M439">
        <v>44.84</v>
      </c>
    </row>
    <row r="440" spans="5:13" x14ac:dyDescent="0.15">
      <c r="E440" s="12">
        <v>444</v>
      </c>
      <c r="F440" s="11" t="s">
        <v>941</v>
      </c>
      <c r="G440" t="s">
        <v>1646</v>
      </c>
      <c r="H440" t="s">
        <v>1290</v>
      </c>
      <c r="I440">
        <v>-16.93</v>
      </c>
      <c r="J440">
        <v>-0.23</v>
      </c>
      <c r="K440">
        <v>97.68</v>
      </c>
      <c r="L440">
        <v>33.49</v>
      </c>
      <c r="M440">
        <v>64.19</v>
      </c>
    </row>
    <row r="441" spans="5:13" x14ac:dyDescent="0.15">
      <c r="E441" s="12">
        <v>445</v>
      </c>
      <c r="F441" s="11" t="s">
        <v>1043</v>
      </c>
      <c r="G441" t="s">
        <v>1607</v>
      </c>
      <c r="H441" t="s">
        <v>1290</v>
      </c>
      <c r="I441">
        <v>-15.29</v>
      </c>
      <c r="J441">
        <v>-0.12</v>
      </c>
      <c r="K441">
        <v>97.34</v>
      </c>
      <c r="L441">
        <v>39.049999999999997</v>
      </c>
      <c r="M441">
        <v>58.29</v>
      </c>
    </row>
    <row r="442" spans="5:13" x14ac:dyDescent="0.15">
      <c r="E442" s="12">
        <v>446</v>
      </c>
      <c r="F442" s="11" t="s">
        <v>981</v>
      </c>
      <c r="G442" t="s">
        <v>1647</v>
      </c>
      <c r="H442" t="s">
        <v>1290</v>
      </c>
      <c r="I442">
        <v>-17.04</v>
      </c>
      <c r="J442">
        <v>-0.23</v>
      </c>
      <c r="K442">
        <v>97.22</v>
      </c>
      <c r="L442">
        <v>33.14</v>
      </c>
      <c r="M442">
        <v>64.08</v>
      </c>
    </row>
    <row r="443" spans="5:13" x14ac:dyDescent="0.15">
      <c r="E443" s="12">
        <v>447</v>
      </c>
      <c r="F443" s="11" t="s">
        <v>1004</v>
      </c>
      <c r="G443" t="s">
        <v>1648</v>
      </c>
      <c r="H443" t="s">
        <v>1290</v>
      </c>
      <c r="I443">
        <v>-24.61</v>
      </c>
      <c r="J443">
        <v>-6.27</v>
      </c>
      <c r="K443">
        <v>97.22</v>
      </c>
      <c r="L443">
        <v>5.0999999999999996</v>
      </c>
      <c r="M443">
        <v>92.12</v>
      </c>
    </row>
    <row r="444" spans="5:13" x14ac:dyDescent="0.15">
      <c r="E444" s="12">
        <v>448</v>
      </c>
      <c r="F444" s="11" t="s">
        <v>506</v>
      </c>
      <c r="G444" t="s">
        <v>1649</v>
      </c>
      <c r="H444" t="s">
        <v>1650</v>
      </c>
      <c r="I444">
        <v>-5.26</v>
      </c>
      <c r="J444">
        <v>0.64</v>
      </c>
      <c r="K444">
        <v>97.22</v>
      </c>
      <c r="L444">
        <v>80.42</v>
      </c>
      <c r="M444">
        <v>16.8</v>
      </c>
    </row>
    <row r="445" spans="5:13" x14ac:dyDescent="0.15">
      <c r="E445" s="12">
        <v>449</v>
      </c>
      <c r="F445" s="11" t="s">
        <v>632</v>
      </c>
      <c r="G445" t="s">
        <v>1650</v>
      </c>
      <c r="H445" t="s">
        <v>1650</v>
      </c>
      <c r="I445">
        <v>-6.31</v>
      </c>
      <c r="J445">
        <v>0.46</v>
      </c>
      <c r="K445">
        <v>97.210000000000008</v>
      </c>
      <c r="L445">
        <v>75.430000000000007</v>
      </c>
      <c r="M445">
        <v>21.78</v>
      </c>
    </row>
    <row r="446" spans="5:13" x14ac:dyDescent="0.15">
      <c r="E446" s="12">
        <v>450</v>
      </c>
      <c r="F446" s="11" t="s">
        <v>624</v>
      </c>
      <c r="G446" t="s">
        <v>1651</v>
      </c>
      <c r="H446" t="s">
        <v>1650</v>
      </c>
      <c r="I446">
        <v>-17.170000000000002</v>
      </c>
      <c r="J446">
        <v>-0.21</v>
      </c>
      <c r="K446">
        <v>96.53</v>
      </c>
      <c r="L446">
        <v>32.909999999999997</v>
      </c>
      <c r="M446">
        <v>63.62</v>
      </c>
    </row>
    <row r="447" spans="5:13" x14ac:dyDescent="0.15">
      <c r="E447" s="12">
        <v>451</v>
      </c>
      <c r="F447" s="11" t="s">
        <v>636</v>
      </c>
      <c r="G447" t="s">
        <v>1652</v>
      </c>
      <c r="H447" t="s">
        <v>1650</v>
      </c>
      <c r="I447">
        <v>-6.34</v>
      </c>
      <c r="J447">
        <v>0.47</v>
      </c>
      <c r="K447">
        <v>96.300000000000011</v>
      </c>
      <c r="L447">
        <v>75.09</v>
      </c>
      <c r="M447">
        <v>21.21</v>
      </c>
    </row>
    <row r="448" spans="5:13" x14ac:dyDescent="0.15">
      <c r="E448" s="12">
        <v>452</v>
      </c>
      <c r="F448" s="11" t="s">
        <v>616</v>
      </c>
      <c r="G448" t="s">
        <v>1653</v>
      </c>
      <c r="H448" t="s">
        <v>1650</v>
      </c>
      <c r="I448">
        <v>-16.39</v>
      </c>
      <c r="J448">
        <v>-0.15</v>
      </c>
      <c r="K448">
        <v>96.18</v>
      </c>
      <c r="L448">
        <v>35.46</v>
      </c>
      <c r="M448">
        <v>60.72</v>
      </c>
    </row>
    <row r="449" spans="5:13" x14ac:dyDescent="0.15">
      <c r="E449" s="12">
        <v>453</v>
      </c>
      <c r="F449" s="11" t="s">
        <v>557</v>
      </c>
      <c r="G449" t="s">
        <v>1654</v>
      </c>
      <c r="H449" t="s">
        <v>1650</v>
      </c>
      <c r="I449">
        <v>-11.39</v>
      </c>
      <c r="J449">
        <v>0.09</v>
      </c>
      <c r="K449">
        <v>96.18</v>
      </c>
      <c r="L449">
        <v>52.38</v>
      </c>
      <c r="M449">
        <v>43.8</v>
      </c>
    </row>
    <row r="450" spans="5:13" x14ac:dyDescent="0.15">
      <c r="E450" s="12">
        <v>454</v>
      </c>
      <c r="F450" s="11" t="s">
        <v>577</v>
      </c>
      <c r="G450" t="s">
        <v>1655</v>
      </c>
      <c r="H450" t="s">
        <v>1650</v>
      </c>
      <c r="I450">
        <v>-5.86</v>
      </c>
      <c r="J450">
        <v>0.63</v>
      </c>
      <c r="K450">
        <v>96.06</v>
      </c>
      <c r="L450">
        <v>79.03</v>
      </c>
      <c r="M450">
        <v>17.03</v>
      </c>
    </row>
    <row r="451" spans="5:13" x14ac:dyDescent="0.15">
      <c r="E451" s="12">
        <v>455</v>
      </c>
      <c r="F451" s="11" t="s">
        <v>634</v>
      </c>
      <c r="G451" t="s">
        <v>1656</v>
      </c>
      <c r="H451" t="s">
        <v>1650</v>
      </c>
      <c r="I451">
        <v>-18.04</v>
      </c>
      <c r="J451">
        <v>-0.27</v>
      </c>
      <c r="K451">
        <v>95.949999999999989</v>
      </c>
      <c r="L451">
        <v>30.71</v>
      </c>
      <c r="M451">
        <v>65.239999999999995</v>
      </c>
    </row>
    <row r="452" spans="5:13" x14ac:dyDescent="0.15">
      <c r="E452" s="12">
        <v>456</v>
      </c>
      <c r="F452" s="11" t="s">
        <v>447</v>
      </c>
      <c r="G452" t="s">
        <v>1657</v>
      </c>
      <c r="H452" t="s">
        <v>1650</v>
      </c>
      <c r="I452">
        <v>-0.73</v>
      </c>
      <c r="J452">
        <v>2.16</v>
      </c>
      <c r="K452">
        <v>95.83</v>
      </c>
      <c r="L452">
        <v>92.12</v>
      </c>
      <c r="M452">
        <v>3.71</v>
      </c>
    </row>
    <row r="453" spans="5:13" x14ac:dyDescent="0.15">
      <c r="E453" s="12">
        <v>457</v>
      </c>
      <c r="F453" s="11" t="s">
        <v>597</v>
      </c>
      <c r="G453" t="s">
        <v>1650</v>
      </c>
      <c r="H453" t="s">
        <v>1650</v>
      </c>
      <c r="I453">
        <v>-9.09</v>
      </c>
      <c r="J453">
        <v>0.24</v>
      </c>
      <c r="K453">
        <v>95.71</v>
      </c>
      <c r="L453">
        <v>62.8</v>
      </c>
      <c r="M453">
        <v>32.909999999999997</v>
      </c>
    </row>
    <row r="454" spans="5:13" x14ac:dyDescent="0.15">
      <c r="E454" s="12">
        <v>458</v>
      </c>
      <c r="F454" s="11" t="s">
        <v>565</v>
      </c>
      <c r="G454" t="s">
        <v>105</v>
      </c>
      <c r="H454" t="s">
        <v>1650</v>
      </c>
      <c r="I454">
        <v>-6.3</v>
      </c>
      <c r="J454">
        <v>0.55000000000000004</v>
      </c>
      <c r="K454">
        <v>95.37</v>
      </c>
      <c r="L454">
        <v>75.900000000000006</v>
      </c>
      <c r="M454">
        <v>19.47</v>
      </c>
    </row>
    <row r="455" spans="5:13" x14ac:dyDescent="0.15">
      <c r="E455" s="12">
        <v>459</v>
      </c>
      <c r="F455" s="11" t="s">
        <v>661</v>
      </c>
      <c r="G455" t="s">
        <v>1658</v>
      </c>
      <c r="H455" t="s">
        <v>1659</v>
      </c>
      <c r="I455">
        <v>-7.85</v>
      </c>
      <c r="J455">
        <v>0.33</v>
      </c>
      <c r="K455">
        <v>95.37</v>
      </c>
      <c r="L455">
        <v>67.56</v>
      </c>
      <c r="M455">
        <v>27.81</v>
      </c>
    </row>
    <row r="456" spans="5:13" x14ac:dyDescent="0.15">
      <c r="E456" s="12">
        <v>460</v>
      </c>
      <c r="F456" s="11" t="s">
        <v>662</v>
      </c>
      <c r="G456" t="s">
        <v>1660</v>
      </c>
      <c r="H456" t="s">
        <v>1659</v>
      </c>
      <c r="I456">
        <v>-10.220000000000001</v>
      </c>
      <c r="J456">
        <v>0.17</v>
      </c>
      <c r="K456">
        <v>95.14</v>
      </c>
      <c r="L456">
        <v>56.55</v>
      </c>
      <c r="M456">
        <v>38.590000000000003</v>
      </c>
    </row>
    <row r="457" spans="5:13" x14ac:dyDescent="0.15">
      <c r="E457" s="12">
        <v>461</v>
      </c>
      <c r="F457" s="11" t="s">
        <v>1159</v>
      </c>
      <c r="G457" t="s">
        <v>1661</v>
      </c>
      <c r="H457" t="s">
        <v>1659</v>
      </c>
      <c r="I457">
        <v>-16.48</v>
      </c>
      <c r="J457">
        <v>-0.14000000000000001</v>
      </c>
      <c r="K457">
        <v>94.9</v>
      </c>
      <c r="L457">
        <v>34.99</v>
      </c>
      <c r="M457">
        <v>59.91</v>
      </c>
    </row>
    <row r="458" spans="5:13" x14ac:dyDescent="0.15">
      <c r="E458" s="12">
        <v>462</v>
      </c>
      <c r="F458" s="11" t="s">
        <v>659</v>
      </c>
      <c r="G458" t="s">
        <v>1662</v>
      </c>
      <c r="H458" t="s">
        <v>1659</v>
      </c>
      <c r="I458">
        <v>-19.3</v>
      </c>
      <c r="J458">
        <v>-0.41</v>
      </c>
      <c r="K458">
        <v>94.79</v>
      </c>
      <c r="L458">
        <v>25.61</v>
      </c>
      <c r="M458">
        <v>69.180000000000007</v>
      </c>
    </row>
    <row r="459" spans="5:13" x14ac:dyDescent="0.15">
      <c r="E459" s="12">
        <v>463</v>
      </c>
      <c r="F459" s="11" t="s">
        <v>715</v>
      </c>
      <c r="G459" t="s">
        <v>1663</v>
      </c>
      <c r="H459" t="s">
        <v>1659</v>
      </c>
      <c r="I459">
        <v>-8.34</v>
      </c>
      <c r="J459">
        <v>0.31</v>
      </c>
      <c r="K459">
        <v>94.789999999999992</v>
      </c>
      <c r="L459">
        <v>66.05</v>
      </c>
      <c r="M459">
        <v>28.74</v>
      </c>
    </row>
    <row r="460" spans="5:13" x14ac:dyDescent="0.15">
      <c r="E460" s="12">
        <v>464</v>
      </c>
      <c r="F460" s="11" t="s">
        <v>1158</v>
      </c>
      <c r="G460" t="s">
        <v>1664</v>
      </c>
      <c r="H460" t="s">
        <v>1659</v>
      </c>
      <c r="I460">
        <v>-8.9600000000000009</v>
      </c>
      <c r="J460">
        <v>0.28000000000000003</v>
      </c>
      <c r="K460">
        <v>94.21</v>
      </c>
      <c r="L460">
        <v>63.62</v>
      </c>
      <c r="M460">
        <v>30.59</v>
      </c>
    </row>
    <row r="461" spans="5:13" x14ac:dyDescent="0.15">
      <c r="E461" s="12">
        <v>465</v>
      </c>
      <c r="F461" s="11" t="s">
        <v>1665</v>
      </c>
      <c r="G461" t="s">
        <v>1666</v>
      </c>
      <c r="H461" t="s">
        <v>1659</v>
      </c>
      <c r="I461">
        <v>-5.59</v>
      </c>
      <c r="J461">
        <v>0.74</v>
      </c>
      <c r="K461">
        <v>93.86</v>
      </c>
      <c r="L461">
        <v>79.61</v>
      </c>
      <c r="M461">
        <v>14.25</v>
      </c>
    </row>
    <row r="462" spans="5:13" x14ac:dyDescent="0.15">
      <c r="E462" s="12">
        <v>466</v>
      </c>
      <c r="F462" s="11" t="s">
        <v>1231</v>
      </c>
      <c r="G462" t="s">
        <v>1667</v>
      </c>
      <c r="H462" t="s">
        <v>1659</v>
      </c>
      <c r="I462">
        <v>-9.1999999999999993</v>
      </c>
      <c r="J462">
        <v>0.27</v>
      </c>
      <c r="K462">
        <v>93.85</v>
      </c>
      <c r="L462">
        <v>62.22</v>
      </c>
      <c r="M462">
        <v>31.63</v>
      </c>
    </row>
    <row r="463" spans="5:13" x14ac:dyDescent="0.15">
      <c r="E463" s="12">
        <v>467</v>
      </c>
      <c r="F463" s="11" t="s">
        <v>660</v>
      </c>
      <c r="G463" t="s">
        <v>1668</v>
      </c>
      <c r="H463" t="s">
        <v>1659</v>
      </c>
      <c r="I463">
        <v>-19.75</v>
      </c>
      <c r="J463">
        <v>-0.51</v>
      </c>
      <c r="K463">
        <v>93.28</v>
      </c>
      <c r="L463">
        <v>22.6</v>
      </c>
      <c r="M463">
        <v>70.680000000000007</v>
      </c>
    </row>
    <row r="464" spans="5:13" x14ac:dyDescent="0.15">
      <c r="E464" s="12">
        <v>468</v>
      </c>
      <c r="F464" s="11" t="s">
        <v>688</v>
      </c>
      <c r="G464" t="s">
        <v>1669</v>
      </c>
      <c r="H464" t="s">
        <v>1659</v>
      </c>
      <c r="I464">
        <v>-10.17</v>
      </c>
      <c r="J464">
        <v>0.2</v>
      </c>
      <c r="K464">
        <v>93.05</v>
      </c>
      <c r="L464">
        <v>57.36</v>
      </c>
      <c r="M464">
        <v>35.69</v>
      </c>
    </row>
    <row r="465" spans="5:13" x14ac:dyDescent="0.15">
      <c r="E465" s="12">
        <v>469</v>
      </c>
      <c r="F465" s="11" t="s">
        <v>674</v>
      </c>
      <c r="G465" t="s">
        <v>1670</v>
      </c>
      <c r="H465" t="s">
        <v>1659</v>
      </c>
      <c r="I465">
        <v>-17.399999999999999</v>
      </c>
      <c r="J465">
        <v>-0.15</v>
      </c>
      <c r="K465">
        <v>92.47</v>
      </c>
      <c r="L465">
        <v>32.1</v>
      </c>
      <c r="M465">
        <v>60.37</v>
      </c>
    </row>
    <row r="466" spans="5:13" x14ac:dyDescent="0.15">
      <c r="E466" s="12">
        <v>470</v>
      </c>
      <c r="F466" s="11" t="s">
        <v>689</v>
      </c>
      <c r="G466" t="s">
        <v>1671</v>
      </c>
      <c r="H466" t="s">
        <v>1659</v>
      </c>
      <c r="I466">
        <v>-6.25</v>
      </c>
      <c r="J466">
        <v>0.68</v>
      </c>
      <c r="K466">
        <v>92.240000000000009</v>
      </c>
      <c r="L466">
        <v>76.48</v>
      </c>
      <c r="M466">
        <v>15.76</v>
      </c>
    </row>
    <row r="467" spans="5:13" x14ac:dyDescent="0.15">
      <c r="E467" s="12">
        <v>471</v>
      </c>
      <c r="F467" s="11" t="s">
        <v>678</v>
      </c>
      <c r="G467" t="s">
        <v>1672</v>
      </c>
      <c r="H467" t="s">
        <v>1659</v>
      </c>
      <c r="I467">
        <v>-8.66</v>
      </c>
      <c r="J467">
        <v>0.33</v>
      </c>
      <c r="K467">
        <v>92.12</v>
      </c>
      <c r="L467">
        <v>64.430000000000007</v>
      </c>
      <c r="M467">
        <v>27.69</v>
      </c>
    </row>
    <row r="468" spans="5:13" x14ac:dyDescent="0.15">
      <c r="E468" s="12">
        <v>472</v>
      </c>
      <c r="F468" s="11" t="s">
        <v>663</v>
      </c>
      <c r="G468" t="s">
        <v>1673</v>
      </c>
      <c r="H468" t="s">
        <v>1659</v>
      </c>
      <c r="I468">
        <v>-13.45</v>
      </c>
      <c r="J468">
        <v>0</v>
      </c>
      <c r="K468">
        <v>91.77000000000001</v>
      </c>
      <c r="L468">
        <v>46</v>
      </c>
      <c r="M468">
        <v>45.77</v>
      </c>
    </row>
    <row r="469" spans="5:13" x14ac:dyDescent="0.15">
      <c r="E469" s="12">
        <v>473</v>
      </c>
      <c r="F469" s="11" t="s">
        <v>672</v>
      </c>
      <c r="G469" t="s">
        <v>1674</v>
      </c>
      <c r="H469" t="s">
        <v>1659</v>
      </c>
      <c r="I469">
        <v>-3.95</v>
      </c>
      <c r="J469">
        <v>1.24</v>
      </c>
      <c r="K469">
        <v>91.429999999999993</v>
      </c>
      <c r="L469">
        <v>84.13</v>
      </c>
      <c r="M469">
        <v>7.3</v>
      </c>
    </row>
    <row r="470" spans="5:13" x14ac:dyDescent="0.15">
      <c r="E470" s="12">
        <v>474</v>
      </c>
      <c r="F470" s="11" t="s">
        <v>697</v>
      </c>
      <c r="G470" t="s">
        <v>1675</v>
      </c>
      <c r="H470" t="s">
        <v>1659</v>
      </c>
      <c r="I470">
        <v>-3.89</v>
      </c>
      <c r="J470">
        <v>1.27</v>
      </c>
      <c r="K470">
        <v>91.31</v>
      </c>
      <c r="L470">
        <v>84.24</v>
      </c>
      <c r="M470">
        <v>7.07</v>
      </c>
    </row>
    <row r="471" spans="5:13" x14ac:dyDescent="0.15">
      <c r="E471" s="12">
        <v>475</v>
      </c>
      <c r="F471" s="11" t="s">
        <v>684</v>
      </c>
      <c r="G471" t="s">
        <v>1676</v>
      </c>
      <c r="H471" t="s">
        <v>1659</v>
      </c>
      <c r="I471">
        <v>-7.74</v>
      </c>
      <c r="J471">
        <v>0.44</v>
      </c>
      <c r="K471">
        <v>91.31</v>
      </c>
      <c r="L471">
        <v>68.48</v>
      </c>
      <c r="M471">
        <v>22.83</v>
      </c>
    </row>
    <row r="472" spans="5:13" x14ac:dyDescent="0.15">
      <c r="E472" s="12">
        <v>476</v>
      </c>
      <c r="F472" s="11" t="s">
        <v>666</v>
      </c>
      <c r="G472" t="s">
        <v>1677</v>
      </c>
      <c r="H472" t="s">
        <v>1659</v>
      </c>
      <c r="I472">
        <v>-10.18</v>
      </c>
      <c r="J472">
        <v>0.22</v>
      </c>
      <c r="K472">
        <v>91.3</v>
      </c>
      <c r="L472">
        <v>56.89</v>
      </c>
      <c r="M472">
        <v>34.409999999999997</v>
      </c>
    </row>
    <row r="473" spans="5:13" x14ac:dyDescent="0.15">
      <c r="E473" s="12">
        <v>477</v>
      </c>
      <c r="F473" s="11" t="s">
        <v>656</v>
      </c>
      <c r="G473" t="s">
        <v>1678</v>
      </c>
      <c r="H473" t="s">
        <v>1659</v>
      </c>
      <c r="I473">
        <v>-17.899999999999999</v>
      </c>
      <c r="J473">
        <v>-0.14000000000000001</v>
      </c>
      <c r="K473">
        <v>91.19</v>
      </c>
      <c r="L473">
        <v>31.17</v>
      </c>
      <c r="M473">
        <v>60.02</v>
      </c>
    </row>
    <row r="474" spans="5:13" x14ac:dyDescent="0.15">
      <c r="E474" s="12">
        <v>478</v>
      </c>
      <c r="F474" s="11" t="s">
        <v>694</v>
      </c>
      <c r="G474" t="s">
        <v>1679</v>
      </c>
      <c r="H474" t="s">
        <v>1659</v>
      </c>
      <c r="I474">
        <v>-7.95</v>
      </c>
      <c r="J474">
        <v>0.42</v>
      </c>
      <c r="K474">
        <v>91.19</v>
      </c>
      <c r="L474">
        <v>67.44</v>
      </c>
      <c r="M474">
        <v>23.75</v>
      </c>
    </row>
    <row r="475" spans="5:13" x14ac:dyDescent="0.15">
      <c r="E475" s="12">
        <v>479</v>
      </c>
      <c r="F475" s="11" t="s">
        <v>671</v>
      </c>
      <c r="G475" t="s">
        <v>1680</v>
      </c>
      <c r="H475" t="s">
        <v>1659</v>
      </c>
      <c r="I475">
        <v>-8.9</v>
      </c>
      <c r="J475">
        <v>0.34</v>
      </c>
      <c r="K475">
        <v>90.61</v>
      </c>
      <c r="L475">
        <v>63.96</v>
      </c>
      <c r="M475">
        <v>26.65</v>
      </c>
    </row>
    <row r="476" spans="5:13" x14ac:dyDescent="0.15">
      <c r="E476" s="12">
        <v>480</v>
      </c>
      <c r="F476" s="11" t="s">
        <v>673</v>
      </c>
      <c r="G476" t="s">
        <v>1681</v>
      </c>
      <c r="H476" t="s">
        <v>1659</v>
      </c>
      <c r="I476">
        <v>-13.9</v>
      </c>
      <c r="J476">
        <v>0</v>
      </c>
      <c r="K476">
        <v>90.39</v>
      </c>
      <c r="L476">
        <v>43.92</v>
      </c>
      <c r="M476">
        <v>46.47</v>
      </c>
    </row>
    <row r="477" spans="5:13" x14ac:dyDescent="0.15">
      <c r="E477" s="12">
        <v>481</v>
      </c>
      <c r="F477" s="11" t="s">
        <v>667</v>
      </c>
      <c r="G477" t="s">
        <v>1682</v>
      </c>
      <c r="H477" t="s">
        <v>1659</v>
      </c>
      <c r="I477">
        <v>-10.08</v>
      </c>
      <c r="J477">
        <v>0.27</v>
      </c>
      <c r="K477">
        <v>90.15</v>
      </c>
      <c r="L477">
        <v>58.86</v>
      </c>
      <c r="M477">
        <v>31.29</v>
      </c>
    </row>
    <row r="478" spans="5:13" x14ac:dyDescent="0.15">
      <c r="E478" s="12">
        <v>482</v>
      </c>
      <c r="F478" s="11" t="s">
        <v>649</v>
      </c>
      <c r="G478" t="s">
        <v>1683</v>
      </c>
      <c r="H478" t="s">
        <v>1659</v>
      </c>
      <c r="I478">
        <v>-13.47</v>
      </c>
      <c r="J478">
        <v>0.08</v>
      </c>
      <c r="K478">
        <v>90.15</v>
      </c>
      <c r="L478">
        <v>45.77</v>
      </c>
      <c r="M478">
        <v>44.38</v>
      </c>
    </row>
    <row r="479" spans="5:13" x14ac:dyDescent="0.15">
      <c r="E479" s="12">
        <v>483</v>
      </c>
      <c r="F479" s="11" t="s">
        <v>680</v>
      </c>
      <c r="G479" t="s">
        <v>1684</v>
      </c>
      <c r="H479" t="s">
        <v>1659</v>
      </c>
      <c r="I479">
        <v>-9.49</v>
      </c>
      <c r="J479">
        <v>0.3</v>
      </c>
      <c r="K479">
        <v>90.15</v>
      </c>
      <c r="L479">
        <v>60.72</v>
      </c>
      <c r="M479">
        <v>29.43</v>
      </c>
    </row>
    <row r="480" spans="5:13" x14ac:dyDescent="0.15">
      <c r="E480" s="12">
        <v>484</v>
      </c>
      <c r="F480" s="11" t="s">
        <v>1088</v>
      </c>
      <c r="G480" t="s">
        <v>1685</v>
      </c>
      <c r="H480" t="s">
        <v>1686</v>
      </c>
      <c r="I480">
        <v>-4.83</v>
      </c>
      <c r="J480">
        <v>1.18</v>
      </c>
      <c r="K480">
        <v>89.92</v>
      </c>
      <c r="L480">
        <v>81.92</v>
      </c>
      <c r="M480">
        <v>8</v>
      </c>
    </row>
    <row r="481" spans="5:13" x14ac:dyDescent="0.15">
      <c r="E481" s="12">
        <v>485</v>
      </c>
      <c r="F481" s="11" t="s">
        <v>1090</v>
      </c>
      <c r="G481" t="s">
        <v>1685</v>
      </c>
      <c r="H481" t="s">
        <v>1686</v>
      </c>
      <c r="I481">
        <v>-6.38</v>
      </c>
      <c r="J481">
        <v>0.7</v>
      </c>
      <c r="K481">
        <v>89.92</v>
      </c>
      <c r="L481">
        <v>74.28</v>
      </c>
      <c r="M481">
        <v>15.64</v>
      </c>
    </row>
    <row r="482" spans="5:13" x14ac:dyDescent="0.15">
      <c r="E482" s="12">
        <v>486</v>
      </c>
      <c r="F482" s="11" t="s">
        <v>1089</v>
      </c>
      <c r="G482" t="s">
        <v>1687</v>
      </c>
      <c r="H482" t="s">
        <v>1686</v>
      </c>
      <c r="I482">
        <v>-6.34</v>
      </c>
      <c r="J482">
        <v>0.75</v>
      </c>
      <c r="K482">
        <v>89.34</v>
      </c>
      <c r="L482">
        <v>75.2</v>
      </c>
      <c r="M482">
        <v>14.14</v>
      </c>
    </row>
    <row r="483" spans="5:13" x14ac:dyDescent="0.15">
      <c r="E483" s="12">
        <v>487</v>
      </c>
      <c r="F483" s="11" t="s">
        <v>1027</v>
      </c>
      <c r="G483" t="s">
        <v>1688</v>
      </c>
      <c r="H483" t="s">
        <v>1686</v>
      </c>
      <c r="I483">
        <v>-7.78</v>
      </c>
      <c r="J483">
        <v>0.48</v>
      </c>
      <c r="K483">
        <v>89.11</v>
      </c>
      <c r="L483">
        <v>68.25</v>
      </c>
      <c r="M483">
        <v>20.86</v>
      </c>
    </row>
    <row r="484" spans="5:13" x14ac:dyDescent="0.15">
      <c r="E484" s="12">
        <v>488</v>
      </c>
      <c r="F484" s="11" t="s">
        <v>1102</v>
      </c>
      <c r="G484" t="s">
        <v>1689</v>
      </c>
      <c r="H484" t="s">
        <v>1686</v>
      </c>
      <c r="I484">
        <v>-10.130000000000001</v>
      </c>
      <c r="J484">
        <v>0.28000000000000003</v>
      </c>
      <c r="K484">
        <v>89.11</v>
      </c>
      <c r="L484">
        <v>58.29</v>
      </c>
      <c r="M484">
        <v>30.82</v>
      </c>
    </row>
    <row r="485" spans="5:13" x14ac:dyDescent="0.15">
      <c r="E485" s="12">
        <v>489</v>
      </c>
      <c r="F485" s="11" t="s">
        <v>1093</v>
      </c>
      <c r="G485" t="s">
        <v>1690</v>
      </c>
      <c r="H485" t="s">
        <v>1686</v>
      </c>
      <c r="I485">
        <v>-18.11</v>
      </c>
      <c r="J485">
        <v>-0.13</v>
      </c>
      <c r="K485">
        <v>89.1</v>
      </c>
      <c r="L485">
        <v>30.24</v>
      </c>
      <c r="M485">
        <v>58.86</v>
      </c>
    </row>
    <row r="486" spans="5:13" x14ac:dyDescent="0.15">
      <c r="E486" s="12">
        <v>490</v>
      </c>
      <c r="F486" s="11" t="s">
        <v>1083</v>
      </c>
      <c r="G486" t="s">
        <v>1691</v>
      </c>
      <c r="H486" t="s">
        <v>1686</v>
      </c>
      <c r="I486">
        <v>-12.52</v>
      </c>
      <c r="J486">
        <v>0.14000000000000001</v>
      </c>
      <c r="K486">
        <v>88.53</v>
      </c>
      <c r="L486">
        <v>47.97</v>
      </c>
      <c r="M486">
        <v>40.56</v>
      </c>
    </row>
    <row r="487" spans="5:13" x14ac:dyDescent="0.15">
      <c r="E487" s="12">
        <v>491</v>
      </c>
      <c r="F487" s="11" t="s">
        <v>1095</v>
      </c>
      <c r="G487" t="s">
        <v>1692</v>
      </c>
      <c r="H487" t="s">
        <v>1686</v>
      </c>
      <c r="I487">
        <v>-14.29</v>
      </c>
      <c r="J487">
        <v>0.03</v>
      </c>
      <c r="K487">
        <v>88.53</v>
      </c>
      <c r="L487">
        <v>43.34</v>
      </c>
      <c r="M487">
        <v>45.19</v>
      </c>
    </row>
    <row r="488" spans="5:13" x14ac:dyDescent="0.15">
      <c r="E488" s="12">
        <v>492</v>
      </c>
      <c r="F488" s="11" t="s">
        <v>1103</v>
      </c>
      <c r="G488" t="s">
        <v>1693</v>
      </c>
      <c r="H488" t="s">
        <v>1686</v>
      </c>
      <c r="I488">
        <v>-11.36</v>
      </c>
      <c r="J488">
        <v>0.2</v>
      </c>
      <c r="K488">
        <v>88.41</v>
      </c>
      <c r="L488">
        <v>52.49</v>
      </c>
      <c r="M488">
        <v>35.92</v>
      </c>
    </row>
    <row r="489" spans="5:13" x14ac:dyDescent="0.15">
      <c r="E489" s="12">
        <v>493</v>
      </c>
      <c r="F489" s="11" t="s">
        <v>1094</v>
      </c>
      <c r="G489" t="s">
        <v>1694</v>
      </c>
      <c r="H489" t="s">
        <v>1686</v>
      </c>
      <c r="I489">
        <v>-16.829999999999998</v>
      </c>
      <c r="J489">
        <v>-0.01</v>
      </c>
      <c r="K489">
        <v>88.41</v>
      </c>
      <c r="L489">
        <v>33.72</v>
      </c>
      <c r="M489">
        <v>54.69</v>
      </c>
    </row>
    <row r="490" spans="5:13" x14ac:dyDescent="0.15">
      <c r="E490" s="12">
        <v>494</v>
      </c>
      <c r="F490" s="11" t="s">
        <v>968</v>
      </c>
      <c r="G490" t="s">
        <v>1695</v>
      </c>
      <c r="H490" t="s">
        <v>1686</v>
      </c>
      <c r="I490">
        <v>-13.04</v>
      </c>
      <c r="J490">
        <v>0.13</v>
      </c>
      <c r="K490">
        <v>87.95</v>
      </c>
      <c r="L490">
        <v>46.81</v>
      </c>
      <c r="M490">
        <v>41.14</v>
      </c>
    </row>
    <row r="491" spans="5:13" x14ac:dyDescent="0.15">
      <c r="E491" s="12">
        <v>495</v>
      </c>
      <c r="F491" s="11" t="s">
        <v>766</v>
      </c>
      <c r="G491" t="s">
        <v>1696</v>
      </c>
      <c r="H491" t="s">
        <v>1686</v>
      </c>
      <c r="I491">
        <v>-15.3</v>
      </c>
      <c r="J491">
        <v>0</v>
      </c>
      <c r="K491">
        <v>87.84</v>
      </c>
      <c r="L491">
        <v>38.82</v>
      </c>
      <c r="M491">
        <v>49.02</v>
      </c>
    </row>
    <row r="492" spans="5:13" x14ac:dyDescent="0.15">
      <c r="E492" s="12">
        <v>496</v>
      </c>
      <c r="F492" s="11" t="s">
        <v>1092</v>
      </c>
      <c r="G492" t="s">
        <v>1697</v>
      </c>
      <c r="H492" t="s">
        <v>1686</v>
      </c>
      <c r="I492">
        <v>-11.03</v>
      </c>
      <c r="J492">
        <v>0.22</v>
      </c>
      <c r="K492">
        <v>87.72</v>
      </c>
      <c r="L492">
        <v>54</v>
      </c>
      <c r="M492">
        <v>33.72</v>
      </c>
    </row>
    <row r="493" spans="5:13" x14ac:dyDescent="0.15">
      <c r="E493" s="12">
        <v>497</v>
      </c>
      <c r="F493" s="11" t="s">
        <v>1104</v>
      </c>
      <c r="G493" t="s">
        <v>1695</v>
      </c>
      <c r="H493" t="s">
        <v>1686</v>
      </c>
      <c r="I493">
        <v>-8.08</v>
      </c>
      <c r="J493">
        <v>0.52</v>
      </c>
      <c r="K493">
        <v>87.26</v>
      </c>
      <c r="L493">
        <v>66.98</v>
      </c>
      <c r="M493">
        <v>20.28</v>
      </c>
    </row>
    <row r="494" spans="5:13" x14ac:dyDescent="0.15">
      <c r="E494" s="12">
        <v>498</v>
      </c>
      <c r="F494" s="11" t="s">
        <v>1022</v>
      </c>
      <c r="G494" t="s">
        <v>1698</v>
      </c>
      <c r="H494" t="s">
        <v>1686</v>
      </c>
      <c r="I494">
        <v>-11.5</v>
      </c>
      <c r="J494">
        <v>0.2</v>
      </c>
      <c r="K494">
        <v>87.25</v>
      </c>
      <c r="L494">
        <v>51.91</v>
      </c>
      <c r="M494">
        <v>35.340000000000003</v>
      </c>
    </row>
    <row r="495" spans="5:13" x14ac:dyDescent="0.15">
      <c r="E495" s="12">
        <v>499</v>
      </c>
      <c r="F495" s="11" t="s">
        <v>1097</v>
      </c>
      <c r="G495" t="s">
        <v>1699</v>
      </c>
      <c r="H495" t="s">
        <v>1686</v>
      </c>
      <c r="I495">
        <v>-16.04</v>
      </c>
      <c r="J495">
        <v>0</v>
      </c>
      <c r="K495">
        <v>87.139999999999986</v>
      </c>
      <c r="L495">
        <v>36.729999999999997</v>
      </c>
      <c r="M495">
        <v>50.41</v>
      </c>
    </row>
    <row r="496" spans="5:13" x14ac:dyDescent="0.15">
      <c r="E496" s="12">
        <v>500</v>
      </c>
      <c r="F496" s="11" t="s">
        <v>1101</v>
      </c>
      <c r="G496" t="s">
        <v>1700</v>
      </c>
      <c r="H496" t="s">
        <v>1686</v>
      </c>
      <c r="I496">
        <v>-21.44</v>
      </c>
      <c r="J496">
        <v>-0.47</v>
      </c>
      <c r="K496">
        <v>87.13</v>
      </c>
      <c r="L496">
        <v>17.03</v>
      </c>
      <c r="M496">
        <v>70.099999999999994</v>
      </c>
    </row>
    <row r="497" spans="5:13" x14ac:dyDescent="0.15">
      <c r="E497" s="12">
        <v>501</v>
      </c>
      <c r="F497" s="11" t="s">
        <v>925</v>
      </c>
      <c r="G497" t="s">
        <v>1698</v>
      </c>
      <c r="H497" t="s">
        <v>1686</v>
      </c>
      <c r="I497">
        <v>-7.61</v>
      </c>
      <c r="J497">
        <v>0.62</v>
      </c>
      <c r="K497">
        <v>87.13</v>
      </c>
      <c r="L497">
        <v>69.52</v>
      </c>
      <c r="M497">
        <v>17.61</v>
      </c>
    </row>
    <row r="498" spans="5:13" x14ac:dyDescent="0.15">
      <c r="E498" s="12">
        <v>502</v>
      </c>
      <c r="F498" s="11" t="s">
        <v>1091</v>
      </c>
      <c r="G498" t="s">
        <v>1701</v>
      </c>
      <c r="H498" t="s">
        <v>1686</v>
      </c>
      <c r="I498">
        <v>-12</v>
      </c>
      <c r="J498">
        <v>0.18</v>
      </c>
      <c r="K498">
        <v>87.03</v>
      </c>
      <c r="L498">
        <v>50.41</v>
      </c>
      <c r="M498">
        <v>36.619999999999997</v>
      </c>
    </row>
    <row r="499" spans="5:13" x14ac:dyDescent="0.15">
      <c r="E499" s="12">
        <v>503</v>
      </c>
      <c r="F499" s="11" t="s">
        <v>1106</v>
      </c>
      <c r="G499" t="s">
        <v>1702</v>
      </c>
      <c r="H499" t="s">
        <v>1703</v>
      </c>
      <c r="I499">
        <v>-16.670000000000002</v>
      </c>
      <c r="J499">
        <v>0</v>
      </c>
      <c r="K499">
        <v>86.33</v>
      </c>
      <c r="L499">
        <v>34.299999999999997</v>
      </c>
      <c r="M499">
        <v>52.03</v>
      </c>
    </row>
    <row r="500" spans="5:13" x14ac:dyDescent="0.15">
      <c r="E500" s="12">
        <v>504</v>
      </c>
      <c r="F500" s="11" t="s">
        <v>441</v>
      </c>
      <c r="G500" t="s">
        <v>131</v>
      </c>
      <c r="H500" t="s">
        <v>1703</v>
      </c>
      <c r="I500">
        <v>-19.399999999999999</v>
      </c>
      <c r="J500">
        <v>-0.16</v>
      </c>
      <c r="K500">
        <v>85.97999999999999</v>
      </c>
      <c r="L500">
        <v>24.57</v>
      </c>
      <c r="M500">
        <v>61.41</v>
      </c>
    </row>
    <row r="501" spans="5:13" x14ac:dyDescent="0.15">
      <c r="E501" s="12">
        <v>505</v>
      </c>
      <c r="F501" s="11" t="s">
        <v>803</v>
      </c>
      <c r="G501" t="s">
        <v>1704</v>
      </c>
      <c r="H501" t="s">
        <v>1703</v>
      </c>
      <c r="I501">
        <v>-13.52</v>
      </c>
      <c r="J501">
        <v>0.14000000000000001</v>
      </c>
      <c r="K501">
        <v>85.740000000000009</v>
      </c>
      <c r="L501">
        <v>45.42</v>
      </c>
      <c r="M501">
        <v>40.32</v>
      </c>
    </row>
    <row r="502" spans="5:13" x14ac:dyDescent="0.15">
      <c r="E502" s="12">
        <v>506</v>
      </c>
      <c r="F502" s="11" t="s">
        <v>443</v>
      </c>
      <c r="G502" t="s">
        <v>129</v>
      </c>
      <c r="H502" t="s">
        <v>1703</v>
      </c>
      <c r="I502">
        <v>-16.27</v>
      </c>
      <c r="J502">
        <v>0</v>
      </c>
      <c r="K502">
        <v>85.51</v>
      </c>
      <c r="L502">
        <v>35.92</v>
      </c>
      <c r="M502">
        <v>49.59</v>
      </c>
    </row>
    <row r="503" spans="5:13" x14ac:dyDescent="0.15">
      <c r="E503" s="12">
        <v>507</v>
      </c>
      <c r="F503" s="11" t="s">
        <v>1099</v>
      </c>
      <c r="G503" t="s">
        <v>1705</v>
      </c>
      <c r="H503" t="s">
        <v>1703</v>
      </c>
      <c r="I503">
        <v>-18.100000000000001</v>
      </c>
      <c r="J503">
        <v>-0.01</v>
      </c>
      <c r="K503">
        <v>85.4</v>
      </c>
      <c r="L503">
        <v>30.36</v>
      </c>
      <c r="M503">
        <v>55.04</v>
      </c>
    </row>
    <row r="504" spans="5:13" x14ac:dyDescent="0.15">
      <c r="E504" s="12">
        <v>508</v>
      </c>
      <c r="F504" s="11" t="s">
        <v>444</v>
      </c>
      <c r="G504" t="s">
        <v>1706</v>
      </c>
      <c r="H504" t="s">
        <v>1703</v>
      </c>
      <c r="I504">
        <v>-17.899999999999999</v>
      </c>
      <c r="J504">
        <v>0</v>
      </c>
      <c r="K504">
        <v>85.06</v>
      </c>
      <c r="L504">
        <v>31.29</v>
      </c>
      <c r="M504">
        <v>53.77</v>
      </c>
    </row>
    <row r="505" spans="5:13" x14ac:dyDescent="0.15">
      <c r="E505" s="12">
        <v>509</v>
      </c>
      <c r="F505" s="11" t="s">
        <v>442</v>
      </c>
      <c r="G505" t="s">
        <v>90</v>
      </c>
      <c r="H505" t="s">
        <v>1703</v>
      </c>
      <c r="I505">
        <v>-8.27</v>
      </c>
      <c r="J505">
        <v>0.59</v>
      </c>
      <c r="K505">
        <v>85.06</v>
      </c>
      <c r="L505">
        <v>66.400000000000006</v>
      </c>
      <c r="M505">
        <v>18.66</v>
      </c>
    </row>
    <row r="506" spans="5:13" x14ac:dyDescent="0.15">
      <c r="E506" s="12">
        <v>510</v>
      </c>
      <c r="F506" s="11" t="s">
        <v>1100</v>
      </c>
      <c r="G506" t="s">
        <v>1707</v>
      </c>
      <c r="H506" t="s">
        <v>1703</v>
      </c>
      <c r="I506">
        <v>-5.19</v>
      </c>
      <c r="J506">
        <v>2.0699999999999998</v>
      </c>
      <c r="K506">
        <v>85.06</v>
      </c>
      <c r="L506">
        <v>81</v>
      </c>
      <c r="M506">
        <v>4.0599999999999996</v>
      </c>
    </row>
    <row r="507" spans="5:13" x14ac:dyDescent="0.15">
      <c r="E507" s="12">
        <v>511</v>
      </c>
      <c r="F507" s="11" t="s">
        <v>1107</v>
      </c>
      <c r="G507" t="s">
        <v>1708</v>
      </c>
      <c r="H507" t="s">
        <v>1703</v>
      </c>
      <c r="I507">
        <v>-21.27</v>
      </c>
      <c r="J507">
        <v>-0.33</v>
      </c>
      <c r="K507">
        <v>85.05</v>
      </c>
      <c r="L507">
        <v>17.73</v>
      </c>
      <c r="M507">
        <v>67.319999999999993</v>
      </c>
    </row>
    <row r="508" spans="5:13" x14ac:dyDescent="0.15">
      <c r="E508" s="12">
        <v>512</v>
      </c>
      <c r="F508" s="11" t="s">
        <v>1098</v>
      </c>
      <c r="G508" t="s">
        <v>27</v>
      </c>
      <c r="H508" t="s">
        <v>1703</v>
      </c>
      <c r="I508">
        <v>-15.98</v>
      </c>
      <c r="J508">
        <v>0</v>
      </c>
      <c r="K508">
        <v>85.05</v>
      </c>
      <c r="L508">
        <v>37.08</v>
      </c>
      <c r="M508">
        <v>47.97</v>
      </c>
    </row>
    <row r="509" spans="5:13" x14ac:dyDescent="0.15">
      <c r="E509" s="12">
        <v>513</v>
      </c>
      <c r="F509" s="11" t="s">
        <v>1108</v>
      </c>
      <c r="G509" t="s">
        <v>16</v>
      </c>
      <c r="H509" t="s">
        <v>1703</v>
      </c>
      <c r="I509">
        <v>-20.78</v>
      </c>
      <c r="J509">
        <v>-0.23</v>
      </c>
      <c r="K509">
        <v>84.47</v>
      </c>
      <c r="L509">
        <v>20.16</v>
      </c>
      <c r="M509">
        <v>64.31</v>
      </c>
    </row>
    <row r="510" spans="5:13" x14ac:dyDescent="0.15">
      <c r="E510" s="12">
        <v>514</v>
      </c>
      <c r="F510" s="11" t="s">
        <v>552</v>
      </c>
      <c r="G510" t="s">
        <v>1709</v>
      </c>
      <c r="H510" t="s">
        <v>1703</v>
      </c>
      <c r="I510">
        <v>-9.2100000000000009</v>
      </c>
      <c r="J510">
        <v>0.45</v>
      </c>
      <c r="K510">
        <v>84.24</v>
      </c>
      <c r="L510">
        <v>62.11</v>
      </c>
      <c r="M510">
        <v>22.13</v>
      </c>
    </row>
    <row r="511" spans="5:13" x14ac:dyDescent="0.15">
      <c r="E511" s="12">
        <v>515</v>
      </c>
      <c r="F511" s="11" t="s">
        <v>773</v>
      </c>
      <c r="G511" t="s">
        <v>133</v>
      </c>
      <c r="H511" t="s">
        <v>1703</v>
      </c>
      <c r="I511">
        <v>-13.08</v>
      </c>
      <c r="J511">
        <v>0.18</v>
      </c>
      <c r="K511">
        <v>84.12</v>
      </c>
      <c r="L511">
        <v>46.58</v>
      </c>
      <c r="M511">
        <v>37.54</v>
      </c>
    </row>
    <row r="512" spans="5:13" x14ac:dyDescent="0.15">
      <c r="E512" s="12">
        <v>516</v>
      </c>
      <c r="F512" s="11" t="s">
        <v>1710</v>
      </c>
      <c r="G512" t="s">
        <v>1711</v>
      </c>
      <c r="H512" t="s">
        <v>1712</v>
      </c>
      <c r="I512">
        <v>-11.43</v>
      </c>
      <c r="J512">
        <v>0.27</v>
      </c>
      <c r="K512">
        <v>83.66</v>
      </c>
      <c r="L512">
        <v>52.26</v>
      </c>
      <c r="M512">
        <v>31.4</v>
      </c>
    </row>
    <row r="513" spans="5:13" x14ac:dyDescent="0.15">
      <c r="E513" s="12">
        <v>517</v>
      </c>
      <c r="F513" s="11" t="s">
        <v>1713</v>
      </c>
      <c r="G513" t="s">
        <v>1714</v>
      </c>
      <c r="H513" t="s">
        <v>1712</v>
      </c>
      <c r="I513">
        <v>-7.95</v>
      </c>
      <c r="J513">
        <v>0.66</v>
      </c>
      <c r="K513">
        <v>83.66</v>
      </c>
      <c r="L513">
        <v>67.319999999999993</v>
      </c>
      <c r="M513">
        <v>16.34</v>
      </c>
    </row>
    <row r="514" spans="5:13" x14ac:dyDescent="0.15">
      <c r="E514" s="12">
        <v>518</v>
      </c>
      <c r="F514" s="11" t="s">
        <v>1715</v>
      </c>
      <c r="G514" t="s">
        <v>1716</v>
      </c>
      <c r="H514" t="s">
        <v>1712</v>
      </c>
      <c r="I514">
        <v>-6.43</v>
      </c>
      <c r="J514">
        <v>1.06</v>
      </c>
      <c r="K514">
        <v>83.55</v>
      </c>
      <c r="L514">
        <v>73.58</v>
      </c>
      <c r="M514">
        <v>9.9700000000000006</v>
      </c>
    </row>
    <row r="515" spans="5:13" x14ac:dyDescent="0.15">
      <c r="E515" s="12">
        <v>519</v>
      </c>
      <c r="F515" s="11" t="s">
        <v>1717</v>
      </c>
      <c r="G515" t="s">
        <v>1718</v>
      </c>
      <c r="H515" t="s">
        <v>1712</v>
      </c>
      <c r="I515">
        <v>-9.01</v>
      </c>
      <c r="J515">
        <v>0.52</v>
      </c>
      <c r="K515">
        <v>83.539999999999992</v>
      </c>
      <c r="L515">
        <v>63.15</v>
      </c>
      <c r="M515">
        <v>20.39</v>
      </c>
    </row>
    <row r="516" spans="5:13" x14ac:dyDescent="0.15">
      <c r="E516" s="12">
        <v>520</v>
      </c>
      <c r="F516" s="11" t="s">
        <v>1719</v>
      </c>
      <c r="G516" t="s">
        <v>1720</v>
      </c>
      <c r="H516" t="s">
        <v>1712</v>
      </c>
      <c r="I516">
        <v>-6.18</v>
      </c>
      <c r="J516">
        <v>1.29</v>
      </c>
      <c r="K516">
        <v>83.429999999999993</v>
      </c>
      <c r="L516">
        <v>76.94</v>
      </c>
      <c r="M516">
        <v>6.49</v>
      </c>
    </row>
    <row r="517" spans="5:13" x14ac:dyDescent="0.15">
      <c r="E517" s="12">
        <v>521</v>
      </c>
      <c r="F517" s="11" t="s">
        <v>1721</v>
      </c>
      <c r="G517" t="s">
        <v>1722</v>
      </c>
      <c r="H517" t="s">
        <v>1712</v>
      </c>
      <c r="I517">
        <v>-21.73</v>
      </c>
      <c r="J517">
        <v>-0.41</v>
      </c>
      <c r="K517">
        <v>83.2</v>
      </c>
      <c r="L517">
        <v>14.14</v>
      </c>
      <c r="M517">
        <v>69.06</v>
      </c>
    </row>
    <row r="518" spans="5:13" x14ac:dyDescent="0.15">
      <c r="E518" s="12">
        <v>522</v>
      </c>
      <c r="F518" s="11" t="s">
        <v>1723</v>
      </c>
      <c r="G518" t="s">
        <v>1724</v>
      </c>
      <c r="H518" t="s">
        <v>1712</v>
      </c>
      <c r="I518">
        <v>-16.97</v>
      </c>
      <c r="J518">
        <v>0</v>
      </c>
      <c r="K518">
        <v>83.199999999999989</v>
      </c>
      <c r="L518">
        <v>33.369999999999997</v>
      </c>
      <c r="M518">
        <v>49.83</v>
      </c>
    </row>
    <row r="519" spans="5:13" x14ac:dyDescent="0.15">
      <c r="E519" s="12">
        <v>523</v>
      </c>
      <c r="F519" s="11" t="s">
        <v>1725</v>
      </c>
      <c r="G519" t="s">
        <v>1726</v>
      </c>
      <c r="H519" t="s">
        <v>1712</v>
      </c>
      <c r="I519">
        <v>-10.210000000000001</v>
      </c>
      <c r="J519">
        <v>0.36</v>
      </c>
      <c r="K519">
        <v>82.85</v>
      </c>
      <c r="L519">
        <v>56.66</v>
      </c>
      <c r="M519">
        <v>26.19</v>
      </c>
    </row>
    <row r="520" spans="5:13" x14ac:dyDescent="0.15">
      <c r="E520" s="12">
        <v>524</v>
      </c>
      <c r="F520" s="11" t="s">
        <v>1727</v>
      </c>
      <c r="G520" t="s">
        <v>1728</v>
      </c>
      <c r="H520" t="s">
        <v>1712</v>
      </c>
      <c r="I520">
        <v>-21.61</v>
      </c>
      <c r="J520">
        <v>-0.33</v>
      </c>
      <c r="K520">
        <v>82.74</v>
      </c>
      <c r="L520">
        <v>15.3</v>
      </c>
      <c r="M520">
        <v>67.44</v>
      </c>
    </row>
    <row r="521" spans="5:13" x14ac:dyDescent="0.15">
      <c r="E521" s="12">
        <v>525</v>
      </c>
      <c r="F521" s="11" t="s">
        <v>1729</v>
      </c>
      <c r="G521" t="s">
        <v>1730</v>
      </c>
      <c r="H521" t="s">
        <v>1712</v>
      </c>
      <c r="I521">
        <v>-16.09</v>
      </c>
      <c r="J521">
        <v>0</v>
      </c>
      <c r="K521">
        <v>82.5</v>
      </c>
      <c r="L521">
        <v>36.380000000000003</v>
      </c>
      <c r="M521">
        <v>46.12</v>
      </c>
    </row>
    <row r="522" spans="5:13" x14ac:dyDescent="0.15">
      <c r="E522" s="12">
        <v>526</v>
      </c>
      <c r="F522" s="11" t="s">
        <v>1731</v>
      </c>
      <c r="G522" t="s">
        <v>1732</v>
      </c>
      <c r="H522" t="s">
        <v>1712</v>
      </c>
      <c r="I522">
        <v>-21.66</v>
      </c>
      <c r="J522">
        <v>-0.33</v>
      </c>
      <c r="K522">
        <v>82.39</v>
      </c>
      <c r="L522">
        <v>14.83</v>
      </c>
      <c r="M522">
        <v>67.56</v>
      </c>
    </row>
    <row r="523" spans="5:13" x14ac:dyDescent="0.15">
      <c r="E523" s="12">
        <v>527</v>
      </c>
      <c r="F523" s="11" t="s">
        <v>1733</v>
      </c>
      <c r="G523" t="s">
        <v>1734</v>
      </c>
      <c r="H523" t="s">
        <v>1712</v>
      </c>
      <c r="I523">
        <v>-5.89</v>
      </c>
      <c r="J523">
        <v>2.46</v>
      </c>
      <c r="K523">
        <v>82.15</v>
      </c>
      <c r="L523">
        <v>78.790000000000006</v>
      </c>
      <c r="M523">
        <v>3.36</v>
      </c>
    </row>
    <row r="524" spans="5:13" x14ac:dyDescent="0.15">
      <c r="E524" s="12">
        <v>528</v>
      </c>
      <c r="F524" s="11" t="s">
        <v>572</v>
      </c>
      <c r="G524" t="s">
        <v>1735</v>
      </c>
      <c r="H524" t="s">
        <v>1736</v>
      </c>
      <c r="I524">
        <v>-15.26</v>
      </c>
      <c r="J524">
        <v>0.12</v>
      </c>
      <c r="K524">
        <v>81.569999999999993</v>
      </c>
      <c r="L524">
        <v>39.28</v>
      </c>
      <c r="M524">
        <v>42.29</v>
      </c>
    </row>
    <row r="525" spans="5:13" x14ac:dyDescent="0.15">
      <c r="E525" s="12">
        <v>529</v>
      </c>
      <c r="F525" s="11" t="s">
        <v>532</v>
      </c>
      <c r="G525" t="s">
        <v>414</v>
      </c>
      <c r="H525" t="s">
        <v>1736</v>
      </c>
      <c r="I525">
        <v>-10.24</v>
      </c>
      <c r="J525">
        <v>0.38</v>
      </c>
      <c r="K525">
        <v>81.460000000000008</v>
      </c>
      <c r="L525">
        <v>56.32</v>
      </c>
      <c r="M525">
        <v>25.14</v>
      </c>
    </row>
    <row r="526" spans="5:13" x14ac:dyDescent="0.15">
      <c r="E526" s="12">
        <v>530</v>
      </c>
      <c r="F526" s="11" t="s">
        <v>978</v>
      </c>
      <c r="G526" t="s">
        <v>383</v>
      </c>
      <c r="H526" t="s">
        <v>1736</v>
      </c>
      <c r="I526">
        <v>-19.670000000000002</v>
      </c>
      <c r="J526">
        <v>-0.12</v>
      </c>
      <c r="K526">
        <v>81.459999999999994</v>
      </c>
      <c r="L526">
        <v>23.41</v>
      </c>
      <c r="M526">
        <v>58.05</v>
      </c>
    </row>
    <row r="527" spans="5:13" x14ac:dyDescent="0.15">
      <c r="E527" s="12">
        <v>531</v>
      </c>
      <c r="F527" s="11" t="s">
        <v>778</v>
      </c>
      <c r="G527" t="s">
        <v>151</v>
      </c>
      <c r="H527" t="s">
        <v>1736</v>
      </c>
      <c r="I527">
        <v>-6.24</v>
      </c>
      <c r="J527">
        <v>1.92</v>
      </c>
      <c r="K527">
        <v>81.11</v>
      </c>
      <c r="L527">
        <v>76.709999999999994</v>
      </c>
      <c r="M527">
        <v>4.4000000000000004</v>
      </c>
    </row>
    <row r="528" spans="5:13" x14ac:dyDescent="0.15">
      <c r="E528" s="12">
        <v>532</v>
      </c>
      <c r="F528" s="11" t="s">
        <v>613</v>
      </c>
      <c r="G528" t="s">
        <v>1737</v>
      </c>
      <c r="H528" t="s">
        <v>1736</v>
      </c>
      <c r="I528">
        <v>-6.67</v>
      </c>
      <c r="J528">
        <v>1.1399999999999999</v>
      </c>
      <c r="K528">
        <v>81.11</v>
      </c>
      <c r="L528">
        <v>72.77</v>
      </c>
      <c r="M528">
        <v>8.34</v>
      </c>
    </row>
    <row r="529" spans="5:13" x14ac:dyDescent="0.15">
      <c r="E529" s="12">
        <v>533</v>
      </c>
      <c r="F529" s="11" t="s">
        <v>655</v>
      </c>
      <c r="G529" t="s">
        <v>378</v>
      </c>
      <c r="H529" t="s">
        <v>1736</v>
      </c>
      <c r="I529">
        <v>-8.0299999999999994</v>
      </c>
      <c r="J529">
        <v>0.77</v>
      </c>
      <c r="K529">
        <v>81.11</v>
      </c>
      <c r="L529">
        <v>67.209999999999994</v>
      </c>
      <c r="M529">
        <v>13.9</v>
      </c>
    </row>
    <row r="530" spans="5:13" x14ac:dyDescent="0.15">
      <c r="E530" s="12">
        <v>534</v>
      </c>
      <c r="F530" s="11" t="s">
        <v>1738</v>
      </c>
      <c r="G530" t="s">
        <v>1739</v>
      </c>
      <c r="H530" t="s">
        <v>1736</v>
      </c>
      <c r="I530">
        <v>-9.7799999999999994</v>
      </c>
      <c r="J530">
        <v>0.47</v>
      </c>
      <c r="K530">
        <v>80.88</v>
      </c>
      <c r="L530">
        <v>59.79</v>
      </c>
      <c r="M530">
        <v>21.09</v>
      </c>
    </row>
    <row r="531" spans="5:13" x14ac:dyDescent="0.15">
      <c r="E531" s="12">
        <v>535</v>
      </c>
      <c r="F531" s="11" t="s">
        <v>598</v>
      </c>
      <c r="G531" t="s">
        <v>415</v>
      </c>
      <c r="H531" t="s">
        <v>1736</v>
      </c>
      <c r="I531">
        <v>-6.4</v>
      </c>
      <c r="J531">
        <v>1.28</v>
      </c>
      <c r="K531">
        <v>80.759999999999991</v>
      </c>
      <c r="L531">
        <v>74.16</v>
      </c>
      <c r="M531">
        <v>6.6</v>
      </c>
    </row>
    <row r="532" spans="5:13" x14ac:dyDescent="0.15">
      <c r="E532" s="12">
        <v>536</v>
      </c>
      <c r="F532" s="11" t="s">
        <v>723</v>
      </c>
      <c r="G532" t="s">
        <v>1740</v>
      </c>
      <c r="H532" t="s">
        <v>1736</v>
      </c>
      <c r="I532">
        <v>-7.58</v>
      </c>
      <c r="J532">
        <v>0.98</v>
      </c>
      <c r="K532">
        <v>80.649999999999991</v>
      </c>
      <c r="L532">
        <v>69.989999999999995</v>
      </c>
      <c r="M532">
        <v>10.66</v>
      </c>
    </row>
    <row r="533" spans="5:13" x14ac:dyDescent="0.15">
      <c r="E533" s="12">
        <v>537</v>
      </c>
      <c r="F533" s="11" t="s">
        <v>1741</v>
      </c>
      <c r="G533" t="s">
        <v>1742</v>
      </c>
      <c r="H533" t="s">
        <v>1736</v>
      </c>
      <c r="I533">
        <v>-6.41</v>
      </c>
      <c r="J533">
        <v>1.29</v>
      </c>
      <c r="K533">
        <v>80.300000000000011</v>
      </c>
      <c r="L533">
        <v>73.930000000000007</v>
      </c>
      <c r="M533">
        <v>6.37</v>
      </c>
    </row>
    <row r="534" spans="5:13" x14ac:dyDescent="0.15">
      <c r="E534" s="12">
        <v>538</v>
      </c>
      <c r="F534" s="11" t="s">
        <v>627</v>
      </c>
      <c r="G534" t="s">
        <v>393</v>
      </c>
      <c r="H534" t="s">
        <v>1736</v>
      </c>
      <c r="I534">
        <v>-19.61</v>
      </c>
      <c r="J534">
        <v>-0.08</v>
      </c>
      <c r="K534">
        <v>80.19</v>
      </c>
      <c r="L534">
        <v>23.87</v>
      </c>
      <c r="M534">
        <v>56.32</v>
      </c>
    </row>
    <row r="535" spans="5:13" x14ac:dyDescent="0.15">
      <c r="E535" s="12">
        <v>539</v>
      </c>
      <c r="F535" s="11" t="s">
        <v>534</v>
      </c>
      <c r="G535" t="s">
        <v>405</v>
      </c>
      <c r="H535" t="s">
        <v>1736</v>
      </c>
      <c r="I535">
        <v>-11.67</v>
      </c>
      <c r="J535">
        <v>0.31</v>
      </c>
      <c r="K535">
        <v>80.180000000000007</v>
      </c>
      <c r="L535">
        <v>51.56</v>
      </c>
      <c r="M535">
        <v>28.62</v>
      </c>
    </row>
    <row r="536" spans="5:13" x14ac:dyDescent="0.15">
      <c r="E536" s="12">
        <v>540</v>
      </c>
      <c r="F536" s="11" t="s">
        <v>1743</v>
      </c>
      <c r="G536" t="s">
        <v>1744</v>
      </c>
      <c r="H536" t="s">
        <v>1736</v>
      </c>
      <c r="I536">
        <v>-8.25</v>
      </c>
      <c r="J536">
        <v>0.79</v>
      </c>
      <c r="K536">
        <v>80.070000000000007</v>
      </c>
      <c r="L536">
        <v>66.510000000000005</v>
      </c>
      <c r="M536">
        <v>13.56</v>
      </c>
    </row>
    <row r="537" spans="5:13" x14ac:dyDescent="0.15">
      <c r="E537" s="12">
        <v>541</v>
      </c>
      <c r="F537" s="11" t="s">
        <v>922</v>
      </c>
      <c r="G537" t="s">
        <v>421</v>
      </c>
      <c r="H537" t="s">
        <v>1736</v>
      </c>
      <c r="I537">
        <v>-7.12</v>
      </c>
      <c r="J537">
        <v>1.1399999999999999</v>
      </c>
      <c r="K537">
        <v>79.95</v>
      </c>
      <c r="L537">
        <v>71.84</v>
      </c>
      <c r="M537">
        <v>8.11</v>
      </c>
    </row>
    <row r="538" spans="5:13" x14ac:dyDescent="0.15">
      <c r="E538" s="12">
        <v>542</v>
      </c>
      <c r="F538" s="11" t="s">
        <v>1745</v>
      </c>
      <c r="G538" t="s">
        <v>1746</v>
      </c>
      <c r="H538" t="s">
        <v>1736</v>
      </c>
      <c r="I538">
        <v>-18.39</v>
      </c>
      <c r="J538">
        <v>0</v>
      </c>
      <c r="K538">
        <v>79.949999999999989</v>
      </c>
      <c r="L538">
        <v>28.97</v>
      </c>
      <c r="M538">
        <v>50.98</v>
      </c>
    </row>
    <row r="539" spans="5:13" x14ac:dyDescent="0.15">
      <c r="E539" s="12">
        <v>543</v>
      </c>
      <c r="F539" s="11" t="s">
        <v>970</v>
      </c>
      <c r="G539" t="s">
        <v>419</v>
      </c>
      <c r="H539" t="s">
        <v>1736</v>
      </c>
      <c r="I539">
        <v>-8.67</v>
      </c>
      <c r="J539">
        <v>0.72</v>
      </c>
      <c r="K539">
        <v>79.61</v>
      </c>
      <c r="L539">
        <v>64.31</v>
      </c>
      <c r="M539">
        <v>15.3</v>
      </c>
    </row>
    <row r="540" spans="5:13" x14ac:dyDescent="0.15">
      <c r="E540" s="12">
        <v>544</v>
      </c>
      <c r="F540" s="11" t="s">
        <v>652</v>
      </c>
      <c r="G540" t="s">
        <v>1747</v>
      </c>
      <c r="H540" t="s">
        <v>1736</v>
      </c>
      <c r="I540">
        <v>-12.94</v>
      </c>
      <c r="J540">
        <v>0.25</v>
      </c>
      <c r="K540">
        <v>79.37</v>
      </c>
      <c r="L540">
        <v>46.93</v>
      </c>
      <c r="M540">
        <v>32.44</v>
      </c>
    </row>
    <row r="541" spans="5:13" x14ac:dyDescent="0.15">
      <c r="E541" s="12">
        <v>545</v>
      </c>
      <c r="F541" s="11" t="s">
        <v>888</v>
      </c>
      <c r="G541" t="s">
        <v>416</v>
      </c>
      <c r="H541" t="s">
        <v>1736</v>
      </c>
      <c r="I541">
        <v>-15.14</v>
      </c>
      <c r="J541">
        <v>0.16</v>
      </c>
      <c r="K541">
        <v>79.259999999999991</v>
      </c>
      <c r="L541">
        <v>39.979999999999997</v>
      </c>
      <c r="M541">
        <v>39.28</v>
      </c>
    </row>
    <row r="542" spans="5:13" x14ac:dyDescent="0.15">
      <c r="E542" s="12">
        <v>546</v>
      </c>
      <c r="F542" s="11" t="s">
        <v>1021</v>
      </c>
      <c r="G542" t="s">
        <v>417</v>
      </c>
      <c r="H542" t="s">
        <v>1736</v>
      </c>
      <c r="I542">
        <v>-11.92</v>
      </c>
      <c r="J542">
        <v>0.32</v>
      </c>
      <c r="K542">
        <v>78.8</v>
      </c>
      <c r="L542">
        <v>50.64</v>
      </c>
      <c r="M542">
        <v>28.16</v>
      </c>
    </row>
    <row r="543" spans="5:13" x14ac:dyDescent="0.15">
      <c r="E543" s="12">
        <v>547</v>
      </c>
      <c r="F543" s="11" t="s">
        <v>771</v>
      </c>
      <c r="G543" t="s">
        <v>1748</v>
      </c>
      <c r="H543" t="s">
        <v>1736</v>
      </c>
      <c r="I543">
        <v>-16.72</v>
      </c>
      <c r="J543">
        <v>7.0000000000000007E-2</v>
      </c>
      <c r="K543">
        <v>78.680000000000007</v>
      </c>
      <c r="L543">
        <v>34.07</v>
      </c>
      <c r="M543">
        <v>44.61</v>
      </c>
    </row>
    <row r="544" spans="5:13" x14ac:dyDescent="0.15">
      <c r="E544" s="12">
        <v>548</v>
      </c>
      <c r="F544" s="11" t="s">
        <v>707</v>
      </c>
      <c r="G544" t="s">
        <v>1749</v>
      </c>
      <c r="H544" t="s">
        <v>1736</v>
      </c>
      <c r="I544">
        <v>-6.45</v>
      </c>
      <c r="J544">
        <v>1.64</v>
      </c>
      <c r="K544">
        <v>78.669999999999987</v>
      </c>
      <c r="L544">
        <v>73.459999999999994</v>
      </c>
      <c r="M544">
        <v>5.21</v>
      </c>
    </row>
    <row r="545" spans="5:13" x14ac:dyDescent="0.15">
      <c r="E545" s="12">
        <v>549</v>
      </c>
      <c r="F545" s="11" t="s">
        <v>584</v>
      </c>
      <c r="G545" t="s">
        <v>399</v>
      </c>
      <c r="H545" t="s">
        <v>1736</v>
      </c>
      <c r="I545">
        <v>-21.48</v>
      </c>
      <c r="J545">
        <v>-0.16</v>
      </c>
      <c r="K545">
        <v>78.569999999999993</v>
      </c>
      <c r="L545">
        <v>16.920000000000002</v>
      </c>
      <c r="M545">
        <v>61.65</v>
      </c>
    </row>
    <row r="546" spans="5:13" x14ac:dyDescent="0.15">
      <c r="E546" s="12">
        <v>550</v>
      </c>
      <c r="F546" s="11" t="s">
        <v>1059</v>
      </c>
      <c r="G546" t="s">
        <v>411</v>
      </c>
      <c r="H546" t="s">
        <v>1736</v>
      </c>
      <c r="I546">
        <v>-15.07</v>
      </c>
      <c r="J546">
        <v>0.17</v>
      </c>
      <c r="K546">
        <v>78.56</v>
      </c>
      <c r="L546">
        <v>40.21</v>
      </c>
      <c r="M546">
        <v>38.35</v>
      </c>
    </row>
    <row r="547" spans="5:13" x14ac:dyDescent="0.15">
      <c r="E547" s="12">
        <v>551</v>
      </c>
      <c r="F547" s="11" t="s">
        <v>736</v>
      </c>
      <c r="G547" t="s">
        <v>409</v>
      </c>
      <c r="H547" t="s">
        <v>1736</v>
      </c>
      <c r="I547">
        <v>-9</v>
      </c>
      <c r="J547">
        <v>0.72</v>
      </c>
      <c r="K547">
        <v>78.44</v>
      </c>
      <c r="L547">
        <v>63.38</v>
      </c>
      <c r="M547">
        <v>15.06</v>
      </c>
    </row>
    <row r="548" spans="5:13" x14ac:dyDescent="0.15">
      <c r="E548" s="12">
        <v>552</v>
      </c>
      <c r="F548" s="11" t="s">
        <v>581</v>
      </c>
      <c r="G548" t="s">
        <v>390</v>
      </c>
      <c r="H548" t="s">
        <v>1736</v>
      </c>
      <c r="I548">
        <v>-7.46</v>
      </c>
      <c r="J548">
        <v>1.2</v>
      </c>
      <c r="K548">
        <v>78.33</v>
      </c>
      <c r="L548">
        <v>70.8</v>
      </c>
      <c r="M548">
        <v>7.53</v>
      </c>
    </row>
    <row r="549" spans="5:13" x14ac:dyDescent="0.15">
      <c r="E549" s="12">
        <v>553</v>
      </c>
      <c r="F549" s="11" t="s">
        <v>1750</v>
      </c>
      <c r="G549" t="s">
        <v>1751</v>
      </c>
      <c r="H549" t="s">
        <v>1736</v>
      </c>
      <c r="I549">
        <v>-15.07</v>
      </c>
      <c r="J549">
        <v>0.18</v>
      </c>
      <c r="K549">
        <v>78.210000000000008</v>
      </c>
      <c r="L549">
        <v>40.32</v>
      </c>
      <c r="M549">
        <v>37.89</v>
      </c>
    </row>
    <row r="550" spans="5:13" x14ac:dyDescent="0.15">
      <c r="E550" s="12">
        <v>554</v>
      </c>
      <c r="F550" s="11" t="s">
        <v>760</v>
      </c>
      <c r="G550" t="s">
        <v>1752</v>
      </c>
      <c r="H550" t="s">
        <v>1736</v>
      </c>
      <c r="I550">
        <v>-22.52</v>
      </c>
      <c r="J550">
        <v>-0.37</v>
      </c>
      <c r="K550">
        <v>78.099999999999994</v>
      </c>
      <c r="L550">
        <v>9.9700000000000006</v>
      </c>
      <c r="M550">
        <v>68.13</v>
      </c>
    </row>
    <row r="551" spans="5:13" x14ac:dyDescent="0.15">
      <c r="E551" s="12">
        <v>555</v>
      </c>
      <c r="F551" s="11" t="s">
        <v>1007</v>
      </c>
      <c r="G551" t="s">
        <v>389</v>
      </c>
      <c r="H551" t="s">
        <v>1736</v>
      </c>
      <c r="I551">
        <v>-8.1999999999999993</v>
      </c>
      <c r="J551">
        <v>0.92</v>
      </c>
      <c r="K551">
        <v>77.97999999999999</v>
      </c>
      <c r="L551">
        <v>66.739999999999995</v>
      </c>
      <c r="M551">
        <v>11.24</v>
      </c>
    </row>
    <row r="552" spans="5:13" x14ac:dyDescent="0.15">
      <c r="E552" s="12">
        <v>556</v>
      </c>
      <c r="F552" s="11" t="s">
        <v>804</v>
      </c>
      <c r="G552" t="s">
        <v>1753</v>
      </c>
      <c r="H552" t="s">
        <v>1736</v>
      </c>
      <c r="I552">
        <v>-6.29</v>
      </c>
      <c r="J552">
        <v>4</v>
      </c>
      <c r="K552">
        <v>77.64</v>
      </c>
      <c r="L552">
        <v>76.25</v>
      </c>
      <c r="M552">
        <v>1.39</v>
      </c>
    </row>
    <row r="553" spans="5:13" x14ac:dyDescent="0.15">
      <c r="E553" s="12">
        <v>557</v>
      </c>
      <c r="F553" s="11" t="s">
        <v>713</v>
      </c>
      <c r="G553" t="s">
        <v>1754</v>
      </c>
      <c r="H553" t="s">
        <v>1736</v>
      </c>
      <c r="I553">
        <v>-12.13</v>
      </c>
      <c r="J553">
        <v>0.33</v>
      </c>
      <c r="K553">
        <v>77.52000000000001</v>
      </c>
      <c r="L553">
        <v>50.17</v>
      </c>
      <c r="M553">
        <v>27.35</v>
      </c>
    </row>
    <row r="554" spans="5:13" x14ac:dyDescent="0.15">
      <c r="E554" s="12">
        <v>558</v>
      </c>
      <c r="F554" s="11" t="s">
        <v>710</v>
      </c>
      <c r="G554" t="s">
        <v>384</v>
      </c>
      <c r="H554" t="s">
        <v>1736</v>
      </c>
      <c r="I554">
        <v>-21.49</v>
      </c>
      <c r="J554">
        <v>-0.15</v>
      </c>
      <c r="K554">
        <v>77.290000000000006</v>
      </c>
      <c r="L554">
        <v>16.8</v>
      </c>
      <c r="M554">
        <v>60.49</v>
      </c>
    </row>
    <row r="555" spans="5:13" x14ac:dyDescent="0.15">
      <c r="E555" s="12">
        <v>559</v>
      </c>
      <c r="F555" s="11" t="s">
        <v>1755</v>
      </c>
      <c r="G555" t="s">
        <v>1756</v>
      </c>
      <c r="H555" t="s">
        <v>1736</v>
      </c>
      <c r="I555">
        <v>-21.65</v>
      </c>
      <c r="J555">
        <v>-0.16</v>
      </c>
      <c r="K555">
        <v>77.289999999999992</v>
      </c>
      <c r="L555">
        <v>15.18</v>
      </c>
      <c r="M555">
        <v>62.11</v>
      </c>
    </row>
    <row r="556" spans="5:13" x14ac:dyDescent="0.15">
      <c r="E556" s="12">
        <v>560</v>
      </c>
      <c r="F556" s="11" t="s">
        <v>758</v>
      </c>
      <c r="G556" t="s">
        <v>1757</v>
      </c>
      <c r="H556" t="s">
        <v>1736</v>
      </c>
      <c r="I556">
        <v>-9.61</v>
      </c>
      <c r="J556">
        <v>0.65</v>
      </c>
      <c r="K556">
        <v>76.94</v>
      </c>
      <c r="L556">
        <v>60.37</v>
      </c>
      <c r="M556">
        <v>16.57</v>
      </c>
    </row>
    <row r="557" spans="5:13" x14ac:dyDescent="0.15">
      <c r="E557" s="12">
        <v>561</v>
      </c>
      <c r="F557" s="11" t="s">
        <v>881</v>
      </c>
      <c r="G557" t="s">
        <v>1758</v>
      </c>
      <c r="H557" t="s">
        <v>1736</v>
      </c>
      <c r="I557">
        <v>-18.850000000000001</v>
      </c>
      <c r="J557">
        <v>0</v>
      </c>
      <c r="K557">
        <v>76.83</v>
      </c>
      <c r="L557">
        <v>26.77</v>
      </c>
      <c r="M557">
        <v>50.06</v>
      </c>
    </row>
    <row r="558" spans="5:13" x14ac:dyDescent="0.15">
      <c r="E558" s="12">
        <v>562</v>
      </c>
      <c r="F558" s="11" t="s">
        <v>556</v>
      </c>
      <c r="G558" t="s">
        <v>1759</v>
      </c>
      <c r="H558" t="s">
        <v>1736</v>
      </c>
      <c r="I558">
        <v>-17.32</v>
      </c>
      <c r="J558">
        <v>0.1</v>
      </c>
      <c r="K558">
        <v>76.009999999999991</v>
      </c>
      <c r="L558">
        <v>32.44</v>
      </c>
      <c r="M558">
        <v>43.57</v>
      </c>
    </row>
    <row r="559" spans="5:13" x14ac:dyDescent="0.15">
      <c r="E559" s="12">
        <v>563</v>
      </c>
      <c r="F559" s="11" t="s">
        <v>475</v>
      </c>
      <c r="G559" t="s">
        <v>401</v>
      </c>
      <c r="H559" t="s">
        <v>1736</v>
      </c>
      <c r="I559">
        <v>-11.25</v>
      </c>
      <c r="J559">
        <v>0.43</v>
      </c>
      <c r="K559">
        <v>75.78</v>
      </c>
      <c r="L559">
        <v>52.72</v>
      </c>
      <c r="M559">
        <v>23.06</v>
      </c>
    </row>
    <row r="560" spans="5:13" x14ac:dyDescent="0.15">
      <c r="E560" s="12">
        <v>564</v>
      </c>
      <c r="F560" s="11" t="s">
        <v>687</v>
      </c>
      <c r="G560" t="s">
        <v>1760</v>
      </c>
      <c r="H560" t="s">
        <v>1736</v>
      </c>
      <c r="I560">
        <v>-21.69</v>
      </c>
      <c r="J560">
        <v>-0.15</v>
      </c>
      <c r="K560">
        <v>75.67</v>
      </c>
      <c r="L560">
        <v>14.6</v>
      </c>
      <c r="M560">
        <v>61.07</v>
      </c>
    </row>
    <row r="561" spans="5:13" x14ac:dyDescent="0.15">
      <c r="E561" s="12">
        <v>565</v>
      </c>
      <c r="F561" s="11" t="s">
        <v>696</v>
      </c>
      <c r="G561" t="s">
        <v>396</v>
      </c>
      <c r="H561" t="s">
        <v>1736</v>
      </c>
      <c r="I561">
        <v>-8.65</v>
      </c>
      <c r="J561">
        <v>0.95</v>
      </c>
      <c r="K561">
        <v>75.550000000000011</v>
      </c>
      <c r="L561">
        <v>64.540000000000006</v>
      </c>
      <c r="M561">
        <v>11.01</v>
      </c>
    </row>
    <row r="562" spans="5:13" x14ac:dyDescent="0.15">
      <c r="E562" s="12">
        <v>566</v>
      </c>
      <c r="F562" s="11" t="s">
        <v>563</v>
      </c>
      <c r="G562" t="s">
        <v>1761</v>
      </c>
      <c r="H562" t="s">
        <v>1736</v>
      </c>
      <c r="I562">
        <v>-26.69</v>
      </c>
      <c r="J562">
        <v>-1.86</v>
      </c>
      <c r="K562">
        <v>75.550000000000011</v>
      </c>
      <c r="L562">
        <v>1.62</v>
      </c>
      <c r="M562">
        <v>73.930000000000007</v>
      </c>
    </row>
    <row r="563" spans="5:13" x14ac:dyDescent="0.15">
      <c r="E563" s="12">
        <v>567</v>
      </c>
      <c r="F563" s="11" t="s">
        <v>562</v>
      </c>
      <c r="G563" t="s">
        <v>1762</v>
      </c>
      <c r="H563" t="s">
        <v>1736</v>
      </c>
      <c r="I563">
        <v>-19.510000000000002</v>
      </c>
      <c r="J563">
        <v>0</v>
      </c>
      <c r="K563">
        <v>75.55</v>
      </c>
      <c r="L563">
        <v>24.33</v>
      </c>
      <c r="M563">
        <v>51.22</v>
      </c>
    </row>
    <row r="564" spans="5:13" x14ac:dyDescent="0.15">
      <c r="E564" s="12">
        <v>568</v>
      </c>
      <c r="F564" s="11" t="s">
        <v>647</v>
      </c>
      <c r="G564" t="s">
        <v>1763</v>
      </c>
      <c r="H564" t="s">
        <v>1736</v>
      </c>
      <c r="I564">
        <v>-19.38</v>
      </c>
      <c r="J564">
        <v>0</v>
      </c>
      <c r="K564">
        <v>75.44</v>
      </c>
      <c r="L564">
        <v>24.8</v>
      </c>
      <c r="M564">
        <v>50.64</v>
      </c>
    </row>
    <row r="565" spans="5:13" x14ac:dyDescent="0.15">
      <c r="E565" s="12">
        <v>569</v>
      </c>
      <c r="F565" s="11" t="s">
        <v>599</v>
      </c>
      <c r="G565" t="s">
        <v>1764</v>
      </c>
      <c r="H565" t="s">
        <v>1736</v>
      </c>
      <c r="I565">
        <v>-24.94</v>
      </c>
      <c r="J565">
        <v>-0.55000000000000004</v>
      </c>
      <c r="K565">
        <v>75.09</v>
      </c>
      <c r="L565">
        <v>4.0599999999999996</v>
      </c>
      <c r="M565">
        <v>71.03</v>
      </c>
    </row>
    <row r="566" spans="5:13" x14ac:dyDescent="0.15">
      <c r="E566" s="12">
        <v>570</v>
      </c>
      <c r="F566" s="11" t="s">
        <v>956</v>
      </c>
      <c r="G566" t="s">
        <v>385</v>
      </c>
      <c r="H566" t="s">
        <v>1736</v>
      </c>
      <c r="I566">
        <v>-24</v>
      </c>
      <c r="J566">
        <v>-0.4</v>
      </c>
      <c r="K566">
        <v>74.86</v>
      </c>
      <c r="L566">
        <v>6.03</v>
      </c>
      <c r="M566">
        <v>68.83</v>
      </c>
    </row>
    <row r="567" spans="5:13" x14ac:dyDescent="0.15">
      <c r="E567" s="12">
        <v>571</v>
      </c>
      <c r="F567" s="11" t="s">
        <v>739</v>
      </c>
      <c r="G567" t="s">
        <v>1765</v>
      </c>
      <c r="H567" t="s">
        <v>1736</v>
      </c>
      <c r="I567">
        <v>-24.72</v>
      </c>
      <c r="J567">
        <v>-0.47</v>
      </c>
      <c r="K567">
        <v>74.86</v>
      </c>
      <c r="L567">
        <v>4.87</v>
      </c>
      <c r="M567">
        <v>69.989999999999995</v>
      </c>
    </row>
    <row r="568" spans="5:13" x14ac:dyDescent="0.15">
      <c r="E568" s="12">
        <v>572</v>
      </c>
      <c r="F568" s="11" t="s">
        <v>603</v>
      </c>
      <c r="G568" t="s">
        <v>1766</v>
      </c>
      <c r="H568" t="s">
        <v>1736</v>
      </c>
      <c r="I568">
        <v>-18.809999999999999</v>
      </c>
      <c r="J568">
        <v>0</v>
      </c>
      <c r="K568">
        <v>74.740000000000009</v>
      </c>
      <c r="L568">
        <v>27</v>
      </c>
      <c r="M568">
        <v>47.74</v>
      </c>
    </row>
    <row r="569" spans="5:13" x14ac:dyDescent="0.15">
      <c r="E569" s="12">
        <v>573</v>
      </c>
      <c r="F569" s="11" t="s">
        <v>869</v>
      </c>
      <c r="G569" t="s">
        <v>388</v>
      </c>
      <c r="H569" t="s">
        <v>1736</v>
      </c>
      <c r="I569">
        <v>-9.3000000000000007</v>
      </c>
      <c r="J569">
        <v>0.81</v>
      </c>
      <c r="K569">
        <v>74.739999999999995</v>
      </c>
      <c r="L569">
        <v>61.41</v>
      </c>
      <c r="M569">
        <v>13.33</v>
      </c>
    </row>
    <row r="570" spans="5:13" x14ac:dyDescent="0.15">
      <c r="E570" s="12">
        <v>574</v>
      </c>
      <c r="F570" s="11" t="s">
        <v>746</v>
      </c>
      <c r="G570" t="s">
        <v>1767</v>
      </c>
      <c r="H570" t="s">
        <v>1736</v>
      </c>
      <c r="I570">
        <v>-19.71</v>
      </c>
      <c r="J570">
        <v>0</v>
      </c>
      <c r="K570">
        <v>74.63</v>
      </c>
      <c r="L570">
        <v>22.83</v>
      </c>
      <c r="M570">
        <v>51.8</v>
      </c>
    </row>
    <row r="571" spans="5:13" x14ac:dyDescent="0.15">
      <c r="E571" s="12">
        <v>575</v>
      </c>
      <c r="F571" s="11" t="s">
        <v>852</v>
      </c>
      <c r="G571" t="s">
        <v>1768</v>
      </c>
      <c r="H571" t="s">
        <v>1736</v>
      </c>
      <c r="I571">
        <v>-6.96</v>
      </c>
      <c r="J571">
        <v>2.95</v>
      </c>
      <c r="K571">
        <v>74.509999999999991</v>
      </c>
      <c r="L571">
        <v>72.19</v>
      </c>
      <c r="M571">
        <v>2.3199999999999998</v>
      </c>
    </row>
    <row r="572" spans="5:13" x14ac:dyDescent="0.15">
      <c r="E572" s="12">
        <v>576</v>
      </c>
      <c r="F572" s="11" t="s">
        <v>628</v>
      </c>
      <c r="G572" t="s">
        <v>413</v>
      </c>
      <c r="H572" t="s">
        <v>1736</v>
      </c>
      <c r="I572">
        <v>-7.54</v>
      </c>
      <c r="J572">
        <v>2.12</v>
      </c>
      <c r="K572">
        <v>74.28</v>
      </c>
      <c r="L572">
        <v>70.34</v>
      </c>
      <c r="M572">
        <v>3.94</v>
      </c>
    </row>
    <row r="573" spans="5:13" x14ac:dyDescent="0.15">
      <c r="E573" s="12">
        <v>577</v>
      </c>
      <c r="F573" s="11" t="s">
        <v>579</v>
      </c>
      <c r="G573" t="s">
        <v>1769</v>
      </c>
      <c r="H573" t="s">
        <v>1736</v>
      </c>
      <c r="I573">
        <v>-18.239999999999998</v>
      </c>
      <c r="J573">
        <v>7.0000000000000007E-2</v>
      </c>
      <c r="K573">
        <v>74.16</v>
      </c>
      <c r="L573">
        <v>29.66</v>
      </c>
      <c r="M573">
        <v>44.5</v>
      </c>
    </row>
    <row r="574" spans="5:13" x14ac:dyDescent="0.15">
      <c r="E574" s="12">
        <v>578</v>
      </c>
      <c r="F574" s="11" t="s">
        <v>526</v>
      </c>
      <c r="G574" t="s">
        <v>398</v>
      </c>
      <c r="H574" t="s">
        <v>1736</v>
      </c>
      <c r="I574">
        <v>-23.08</v>
      </c>
      <c r="J574">
        <v>-0.28999999999999998</v>
      </c>
      <c r="K574">
        <v>74.16</v>
      </c>
      <c r="L574">
        <v>8</v>
      </c>
      <c r="M574">
        <v>66.16</v>
      </c>
    </row>
    <row r="575" spans="5:13" x14ac:dyDescent="0.15">
      <c r="E575" s="12">
        <v>579</v>
      </c>
      <c r="F575" s="11" t="s">
        <v>837</v>
      </c>
      <c r="G575" t="s">
        <v>1770</v>
      </c>
      <c r="H575" t="s">
        <v>1736</v>
      </c>
      <c r="I575">
        <v>-21.56</v>
      </c>
      <c r="J575">
        <v>-0.11</v>
      </c>
      <c r="K575">
        <v>73.350000000000009</v>
      </c>
      <c r="L575">
        <v>15.76</v>
      </c>
      <c r="M575">
        <v>57.59</v>
      </c>
    </row>
    <row r="576" spans="5:13" x14ac:dyDescent="0.15">
      <c r="E576" s="12">
        <v>580</v>
      </c>
      <c r="F576" s="11" t="s">
        <v>675</v>
      </c>
      <c r="G576" t="s">
        <v>410</v>
      </c>
      <c r="H576" t="s">
        <v>1736</v>
      </c>
      <c r="I576">
        <v>-16.350000000000001</v>
      </c>
      <c r="J576">
        <v>0.18</v>
      </c>
      <c r="K576">
        <v>73.349999999999994</v>
      </c>
      <c r="L576">
        <v>35.69</v>
      </c>
      <c r="M576">
        <v>37.659999999999997</v>
      </c>
    </row>
    <row r="577" spans="5:13" x14ac:dyDescent="0.15">
      <c r="E577" s="12">
        <v>581</v>
      </c>
      <c r="F577" s="11" t="s">
        <v>885</v>
      </c>
      <c r="G577" t="s">
        <v>402</v>
      </c>
      <c r="H577" t="s">
        <v>1736</v>
      </c>
      <c r="I577">
        <v>-15.31</v>
      </c>
      <c r="J577">
        <v>0.22</v>
      </c>
      <c r="K577">
        <v>72.66</v>
      </c>
      <c r="L577">
        <v>38.590000000000003</v>
      </c>
      <c r="M577">
        <v>34.07</v>
      </c>
    </row>
    <row r="578" spans="5:13" x14ac:dyDescent="0.15">
      <c r="E578" s="12">
        <v>582</v>
      </c>
      <c r="F578" s="11" t="s">
        <v>943</v>
      </c>
      <c r="G578" t="s">
        <v>412</v>
      </c>
      <c r="H578" t="s">
        <v>1736</v>
      </c>
      <c r="I578">
        <v>-7.35</v>
      </c>
      <c r="J578">
        <v>4.79</v>
      </c>
      <c r="K578">
        <v>72.53</v>
      </c>
      <c r="L578">
        <v>71.489999999999995</v>
      </c>
      <c r="M578">
        <v>1.04</v>
      </c>
    </row>
    <row r="579" spans="5:13" x14ac:dyDescent="0.15">
      <c r="E579" s="12">
        <v>583</v>
      </c>
      <c r="F579" s="11" t="s">
        <v>606</v>
      </c>
      <c r="G579" t="s">
        <v>418</v>
      </c>
      <c r="H579" t="s">
        <v>1736</v>
      </c>
      <c r="I579">
        <v>-9.4499999999999993</v>
      </c>
      <c r="J579">
        <v>0.92</v>
      </c>
      <c r="K579">
        <v>72.430000000000007</v>
      </c>
      <c r="L579">
        <v>61.07</v>
      </c>
      <c r="M579">
        <v>11.36</v>
      </c>
    </row>
    <row r="580" spans="5:13" x14ac:dyDescent="0.15">
      <c r="E580" s="12">
        <v>584</v>
      </c>
      <c r="F580" s="11" t="s">
        <v>704</v>
      </c>
      <c r="G580" t="s">
        <v>397</v>
      </c>
      <c r="H580" t="s">
        <v>1736</v>
      </c>
      <c r="I580">
        <v>-7.51</v>
      </c>
      <c r="J580">
        <v>3.58</v>
      </c>
      <c r="K580">
        <v>72.3</v>
      </c>
      <c r="L580">
        <v>70.45</v>
      </c>
      <c r="M580">
        <v>1.85</v>
      </c>
    </row>
    <row r="581" spans="5:13" x14ac:dyDescent="0.15">
      <c r="E581" s="12">
        <v>585</v>
      </c>
      <c r="F581" s="11" t="s">
        <v>1039</v>
      </c>
      <c r="G581" t="s">
        <v>1771</v>
      </c>
      <c r="H581" t="s">
        <v>1736</v>
      </c>
      <c r="I581">
        <v>-19.690000000000001</v>
      </c>
      <c r="J581">
        <v>0</v>
      </c>
      <c r="K581">
        <v>72.19</v>
      </c>
      <c r="L581">
        <v>23.29</v>
      </c>
      <c r="M581">
        <v>48.9</v>
      </c>
    </row>
    <row r="582" spans="5:13" x14ac:dyDescent="0.15">
      <c r="E582" s="12">
        <v>586</v>
      </c>
      <c r="F582" s="11" t="s">
        <v>780</v>
      </c>
      <c r="G582" t="s">
        <v>1772</v>
      </c>
      <c r="H582" t="s">
        <v>1736</v>
      </c>
      <c r="I582">
        <v>-25.54</v>
      </c>
      <c r="J582">
        <v>-0.41</v>
      </c>
      <c r="K582">
        <v>72.070000000000007</v>
      </c>
      <c r="L582">
        <v>2.78</v>
      </c>
      <c r="M582">
        <v>69.290000000000006</v>
      </c>
    </row>
    <row r="583" spans="5:13" x14ac:dyDescent="0.15">
      <c r="E583" s="12">
        <v>587</v>
      </c>
      <c r="F583" s="11" t="s">
        <v>574</v>
      </c>
      <c r="G583" t="s">
        <v>1773</v>
      </c>
      <c r="H583" t="s">
        <v>1774</v>
      </c>
      <c r="I583">
        <v>-7.55</v>
      </c>
      <c r="J583">
        <v>3.68</v>
      </c>
      <c r="K583">
        <v>71.839999999999989</v>
      </c>
      <c r="L583">
        <v>70.099999999999994</v>
      </c>
      <c r="M583">
        <v>1.74</v>
      </c>
    </row>
    <row r="584" spans="5:13" x14ac:dyDescent="0.15">
      <c r="E584" s="12">
        <v>588</v>
      </c>
      <c r="F584" s="11" t="s">
        <v>1775</v>
      </c>
      <c r="G584" t="s">
        <v>1776</v>
      </c>
      <c r="H584" t="s">
        <v>1774</v>
      </c>
      <c r="I584">
        <v>-18.04</v>
      </c>
      <c r="J584">
        <v>0.13</v>
      </c>
      <c r="K584">
        <v>71.73</v>
      </c>
      <c r="L584">
        <v>30.48</v>
      </c>
      <c r="M584">
        <v>41.25</v>
      </c>
    </row>
    <row r="585" spans="5:13" x14ac:dyDescent="0.15">
      <c r="E585" s="12">
        <v>589</v>
      </c>
      <c r="F585" s="11" t="s">
        <v>591</v>
      </c>
      <c r="G585" t="s">
        <v>1777</v>
      </c>
      <c r="H585" t="s">
        <v>1774</v>
      </c>
      <c r="I585">
        <v>-24.4</v>
      </c>
      <c r="J585">
        <v>-0.28999999999999998</v>
      </c>
      <c r="K585">
        <v>71.73</v>
      </c>
      <c r="L585">
        <v>5.45</v>
      </c>
      <c r="M585">
        <v>66.28</v>
      </c>
    </row>
    <row r="586" spans="5:13" x14ac:dyDescent="0.15">
      <c r="E586" s="12">
        <v>590</v>
      </c>
      <c r="F586" s="11" t="s">
        <v>472</v>
      </c>
      <c r="G586" t="s">
        <v>1778</v>
      </c>
      <c r="H586" t="s">
        <v>1774</v>
      </c>
      <c r="I586">
        <v>-10.15</v>
      </c>
      <c r="J586">
        <v>0.78</v>
      </c>
      <c r="K586">
        <v>71.72999999999999</v>
      </c>
      <c r="L586">
        <v>57.94</v>
      </c>
      <c r="M586">
        <v>13.79</v>
      </c>
    </row>
    <row r="587" spans="5:13" x14ac:dyDescent="0.15">
      <c r="E587" s="12">
        <v>591</v>
      </c>
      <c r="F587" s="11" t="s">
        <v>1078</v>
      </c>
      <c r="G587" t="s">
        <v>1779</v>
      </c>
      <c r="H587" t="s">
        <v>1774</v>
      </c>
      <c r="I587">
        <v>-24.86</v>
      </c>
      <c r="J587">
        <v>-0.31</v>
      </c>
      <c r="K587">
        <v>71.61</v>
      </c>
      <c r="L587">
        <v>4.5199999999999996</v>
      </c>
      <c r="M587">
        <v>67.09</v>
      </c>
    </row>
    <row r="588" spans="5:13" x14ac:dyDescent="0.15">
      <c r="E588" s="12">
        <v>592</v>
      </c>
      <c r="F588" s="11" t="s">
        <v>462</v>
      </c>
      <c r="G588" t="s">
        <v>1780</v>
      </c>
      <c r="H588" t="s">
        <v>1774</v>
      </c>
      <c r="I588">
        <v>-22.75</v>
      </c>
      <c r="J588">
        <v>-0.17</v>
      </c>
      <c r="K588">
        <v>71.38</v>
      </c>
      <c r="L588">
        <v>9.0399999999999991</v>
      </c>
      <c r="M588">
        <v>62.34</v>
      </c>
    </row>
    <row r="589" spans="5:13" x14ac:dyDescent="0.15">
      <c r="E589" s="12">
        <v>593</v>
      </c>
      <c r="F589" s="11" t="s">
        <v>1781</v>
      </c>
      <c r="G589" t="s">
        <v>1782</v>
      </c>
      <c r="H589" t="s">
        <v>1774</v>
      </c>
      <c r="I589">
        <v>-23.17</v>
      </c>
      <c r="J589">
        <v>-0.2</v>
      </c>
      <c r="K589">
        <v>71.260000000000005</v>
      </c>
      <c r="L589">
        <v>7.76</v>
      </c>
      <c r="M589">
        <v>63.5</v>
      </c>
    </row>
    <row r="590" spans="5:13" x14ac:dyDescent="0.15">
      <c r="E590" s="12">
        <v>594</v>
      </c>
      <c r="F590" s="11" t="s">
        <v>1783</v>
      </c>
      <c r="G590" t="s">
        <v>1784</v>
      </c>
      <c r="H590" t="s">
        <v>1774</v>
      </c>
      <c r="I590">
        <v>-9.57</v>
      </c>
      <c r="J590">
        <v>0.99</v>
      </c>
      <c r="K590">
        <v>71.14</v>
      </c>
      <c r="L590">
        <v>60.6</v>
      </c>
      <c r="M590">
        <v>10.54</v>
      </c>
    </row>
    <row r="591" spans="5:13" x14ac:dyDescent="0.15">
      <c r="E591" s="12">
        <v>595</v>
      </c>
      <c r="F591" s="11" t="s">
        <v>595</v>
      </c>
      <c r="G591" t="s">
        <v>387</v>
      </c>
      <c r="H591" t="s">
        <v>1774</v>
      </c>
      <c r="I591">
        <v>-11.31</v>
      </c>
      <c r="J591">
        <v>0.6</v>
      </c>
      <c r="K591">
        <v>71.03</v>
      </c>
      <c r="L591">
        <v>52.61</v>
      </c>
      <c r="M591">
        <v>18.420000000000002</v>
      </c>
    </row>
    <row r="592" spans="5:13" x14ac:dyDescent="0.15">
      <c r="E592" s="12">
        <v>596</v>
      </c>
      <c r="F592" s="11" t="s">
        <v>541</v>
      </c>
      <c r="G592" t="s">
        <v>420</v>
      </c>
      <c r="H592" t="s">
        <v>1774</v>
      </c>
      <c r="I592">
        <v>-12.3</v>
      </c>
      <c r="J592">
        <v>0.46</v>
      </c>
      <c r="K592">
        <v>70.69</v>
      </c>
      <c r="L592">
        <v>49.02</v>
      </c>
      <c r="M592">
        <v>21.67</v>
      </c>
    </row>
    <row r="593" spans="5:13" x14ac:dyDescent="0.15">
      <c r="E593" s="12">
        <v>597</v>
      </c>
      <c r="F593" s="11" t="s">
        <v>578</v>
      </c>
      <c r="G593" t="s">
        <v>1785</v>
      </c>
      <c r="H593" t="s">
        <v>1774</v>
      </c>
      <c r="I593">
        <v>-8.57</v>
      </c>
      <c r="J593">
        <v>1.41</v>
      </c>
      <c r="K593">
        <v>70.680000000000007</v>
      </c>
      <c r="L593">
        <v>64.89</v>
      </c>
      <c r="M593">
        <v>5.79</v>
      </c>
    </row>
    <row r="594" spans="5:13" x14ac:dyDescent="0.15">
      <c r="E594" s="12">
        <v>598</v>
      </c>
      <c r="F594" s="11" t="s">
        <v>497</v>
      </c>
      <c r="G594" t="s">
        <v>1786</v>
      </c>
      <c r="H594" t="s">
        <v>1774</v>
      </c>
      <c r="I594">
        <v>-20.74</v>
      </c>
      <c r="J594">
        <v>0</v>
      </c>
      <c r="K594">
        <v>69.990000000000009</v>
      </c>
      <c r="L594">
        <v>20.28</v>
      </c>
      <c r="M594">
        <v>49.71</v>
      </c>
    </row>
    <row r="595" spans="5:13" x14ac:dyDescent="0.15">
      <c r="E595" s="12">
        <v>599</v>
      </c>
      <c r="F595" s="11" t="s">
        <v>1056</v>
      </c>
      <c r="G595" t="s">
        <v>1787</v>
      </c>
      <c r="H595" t="s">
        <v>1774</v>
      </c>
      <c r="I595">
        <v>-18.63</v>
      </c>
      <c r="J595">
        <v>0.12</v>
      </c>
      <c r="K595">
        <v>69.989999999999995</v>
      </c>
      <c r="L595">
        <v>27.81</v>
      </c>
      <c r="M595">
        <v>42.18</v>
      </c>
    </row>
    <row r="596" spans="5:13" x14ac:dyDescent="0.15">
      <c r="E596" s="12">
        <v>600</v>
      </c>
      <c r="F596" s="11" t="s">
        <v>1788</v>
      </c>
      <c r="G596" t="s">
        <v>1789</v>
      </c>
      <c r="H596" t="s">
        <v>1774</v>
      </c>
      <c r="I596">
        <v>-25.4</v>
      </c>
      <c r="J596">
        <v>-0.31</v>
      </c>
      <c r="K596">
        <v>69.75</v>
      </c>
      <c r="L596">
        <v>3.01</v>
      </c>
      <c r="M596">
        <v>66.739999999999995</v>
      </c>
    </row>
    <row r="597" spans="5:13" x14ac:dyDescent="0.15">
      <c r="E597" s="12">
        <v>601</v>
      </c>
      <c r="F597" s="11" t="s">
        <v>520</v>
      </c>
      <c r="G597" t="s">
        <v>1790</v>
      </c>
      <c r="H597" t="s">
        <v>1774</v>
      </c>
      <c r="I597">
        <v>-14.57</v>
      </c>
      <c r="J597">
        <v>0.34</v>
      </c>
      <c r="K597">
        <v>69.52</v>
      </c>
      <c r="L597">
        <v>42.41</v>
      </c>
      <c r="M597">
        <v>27.11</v>
      </c>
    </row>
    <row r="598" spans="5:13" x14ac:dyDescent="0.15">
      <c r="E598" s="12">
        <v>602</v>
      </c>
      <c r="F598" s="11" t="s">
        <v>1020</v>
      </c>
      <c r="G598" t="s">
        <v>1791</v>
      </c>
      <c r="H598" t="s">
        <v>1774</v>
      </c>
      <c r="I598">
        <v>-8.5299999999999994</v>
      </c>
      <c r="J598">
        <v>2</v>
      </c>
      <c r="K598">
        <v>69.300000000000011</v>
      </c>
      <c r="L598">
        <v>65.010000000000005</v>
      </c>
      <c r="M598">
        <v>4.29</v>
      </c>
    </row>
    <row r="599" spans="5:13" x14ac:dyDescent="0.15">
      <c r="E599" s="12">
        <v>603</v>
      </c>
      <c r="F599" s="11" t="s">
        <v>464</v>
      </c>
      <c r="G599" t="s">
        <v>1792</v>
      </c>
      <c r="H599" t="s">
        <v>1774</v>
      </c>
      <c r="I599">
        <v>-19.72</v>
      </c>
      <c r="J599">
        <v>0</v>
      </c>
      <c r="K599">
        <v>69.289999999999992</v>
      </c>
      <c r="L599">
        <v>22.71</v>
      </c>
      <c r="M599">
        <v>46.58</v>
      </c>
    </row>
    <row r="600" spans="5:13" x14ac:dyDescent="0.15">
      <c r="E600" s="12">
        <v>604</v>
      </c>
      <c r="F600" s="11" t="s">
        <v>936</v>
      </c>
      <c r="G600" t="s">
        <v>1793</v>
      </c>
      <c r="H600" t="s">
        <v>1774</v>
      </c>
      <c r="I600">
        <v>-13.88</v>
      </c>
      <c r="J600">
        <v>0.38</v>
      </c>
      <c r="K600">
        <v>69.180000000000007</v>
      </c>
      <c r="L600">
        <v>44.15</v>
      </c>
      <c r="M600">
        <v>25.03</v>
      </c>
    </row>
    <row r="601" spans="5:13" x14ac:dyDescent="0.15">
      <c r="E601" s="12">
        <v>605</v>
      </c>
      <c r="F601" s="11" t="s">
        <v>1077</v>
      </c>
      <c r="G601" t="s">
        <v>1793</v>
      </c>
      <c r="H601" t="s">
        <v>1774</v>
      </c>
      <c r="I601">
        <v>-13.76</v>
      </c>
      <c r="J601">
        <v>0.39</v>
      </c>
      <c r="K601">
        <v>69.179999999999993</v>
      </c>
      <c r="L601">
        <v>44.73</v>
      </c>
      <c r="M601">
        <v>24.45</v>
      </c>
    </row>
    <row r="602" spans="5:13" x14ac:dyDescent="0.15">
      <c r="E602" s="12">
        <v>606</v>
      </c>
      <c r="F602" s="11" t="s">
        <v>964</v>
      </c>
      <c r="G602" t="s">
        <v>386</v>
      </c>
      <c r="H602" t="s">
        <v>1774</v>
      </c>
      <c r="I602">
        <v>-10.4</v>
      </c>
      <c r="J602">
        <v>0.81</v>
      </c>
      <c r="K602">
        <v>68.710000000000008</v>
      </c>
      <c r="L602">
        <v>55.5</v>
      </c>
      <c r="M602">
        <v>13.21</v>
      </c>
    </row>
    <row r="603" spans="5:13" x14ac:dyDescent="0.15">
      <c r="E603" s="12">
        <v>607</v>
      </c>
      <c r="F603" s="11" t="s">
        <v>1794</v>
      </c>
      <c r="G603" t="s">
        <v>1795</v>
      </c>
      <c r="H603" t="s">
        <v>1774</v>
      </c>
      <c r="I603">
        <v>-21.55</v>
      </c>
      <c r="J603">
        <v>0</v>
      </c>
      <c r="K603">
        <v>68.710000000000008</v>
      </c>
      <c r="L603">
        <v>15.87</v>
      </c>
      <c r="M603">
        <v>52.84</v>
      </c>
    </row>
    <row r="604" spans="5:13" x14ac:dyDescent="0.15">
      <c r="E604" s="12">
        <v>608</v>
      </c>
      <c r="F604" s="11" t="s">
        <v>1051</v>
      </c>
      <c r="G604" t="s">
        <v>1796</v>
      </c>
      <c r="H604" t="s">
        <v>1774</v>
      </c>
      <c r="I604">
        <v>-15.88</v>
      </c>
      <c r="J604">
        <v>0.28000000000000003</v>
      </c>
      <c r="K604">
        <v>68.02</v>
      </c>
      <c r="L604">
        <v>37.54</v>
      </c>
      <c r="M604">
        <v>30.48</v>
      </c>
    </row>
    <row r="605" spans="5:13" x14ac:dyDescent="0.15">
      <c r="E605" s="12">
        <v>609</v>
      </c>
      <c r="F605" s="11" t="s">
        <v>787</v>
      </c>
      <c r="G605" t="s">
        <v>1797</v>
      </c>
      <c r="H605" t="s">
        <v>1774</v>
      </c>
      <c r="I605">
        <v>-14.81</v>
      </c>
      <c r="J605">
        <v>0.37</v>
      </c>
      <c r="K605">
        <v>67.56</v>
      </c>
      <c r="L605">
        <v>41.6</v>
      </c>
      <c r="M605">
        <v>25.96</v>
      </c>
    </row>
    <row r="606" spans="5:13" x14ac:dyDescent="0.15">
      <c r="E606" s="12">
        <v>610</v>
      </c>
      <c r="F606" s="11" t="s">
        <v>643</v>
      </c>
      <c r="G606" t="s">
        <v>1798</v>
      </c>
      <c r="H606" t="s">
        <v>1774</v>
      </c>
      <c r="I606">
        <v>-18.7</v>
      </c>
      <c r="J606">
        <v>0.14000000000000001</v>
      </c>
      <c r="K606">
        <v>67.44</v>
      </c>
      <c r="L606">
        <v>27.23</v>
      </c>
      <c r="M606">
        <v>40.21</v>
      </c>
    </row>
    <row r="607" spans="5:13" x14ac:dyDescent="0.15">
      <c r="E607" s="12">
        <v>611</v>
      </c>
      <c r="F607" s="11" t="s">
        <v>622</v>
      </c>
      <c r="G607" t="s">
        <v>1799</v>
      </c>
      <c r="H607" t="s">
        <v>1774</v>
      </c>
      <c r="I607">
        <v>-19.8</v>
      </c>
      <c r="J607">
        <v>0.05</v>
      </c>
      <c r="K607">
        <v>67.210000000000008</v>
      </c>
      <c r="L607">
        <v>22.25</v>
      </c>
      <c r="M607">
        <v>44.96</v>
      </c>
    </row>
    <row r="608" spans="5:13" x14ac:dyDescent="0.15">
      <c r="E608" s="12">
        <v>612</v>
      </c>
      <c r="F608" s="11" t="s">
        <v>1036</v>
      </c>
      <c r="G608" t="s">
        <v>1800</v>
      </c>
      <c r="H608" t="s">
        <v>1774</v>
      </c>
      <c r="I608">
        <v>-10.18</v>
      </c>
      <c r="J608">
        <v>1.06</v>
      </c>
      <c r="K608">
        <v>66.97</v>
      </c>
      <c r="L608">
        <v>57.24</v>
      </c>
      <c r="M608">
        <v>9.73</v>
      </c>
    </row>
    <row r="609" spans="5:13" x14ac:dyDescent="0.15">
      <c r="E609" s="12">
        <v>613</v>
      </c>
      <c r="F609" s="11" t="s">
        <v>510</v>
      </c>
      <c r="G609" t="s">
        <v>1801</v>
      </c>
      <c r="H609" t="s">
        <v>1774</v>
      </c>
      <c r="I609">
        <v>-21.06</v>
      </c>
      <c r="J609">
        <v>0</v>
      </c>
      <c r="K609">
        <v>66.63</v>
      </c>
      <c r="L609">
        <v>19.239999999999998</v>
      </c>
      <c r="M609">
        <v>47.39</v>
      </c>
    </row>
    <row r="610" spans="5:13" x14ac:dyDescent="0.15">
      <c r="E610" s="12">
        <v>614</v>
      </c>
      <c r="F610" s="11" t="s">
        <v>989</v>
      </c>
      <c r="G610" t="s">
        <v>1802</v>
      </c>
      <c r="H610" t="s">
        <v>1774</v>
      </c>
      <c r="I610">
        <v>-23.86</v>
      </c>
      <c r="J610">
        <v>-0.14000000000000001</v>
      </c>
      <c r="K610">
        <v>66.63</v>
      </c>
      <c r="L610">
        <v>6.49</v>
      </c>
      <c r="M610">
        <v>60.14</v>
      </c>
    </row>
    <row r="611" spans="5:13" x14ac:dyDescent="0.15">
      <c r="E611" s="12">
        <v>615</v>
      </c>
      <c r="F611" s="11" t="s">
        <v>637</v>
      </c>
      <c r="G611" t="s">
        <v>1803</v>
      </c>
      <c r="H611" t="s">
        <v>1774</v>
      </c>
      <c r="I611">
        <v>-19.78</v>
      </c>
      <c r="J611">
        <v>0.08</v>
      </c>
      <c r="K611">
        <v>66.62</v>
      </c>
      <c r="L611">
        <v>22.36</v>
      </c>
      <c r="M611">
        <v>44.26</v>
      </c>
    </row>
    <row r="612" spans="5:13" x14ac:dyDescent="0.15">
      <c r="E612" s="12">
        <v>616</v>
      </c>
      <c r="F612" s="11" t="s">
        <v>512</v>
      </c>
      <c r="G612" t="s">
        <v>1804</v>
      </c>
      <c r="H612" t="s">
        <v>1774</v>
      </c>
      <c r="I612">
        <v>-12.81</v>
      </c>
      <c r="J612">
        <v>0.56000000000000005</v>
      </c>
      <c r="K612">
        <v>66.509999999999991</v>
      </c>
      <c r="L612">
        <v>47.51</v>
      </c>
      <c r="M612">
        <v>19</v>
      </c>
    </row>
    <row r="613" spans="5:13" x14ac:dyDescent="0.15">
      <c r="E613" s="12">
        <v>617</v>
      </c>
      <c r="F613" s="11" t="s">
        <v>618</v>
      </c>
      <c r="G613" t="s">
        <v>1805</v>
      </c>
      <c r="H613" t="s">
        <v>1774</v>
      </c>
      <c r="I613">
        <v>-17.329999999999998</v>
      </c>
      <c r="J613">
        <v>0.22</v>
      </c>
      <c r="K613">
        <v>66.28</v>
      </c>
      <c r="L613">
        <v>32.33</v>
      </c>
      <c r="M613">
        <v>33.950000000000003</v>
      </c>
    </row>
    <row r="614" spans="5:13" x14ac:dyDescent="0.15">
      <c r="E614" s="12">
        <v>618</v>
      </c>
      <c r="F614" s="11" t="s">
        <v>468</v>
      </c>
      <c r="G614" t="s">
        <v>1806</v>
      </c>
      <c r="H614" t="s">
        <v>1774</v>
      </c>
      <c r="I614">
        <v>-10.29</v>
      </c>
      <c r="J614">
        <v>1.04</v>
      </c>
      <c r="K614">
        <v>66.05</v>
      </c>
      <c r="L614">
        <v>55.85</v>
      </c>
      <c r="M614">
        <v>10.199999999999999</v>
      </c>
    </row>
    <row r="615" spans="5:13" x14ac:dyDescent="0.15">
      <c r="E615" s="12">
        <v>619</v>
      </c>
      <c r="F615" s="11" t="s">
        <v>1045</v>
      </c>
      <c r="G615" t="s">
        <v>1807</v>
      </c>
      <c r="H615" t="s">
        <v>1774</v>
      </c>
      <c r="I615">
        <v>-13.07</v>
      </c>
      <c r="J615">
        <v>0.55000000000000004</v>
      </c>
      <c r="K615">
        <v>65.94</v>
      </c>
      <c r="L615">
        <v>46.7</v>
      </c>
      <c r="M615">
        <v>19.239999999999998</v>
      </c>
    </row>
    <row r="616" spans="5:13" x14ac:dyDescent="0.15">
      <c r="E616" s="12">
        <v>620</v>
      </c>
      <c r="F616" s="11" t="s">
        <v>1808</v>
      </c>
      <c r="G616" t="s">
        <v>1809</v>
      </c>
      <c r="H616" t="s">
        <v>1774</v>
      </c>
      <c r="I616">
        <v>-9</v>
      </c>
      <c r="J616">
        <v>3.37</v>
      </c>
      <c r="K616">
        <v>65.36</v>
      </c>
      <c r="L616">
        <v>63.27</v>
      </c>
      <c r="M616">
        <v>2.09</v>
      </c>
    </row>
    <row r="617" spans="5:13" x14ac:dyDescent="0.15">
      <c r="E617" s="12">
        <v>621</v>
      </c>
      <c r="F617" s="11" t="s">
        <v>908</v>
      </c>
      <c r="G617" t="s">
        <v>1810</v>
      </c>
      <c r="H617" t="s">
        <v>1774</v>
      </c>
      <c r="I617">
        <v>-15.05</v>
      </c>
      <c r="J617">
        <v>0.39</v>
      </c>
      <c r="K617">
        <v>65.240000000000009</v>
      </c>
      <c r="L617">
        <v>40.56</v>
      </c>
      <c r="M617">
        <v>24.68</v>
      </c>
    </row>
    <row r="618" spans="5:13" x14ac:dyDescent="0.15">
      <c r="E618" s="12">
        <v>622</v>
      </c>
      <c r="F618" s="11" t="s">
        <v>608</v>
      </c>
      <c r="G618" t="s">
        <v>1811</v>
      </c>
      <c r="H618" t="s">
        <v>1774</v>
      </c>
      <c r="I618">
        <v>-19.34</v>
      </c>
      <c r="J618">
        <v>0.14000000000000001</v>
      </c>
      <c r="K618">
        <v>65.23</v>
      </c>
      <c r="L618">
        <v>25.14</v>
      </c>
      <c r="M618">
        <v>40.090000000000003</v>
      </c>
    </row>
    <row r="619" spans="5:13" x14ac:dyDescent="0.15">
      <c r="E619" s="12">
        <v>623</v>
      </c>
      <c r="F619" s="11" t="s">
        <v>467</v>
      </c>
      <c r="G619" t="s">
        <v>1812</v>
      </c>
      <c r="H619" t="s">
        <v>1774</v>
      </c>
      <c r="I619">
        <v>-24.37</v>
      </c>
      <c r="J619">
        <v>-0.14000000000000001</v>
      </c>
      <c r="K619">
        <v>65.12</v>
      </c>
      <c r="L619">
        <v>5.56</v>
      </c>
      <c r="M619">
        <v>59.56</v>
      </c>
    </row>
    <row r="620" spans="5:13" x14ac:dyDescent="0.15">
      <c r="E620" s="12">
        <v>624</v>
      </c>
      <c r="F620" s="11" t="s">
        <v>777</v>
      </c>
      <c r="G620" t="s">
        <v>1813</v>
      </c>
      <c r="H620" t="s">
        <v>1774</v>
      </c>
      <c r="I620">
        <v>-24.31</v>
      </c>
      <c r="J620">
        <v>-0.13</v>
      </c>
      <c r="K620">
        <v>64.89</v>
      </c>
      <c r="L620">
        <v>5.68</v>
      </c>
      <c r="M620">
        <v>59.21</v>
      </c>
    </row>
    <row r="621" spans="5:13" x14ac:dyDescent="0.15">
      <c r="E621" s="12">
        <v>625</v>
      </c>
      <c r="F621" s="11" t="s">
        <v>801</v>
      </c>
      <c r="G621" t="s">
        <v>1814</v>
      </c>
      <c r="H621" t="s">
        <v>1774</v>
      </c>
      <c r="I621">
        <v>-26.48</v>
      </c>
      <c r="J621">
        <v>-0.19</v>
      </c>
      <c r="K621">
        <v>64.89</v>
      </c>
      <c r="L621">
        <v>1.97</v>
      </c>
      <c r="M621">
        <v>62.92</v>
      </c>
    </row>
    <row r="622" spans="5:13" x14ac:dyDescent="0.15">
      <c r="E622" s="12">
        <v>626</v>
      </c>
      <c r="F622" s="11" t="s">
        <v>631</v>
      </c>
      <c r="G622" t="s">
        <v>1815</v>
      </c>
      <c r="H622" t="s">
        <v>1774</v>
      </c>
      <c r="I622">
        <v>-21.96</v>
      </c>
      <c r="J622">
        <v>0</v>
      </c>
      <c r="K622">
        <v>64.77</v>
      </c>
      <c r="L622">
        <v>12.86</v>
      </c>
      <c r="M622">
        <v>51.91</v>
      </c>
    </row>
    <row r="623" spans="5:13" x14ac:dyDescent="0.15">
      <c r="E623" s="12">
        <v>627</v>
      </c>
      <c r="F623" s="11" t="s">
        <v>496</v>
      </c>
      <c r="G623" t="s">
        <v>1816</v>
      </c>
      <c r="H623" t="s">
        <v>1774</v>
      </c>
      <c r="I623">
        <v>-11.04</v>
      </c>
      <c r="J623">
        <v>0.97</v>
      </c>
      <c r="K623">
        <v>64.66</v>
      </c>
      <c r="L623">
        <v>53.88</v>
      </c>
      <c r="M623">
        <v>10.78</v>
      </c>
    </row>
    <row r="624" spans="5:13" x14ac:dyDescent="0.15">
      <c r="E624" s="12">
        <v>628</v>
      </c>
      <c r="F624" s="11" t="s">
        <v>488</v>
      </c>
      <c r="G624" t="s">
        <v>1817</v>
      </c>
      <c r="H624" t="s">
        <v>1774</v>
      </c>
      <c r="I624">
        <v>-21.51</v>
      </c>
      <c r="J624">
        <v>0</v>
      </c>
      <c r="K624">
        <v>64.66</v>
      </c>
      <c r="L624">
        <v>16.34</v>
      </c>
      <c r="M624">
        <v>48.32</v>
      </c>
    </row>
    <row r="625" spans="5:13" x14ac:dyDescent="0.15">
      <c r="E625" s="12">
        <v>629</v>
      </c>
      <c r="F625" s="11" t="s">
        <v>1068</v>
      </c>
      <c r="G625" t="s">
        <v>1818</v>
      </c>
      <c r="H625" t="s">
        <v>1774</v>
      </c>
      <c r="I625">
        <v>-21.42</v>
      </c>
      <c r="J625">
        <v>0</v>
      </c>
      <c r="K625">
        <v>64.55</v>
      </c>
      <c r="L625">
        <v>17.27</v>
      </c>
      <c r="M625">
        <v>47.28</v>
      </c>
    </row>
    <row r="626" spans="5:13" x14ac:dyDescent="0.15">
      <c r="E626" s="12">
        <v>630</v>
      </c>
      <c r="F626" s="11" t="s">
        <v>490</v>
      </c>
      <c r="G626" t="s">
        <v>1566</v>
      </c>
      <c r="H626" t="s">
        <v>1774</v>
      </c>
      <c r="I626">
        <v>-21.23</v>
      </c>
      <c r="J626">
        <v>0</v>
      </c>
      <c r="K626">
        <v>64.540000000000006</v>
      </c>
      <c r="L626">
        <v>18.190000000000001</v>
      </c>
      <c r="M626">
        <v>46.35</v>
      </c>
    </row>
    <row r="627" spans="5:13" x14ac:dyDescent="0.15">
      <c r="E627" s="12">
        <v>631</v>
      </c>
      <c r="F627" s="11" t="s">
        <v>508</v>
      </c>
      <c r="G627" t="s">
        <v>382</v>
      </c>
      <c r="H627" t="s">
        <v>1774</v>
      </c>
      <c r="I627">
        <v>-14.84</v>
      </c>
      <c r="J627">
        <v>0.43</v>
      </c>
      <c r="K627">
        <v>64.539999999999992</v>
      </c>
      <c r="L627">
        <v>41.25</v>
      </c>
      <c r="M627">
        <v>23.29</v>
      </c>
    </row>
    <row r="628" spans="5:13" x14ac:dyDescent="0.15">
      <c r="E628" s="12">
        <v>632</v>
      </c>
      <c r="F628" s="11" t="s">
        <v>479</v>
      </c>
      <c r="G628" t="s">
        <v>1804</v>
      </c>
      <c r="H628" t="s">
        <v>1774</v>
      </c>
      <c r="I628">
        <v>-9.4499999999999993</v>
      </c>
      <c r="J628">
        <v>2.34</v>
      </c>
      <c r="K628">
        <v>64.430000000000007</v>
      </c>
      <c r="L628">
        <v>60.95</v>
      </c>
      <c r="M628">
        <v>3.48</v>
      </c>
    </row>
    <row r="629" spans="5:13" x14ac:dyDescent="0.15">
      <c r="E629" s="12">
        <v>633</v>
      </c>
      <c r="F629" s="11" t="s">
        <v>705</v>
      </c>
      <c r="G629" t="s">
        <v>403</v>
      </c>
      <c r="H629" t="s">
        <v>1774</v>
      </c>
      <c r="I629">
        <v>-21.26</v>
      </c>
      <c r="J629">
        <v>0</v>
      </c>
      <c r="K629">
        <v>64.31</v>
      </c>
      <c r="L629">
        <v>18.079999999999998</v>
      </c>
      <c r="M629">
        <v>46.23</v>
      </c>
    </row>
    <row r="630" spans="5:13" x14ac:dyDescent="0.15">
      <c r="E630" s="12">
        <v>634</v>
      </c>
      <c r="F630" s="11" t="s">
        <v>800</v>
      </c>
      <c r="G630" t="s">
        <v>1819</v>
      </c>
      <c r="H630" t="s">
        <v>1774</v>
      </c>
      <c r="I630">
        <v>-22.51</v>
      </c>
      <c r="J630">
        <v>0</v>
      </c>
      <c r="K630">
        <v>64.2</v>
      </c>
      <c r="L630">
        <v>10.199999999999999</v>
      </c>
      <c r="M630">
        <v>54</v>
      </c>
    </row>
    <row r="631" spans="5:13" x14ac:dyDescent="0.15">
      <c r="E631" s="12">
        <v>635</v>
      </c>
      <c r="F631" s="11" t="s">
        <v>1072</v>
      </c>
      <c r="G631" t="s">
        <v>1820</v>
      </c>
      <c r="H631" t="s">
        <v>1774</v>
      </c>
      <c r="I631">
        <v>-10.01</v>
      </c>
      <c r="J631">
        <v>1.64</v>
      </c>
      <c r="K631">
        <v>64.08</v>
      </c>
      <c r="L631">
        <v>58.98</v>
      </c>
      <c r="M631">
        <v>5.0999999999999996</v>
      </c>
    </row>
    <row r="632" spans="5:13" x14ac:dyDescent="0.15">
      <c r="E632" s="12">
        <v>636</v>
      </c>
      <c r="F632" s="11" t="s">
        <v>566</v>
      </c>
      <c r="G632" t="s">
        <v>1821</v>
      </c>
      <c r="H632" t="s">
        <v>1774</v>
      </c>
      <c r="I632">
        <v>-22.76</v>
      </c>
      <c r="J632">
        <v>-0.01</v>
      </c>
      <c r="K632">
        <v>64.08</v>
      </c>
      <c r="L632">
        <v>8.92</v>
      </c>
      <c r="M632">
        <v>55.16</v>
      </c>
    </row>
    <row r="633" spans="5:13" x14ac:dyDescent="0.15">
      <c r="E633" s="12">
        <v>637</v>
      </c>
      <c r="F633" s="11" t="s">
        <v>692</v>
      </c>
      <c r="G633" t="s">
        <v>1822</v>
      </c>
      <c r="H633" t="s">
        <v>1774</v>
      </c>
      <c r="I633">
        <v>-18.48</v>
      </c>
      <c r="J633">
        <v>0.2</v>
      </c>
      <c r="K633">
        <v>63.97</v>
      </c>
      <c r="L633">
        <v>28.51</v>
      </c>
      <c r="M633">
        <v>35.46</v>
      </c>
    </row>
    <row r="634" spans="5:13" x14ac:dyDescent="0.15">
      <c r="E634" s="12">
        <v>638</v>
      </c>
      <c r="F634" s="11" t="s">
        <v>537</v>
      </c>
      <c r="G634" t="s">
        <v>1823</v>
      </c>
      <c r="H634" t="s">
        <v>1774</v>
      </c>
      <c r="I634">
        <v>-19.45</v>
      </c>
      <c r="J634">
        <v>0.15</v>
      </c>
      <c r="K634">
        <v>63.959999999999994</v>
      </c>
      <c r="L634">
        <v>24.45</v>
      </c>
      <c r="M634">
        <v>39.51</v>
      </c>
    </row>
    <row r="635" spans="5:13" x14ac:dyDescent="0.15">
      <c r="E635" s="12">
        <v>639</v>
      </c>
      <c r="F635" s="11" t="s">
        <v>729</v>
      </c>
      <c r="G635" t="s">
        <v>1824</v>
      </c>
      <c r="H635" t="s">
        <v>1774</v>
      </c>
      <c r="I635">
        <v>-18.329999999999998</v>
      </c>
      <c r="J635">
        <v>0.21</v>
      </c>
      <c r="K635">
        <v>63.959999999999994</v>
      </c>
      <c r="L635">
        <v>29.2</v>
      </c>
      <c r="M635">
        <v>34.76</v>
      </c>
    </row>
    <row r="636" spans="5:13" x14ac:dyDescent="0.15">
      <c r="E636" s="12">
        <v>640</v>
      </c>
      <c r="F636" s="11" t="s">
        <v>880</v>
      </c>
      <c r="G636" t="s">
        <v>1825</v>
      </c>
      <c r="H636" t="s">
        <v>1774</v>
      </c>
      <c r="I636">
        <v>-14.26</v>
      </c>
      <c r="J636">
        <v>0.54</v>
      </c>
      <c r="K636">
        <v>63.620000000000005</v>
      </c>
      <c r="L636">
        <v>43.57</v>
      </c>
      <c r="M636">
        <v>20.05</v>
      </c>
    </row>
    <row r="637" spans="5:13" x14ac:dyDescent="0.15">
      <c r="E637" s="12">
        <v>641</v>
      </c>
      <c r="F637" s="11" t="s">
        <v>449</v>
      </c>
      <c r="G637" t="s">
        <v>381</v>
      </c>
      <c r="H637" t="s">
        <v>1774</v>
      </c>
      <c r="I637">
        <v>-20.55</v>
      </c>
      <c r="J637">
        <v>0.11</v>
      </c>
      <c r="K637">
        <v>63.61</v>
      </c>
      <c r="L637">
        <v>20.97</v>
      </c>
      <c r="M637">
        <v>42.64</v>
      </c>
    </row>
    <row r="638" spans="5:13" x14ac:dyDescent="0.15">
      <c r="E638" s="12">
        <v>642</v>
      </c>
      <c r="F638" s="11" t="s">
        <v>911</v>
      </c>
      <c r="G638" t="s">
        <v>1826</v>
      </c>
      <c r="H638" t="s">
        <v>1774</v>
      </c>
      <c r="I638">
        <v>-13.82</v>
      </c>
      <c r="J638">
        <v>0.56999999999999995</v>
      </c>
      <c r="K638">
        <v>63.39</v>
      </c>
      <c r="L638">
        <v>44.5</v>
      </c>
      <c r="M638">
        <v>18.89</v>
      </c>
    </row>
    <row r="639" spans="5:13" x14ac:dyDescent="0.15">
      <c r="E639" s="12">
        <v>643</v>
      </c>
      <c r="F639" s="11" t="s">
        <v>1058</v>
      </c>
      <c r="G639" t="s">
        <v>1827</v>
      </c>
      <c r="H639" t="s">
        <v>1774</v>
      </c>
      <c r="I639">
        <v>-21.8</v>
      </c>
      <c r="J639">
        <v>0</v>
      </c>
      <c r="K639">
        <v>63.269999999999996</v>
      </c>
      <c r="L639">
        <v>13.79</v>
      </c>
      <c r="M639">
        <v>49.48</v>
      </c>
    </row>
    <row r="640" spans="5:13" x14ac:dyDescent="0.15">
      <c r="E640" s="12">
        <v>644</v>
      </c>
      <c r="F640" s="11" t="s">
        <v>958</v>
      </c>
      <c r="G640" t="s">
        <v>1828</v>
      </c>
      <c r="H640" t="s">
        <v>1774</v>
      </c>
      <c r="I640">
        <v>-14.73</v>
      </c>
      <c r="J640">
        <v>0.46</v>
      </c>
      <c r="K640">
        <v>63.269999999999996</v>
      </c>
      <c r="L640">
        <v>41.83</v>
      </c>
      <c r="M640">
        <v>21.44</v>
      </c>
    </row>
    <row r="641" spans="5:13" x14ac:dyDescent="0.15">
      <c r="E641" s="12">
        <v>645</v>
      </c>
      <c r="F641" s="11" t="s">
        <v>455</v>
      </c>
      <c r="G641" t="s">
        <v>1829</v>
      </c>
      <c r="H641" t="s">
        <v>1774</v>
      </c>
      <c r="I641">
        <v>-21.7</v>
      </c>
      <c r="J641">
        <v>0</v>
      </c>
      <c r="K641">
        <v>63.150000000000006</v>
      </c>
      <c r="L641">
        <v>14.48</v>
      </c>
      <c r="M641">
        <v>48.67</v>
      </c>
    </row>
    <row r="642" spans="5:13" x14ac:dyDescent="0.15">
      <c r="E642" s="12">
        <v>646</v>
      </c>
      <c r="F642" s="11" t="s">
        <v>830</v>
      </c>
      <c r="G642" t="s">
        <v>1830</v>
      </c>
      <c r="H642" t="s">
        <v>1774</v>
      </c>
      <c r="I642">
        <v>-12.15</v>
      </c>
      <c r="J642">
        <v>0.81</v>
      </c>
      <c r="K642">
        <v>63.03</v>
      </c>
      <c r="L642">
        <v>49.94</v>
      </c>
      <c r="M642">
        <v>13.09</v>
      </c>
    </row>
    <row r="643" spans="5:13" x14ac:dyDescent="0.15">
      <c r="E643" s="12">
        <v>647</v>
      </c>
      <c r="F643" s="11" t="s">
        <v>985</v>
      </c>
      <c r="G643" t="s">
        <v>1831</v>
      </c>
      <c r="H643" t="s">
        <v>1774</v>
      </c>
      <c r="I643">
        <v>-25.39</v>
      </c>
      <c r="J643">
        <v>-0.14000000000000001</v>
      </c>
      <c r="K643">
        <v>62.92</v>
      </c>
      <c r="L643">
        <v>3.13</v>
      </c>
      <c r="M643">
        <v>59.79</v>
      </c>
    </row>
    <row r="644" spans="5:13" x14ac:dyDescent="0.15">
      <c r="E644" s="12">
        <v>648</v>
      </c>
      <c r="F644" s="11" t="s">
        <v>953</v>
      </c>
      <c r="G644" t="s">
        <v>1832</v>
      </c>
      <c r="H644" t="s">
        <v>1774</v>
      </c>
      <c r="I644">
        <v>-16.11</v>
      </c>
      <c r="J644">
        <v>0.35</v>
      </c>
      <c r="K644">
        <v>62.81</v>
      </c>
      <c r="L644">
        <v>36.270000000000003</v>
      </c>
      <c r="M644">
        <v>26.54</v>
      </c>
    </row>
    <row r="645" spans="5:13" x14ac:dyDescent="0.15">
      <c r="E645" s="12">
        <v>649</v>
      </c>
      <c r="F645" s="11" t="s">
        <v>550</v>
      </c>
      <c r="G645" t="s">
        <v>1833</v>
      </c>
      <c r="H645" t="s">
        <v>1774</v>
      </c>
      <c r="I645">
        <v>-26.7</v>
      </c>
      <c r="J645">
        <v>-0.15</v>
      </c>
      <c r="K645">
        <v>62.809999999999995</v>
      </c>
      <c r="L645">
        <v>1.51</v>
      </c>
      <c r="M645">
        <v>61.3</v>
      </c>
    </row>
    <row r="646" spans="5:13" x14ac:dyDescent="0.15">
      <c r="E646" s="12">
        <v>650</v>
      </c>
      <c r="F646" s="11" t="s">
        <v>798</v>
      </c>
      <c r="G646" t="s">
        <v>1834</v>
      </c>
      <c r="H646" t="s">
        <v>1774</v>
      </c>
      <c r="I646">
        <v>-15.61</v>
      </c>
      <c r="J646">
        <v>0.38</v>
      </c>
      <c r="K646">
        <v>62.8</v>
      </c>
      <c r="L646">
        <v>37.89</v>
      </c>
      <c r="M646">
        <v>24.91</v>
      </c>
    </row>
    <row r="647" spans="5:13" x14ac:dyDescent="0.15">
      <c r="E647" s="12">
        <v>651</v>
      </c>
      <c r="F647" s="11" t="s">
        <v>521</v>
      </c>
      <c r="G647" t="s">
        <v>1835</v>
      </c>
      <c r="H647" t="s">
        <v>1774</v>
      </c>
      <c r="I647">
        <v>-24.53</v>
      </c>
      <c r="J647">
        <v>-0.11</v>
      </c>
      <c r="K647">
        <v>62.8</v>
      </c>
      <c r="L647">
        <v>5.33</v>
      </c>
      <c r="M647">
        <v>57.47</v>
      </c>
    </row>
    <row r="648" spans="5:13" x14ac:dyDescent="0.15">
      <c r="E648" s="12">
        <v>652</v>
      </c>
      <c r="F648" s="11" t="s">
        <v>872</v>
      </c>
      <c r="G648" t="s">
        <v>1836</v>
      </c>
      <c r="H648" t="s">
        <v>1774</v>
      </c>
      <c r="I648">
        <v>-11.63</v>
      </c>
      <c r="J648">
        <v>0.96</v>
      </c>
      <c r="K648">
        <v>62.57</v>
      </c>
      <c r="L648">
        <v>51.68</v>
      </c>
      <c r="M648">
        <v>10.89</v>
      </c>
    </row>
    <row r="649" spans="5:13" x14ac:dyDescent="0.15">
      <c r="E649" s="12">
        <v>653</v>
      </c>
      <c r="F649" s="11" t="s">
        <v>998</v>
      </c>
      <c r="G649" t="s">
        <v>1837</v>
      </c>
      <c r="H649" t="s">
        <v>1774</v>
      </c>
      <c r="I649">
        <v>-18.52</v>
      </c>
      <c r="J649">
        <v>0.22</v>
      </c>
      <c r="K649">
        <v>62.45</v>
      </c>
      <c r="L649">
        <v>28.27</v>
      </c>
      <c r="M649">
        <v>34.18</v>
      </c>
    </row>
    <row r="650" spans="5:13" x14ac:dyDescent="0.15">
      <c r="E650" s="12">
        <v>654</v>
      </c>
      <c r="F650" s="11" t="s">
        <v>966</v>
      </c>
      <c r="G650" t="s">
        <v>1838</v>
      </c>
      <c r="H650" t="s">
        <v>1774</v>
      </c>
      <c r="I650">
        <v>-26.72</v>
      </c>
      <c r="J650">
        <v>-0.15</v>
      </c>
      <c r="K650">
        <v>62.34</v>
      </c>
      <c r="L650">
        <v>1.39</v>
      </c>
      <c r="M650">
        <v>60.95</v>
      </c>
    </row>
    <row r="651" spans="5:13" x14ac:dyDescent="0.15">
      <c r="E651" s="12">
        <v>655</v>
      </c>
      <c r="F651" s="11" t="s">
        <v>886</v>
      </c>
      <c r="G651" t="s">
        <v>1839</v>
      </c>
      <c r="H651" t="s">
        <v>1774</v>
      </c>
      <c r="I651">
        <v>-9.4</v>
      </c>
      <c r="J651">
        <v>5.19</v>
      </c>
      <c r="K651">
        <v>61.99</v>
      </c>
      <c r="L651">
        <v>61.18</v>
      </c>
      <c r="M651">
        <v>0.81</v>
      </c>
    </row>
    <row r="652" spans="5:13" x14ac:dyDescent="0.15">
      <c r="E652" s="12">
        <v>656</v>
      </c>
      <c r="F652" s="11" t="s">
        <v>473</v>
      </c>
      <c r="G652" t="s">
        <v>1840</v>
      </c>
      <c r="H652" t="s">
        <v>1774</v>
      </c>
      <c r="I652">
        <v>-22.66</v>
      </c>
      <c r="J652">
        <v>0</v>
      </c>
      <c r="K652">
        <v>61.76</v>
      </c>
      <c r="L652">
        <v>9.5</v>
      </c>
      <c r="M652">
        <v>52.26</v>
      </c>
    </row>
    <row r="653" spans="5:13" x14ac:dyDescent="0.15">
      <c r="E653" s="12">
        <v>657</v>
      </c>
      <c r="F653" s="11" t="s">
        <v>582</v>
      </c>
      <c r="G653" t="s">
        <v>1841</v>
      </c>
      <c r="H653" t="s">
        <v>1774</v>
      </c>
      <c r="I653">
        <v>-17.579999999999998</v>
      </c>
      <c r="J653">
        <v>0.28999999999999998</v>
      </c>
      <c r="K653">
        <v>61.65</v>
      </c>
      <c r="L653">
        <v>31.75</v>
      </c>
      <c r="M653">
        <v>29.9</v>
      </c>
    </row>
    <row r="654" spans="5:13" x14ac:dyDescent="0.15">
      <c r="E654" s="12">
        <v>658</v>
      </c>
      <c r="F654" s="11" t="s">
        <v>875</v>
      </c>
      <c r="G654" t="s">
        <v>1842</v>
      </c>
      <c r="H654" t="s">
        <v>1774</v>
      </c>
      <c r="I654">
        <v>-20.81</v>
      </c>
      <c r="J654">
        <v>0.13</v>
      </c>
      <c r="K654">
        <v>61.64</v>
      </c>
      <c r="L654">
        <v>19.93</v>
      </c>
      <c r="M654">
        <v>41.71</v>
      </c>
    </row>
    <row r="655" spans="5:13" x14ac:dyDescent="0.15">
      <c r="E655" s="12">
        <v>659</v>
      </c>
      <c r="F655" s="11" t="s">
        <v>601</v>
      </c>
      <c r="G655" t="s">
        <v>1843</v>
      </c>
      <c r="H655" t="s">
        <v>1774</v>
      </c>
      <c r="I655">
        <v>-22.24</v>
      </c>
      <c r="J655">
        <v>0</v>
      </c>
      <c r="K655">
        <v>61.64</v>
      </c>
      <c r="L655">
        <v>11.12</v>
      </c>
      <c r="M655">
        <v>50.52</v>
      </c>
    </row>
    <row r="656" spans="5:13" x14ac:dyDescent="0.15">
      <c r="E656" s="12">
        <v>660</v>
      </c>
      <c r="F656" s="11" t="s">
        <v>481</v>
      </c>
      <c r="G656" t="s">
        <v>1844</v>
      </c>
      <c r="H656" t="s">
        <v>1774</v>
      </c>
      <c r="I656">
        <v>-25.08</v>
      </c>
      <c r="J656">
        <v>-0.12</v>
      </c>
      <c r="K656">
        <v>61.53</v>
      </c>
      <c r="L656">
        <v>3.59</v>
      </c>
      <c r="M656">
        <v>57.94</v>
      </c>
    </row>
    <row r="657" spans="5:13" x14ac:dyDescent="0.15">
      <c r="E657" s="12">
        <v>661</v>
      </c>
      <c r="F657" s="11" t="s">
        <v>461</v>
      </c>
      <c r="G657" t="s">
        <v>1845</v>
      </c>
      <c r="H657" t="s">
        <v>1774</v>
      </c>
      <c r="I657">
        <v>-20.7</v>
      </c>
      <c r="J657">
        <v>0.13</v>
      </c>
      <c r="K657">
        <v>61.41</v>
      </c>
      <c r="L657">
        <v>20.51</v>
      </c>
      <c r="M657">
        <v>40.9</v>
      </c>
    </row>
    <row r="658" spans="5:13" x14ac:dyDescent="0.15">
      <c r="E658" s="12">
        <v>662</v>
      </c>
      <c r="F658" s="11" t="s">
        <v>544</v>
      </c>
      <c r="G658" t="s">
        <v>1846</v>
      </c>
      <c r="H658" t="s">
        <v>1774</v>
      </c>
      <c r="I658">
        <v>-19.690000000000001</v>
      </c>
      <c r="J658">
        <v>0.17</v>
      </c>
      <c r="K658">
        <v>61.29</v>
      </c>
      <c r="L658">
        <v>23.17</v>
      </c>
      <c r="M658">
        <v>38.119999999999997</v>
      </c>
    </row>
    <row r="659" spans="5:13" x14ac:dyDescent="0.15">
      <c r="E659" s="12">
        <v>663</v>
      </c>
      <c r="F659" s="11" t="s">
        <v>561</v>
      </c>
      <c r="G659" t="s">
        <v>1847</v>
      </c>
      <c r="H659" t="s">
        <v>1774</v>
      </c>
      <c r="I659">
        <v>-15.91</v>
      </c>
      <c r="J659">
        <v>0.42</v>
      </c>
      <c r="K659">
        <v>60.84</v>
      </c>
      <c r="L659">
        <v>37.200000000000003</v>
      </c>
      <c r="M659">
        <v>23.64</v>
      </c>
    </row>
    <row r="660" spans="5:13" x14ac:dyDescent="0.15">
      <c r="E660" s="12">
        <v>664</v>
      </c>
      <c r="F660" s="11" t="s">
        <v>587</v>
      </c>
      <c r="G660" t="s">
        <v>1848</v>
      </c>
      <c r="H660" t="s">
        <v>1774</v>
      </c>
      <c r="I660">
        <v>-15.99</v>
      </c>
      <c r="J660">
        <v>0.42</v>
      </c>
      <c r="K660">
        <v>60.83</v>
      </c>
      <c r="L660">
        <v>36.96</v>
      </c>
      <c r="M660">
        <v>23.87</v>
      </c>
    </row>
    <row r="661" spans="5:13" x14ac:dyDescent="0.15">
      <c r="E661" s="12">
        <v>665</v>
      </c>
      <c r="F661" s="11" t="s">
        <v>1055</v>
      </c>
      <c r="G661" t="s">
        <v>1849</v>
      </c>
      <c r="H661" t="s">
        <v>1774</v>
      </c>
      <c r="I661">
        <v>-16.09</v>
      </c>
      <c r="J661">
        <v>0.4</v>
      </c>
      <c r="K661">
        <v>60.83</v>
      </c>
      <c r="L661">
        <v>36.5</v>
      </c>
      <c r="M661">
        <v>24.33</v>
      </c>
    </row>
    <row r="662" spans="5:13" x14ac:dyDescent="0.15">
      <c r="E662" s="12">
        <v>666</v>
      </c>
      <c r="F662" s="11" t="s">
        <v>560</v>
      </c>
      <c r="G662" t="s">
        <v>1847</v>
      </c>
      <c r="H662" t="s">
        <v>1774</v>
      </c>
      <c r="I662">
        <v>-22.73</v>
      </c>
      <c r="J662">
        <v>0</v>
      </c>
      <c r="K662">
        <v>60.71</v>
      </c>
      <c r="L662">
        <v>9.15</v>
      </c>
      <c r="M662">
        <v>51.56</v>
      </c>
    </row>
    <row r="663" spans="5:13" x14ac:dyDescent="0.15">
      <c r="E663" s="12">
        <v>667</v>
      </c>
      <c r="F663" s="11" t="s">
        <v>1010</v>
      </c>
      <c r="G663" t="s">
        <v>1850</v>
      </c>
      <c r="H663" t="s">
        <v>1774</v>
      </c>
      <c r="I663">
        <v>-12.48</v>
      </c>
      <c r="J663">
        <v>0.88</v>
      </c>
      <c r="K663">
        <v>60.370000000000005</v>
      </c>
      <c r="L663">
        <v>48.2</v>
      </c>
      <c r="M663">
        <v>12.17</v>
      </c>
    </row>
    <row r="664" spans="5:13" x14ac:dyDescent="0.15">
      <c r="E664" s="12">
        <v>668</v>
      </c>
      <c r="F664" s="11" t="s">
        <v>470</v>
      </c>
      <c r="G664" t="s">
        <v>1851</v>
      </c>
      <c r="H664" t="s">
        <v>1774</v>
      </c>
      <c r="I664">
        <v>-20.66</v>
      </c>
      <c r="J664">
        <v>0.15</v>
      </c>
      <c r="K664">
        <v>60.370000000000005</v>
      </c>
      <c r="L664">
        <v>20.74</v>
      </c>
      <c r="M664">
        <v>39.630000000000003</v>
      </c>
    </row>
    <row r="665" spans="5:13" x14ac:dyDescent="0.15">
      <c r="E665" s="12">
        <v>669</v>
      </c>
      <c r="F665" s="11" t="s">
        <v>638</v>
      </c>
      <c r="G665" t="s">
        <v>1852</v>
      </c>
      <c r="H665" t="s">
        <v>1774</v>
      </c>
      <c r="I665">
        <v>-15.15</v>
      </c>
      <c r="J665">
        <v>0.5</v>
      </c>
      <c r="K665">
        <v>60.370000000000005</v>
      </c>
      <c r="L665">
        <v>39.86</v>
      </c>
      <c r="M665">
        <v>20.51</v>
      </c>
    </row>
  </sheetData>
  <autoFilter ref="A2:M665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模块1.rotate_LOF_ETF">
                <anchor moveWithCells="1" sizeWithCells="1">
                  <from>
                    <xdr:col>14</xdr:col>
                    <xdr:colOff>171450</xdr:colOff>
                    <xdr:row>2</xdr:row>
                    <xdr:rowOff>161925</xdr:rowOff>
                  </from>
                  <to>
                    <xdr:col>15</xdr:col>
                    <xdr:colOff>542925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131"/>
  <sheetViews>
    <sheetView workbookViewId="0">
      <pane ySplit="2" topLeftCell="A18" activePane="bottomLeft" state="frozen"/>
      <selection pane="bottomLeft" activeCell="H18" sqref="H18"/>
    </sheetView>
  </sheetViews>
  <sheetFormatPr defaultRowHeight="14.25" x14ac:dyDescent="0.15"/>
  <cols>
    <col min="1" max="3" width="13.75" bestFit="1" customWidth="1"/>
    <col min="5" max="5" width="4.5" style="12" bestFit="1" customWidth="1"/>
    <col min="6" max="6" width="13.75" bestFit="1" customWidth="1"/>
    <col min="7" max="7" width="19.375" bestFit="1" customWidth="1"/>
    <col min="8" max="8" width="13.75" bestFit="1" customWidth="1"/>
    <col min="9" max="9" width="20.625" bestFit="1" customWidth="1"/>
    <col min="10" max="10" width="11.75" bestFit="1" customWidth="1"/>
    <col min="11" max="11" width="13.75" bestFit="1" customWidth="1"/>
    <col min="12" max="12" width="28.5" bestFit="1" customWidth="1"/>
    <col min="13" max="13" width="19.375" bestFit="1" customWidth="1"/>
  </cols>
  <sheetData>
    <row r="1" spans="1:16" x14ac:dyDescent="0.15">
      <c r="A1" s="10" t="s">
        <v>435</v>
      </c>
      <c r="F1" s="10" t="s">
        <v>1109</v>
      </c>
    </row>
    <row r="2" spans="1:16" x14ac:dyDescent="0.15">
      <c r="A2" s="3" t="s">
        <v>147</v>
      </c>
      <c r="B2" s="3" t="s">
        <v>146</v>
      </c>
      <c r="C2" s="3" t="s">
        <v>434</v>
      </c>
      <c r="F2" s="3" t="s">
        <v>147</v>
      </c>
      <c r="G2" s="3" t="s">
        <v>146</v>
      </c>
      <c r="H2" s="3" t="s">
        <v>145</v>
      </c>
      <c r="I2" s="3" t="s">
        <v>144</v>
      </c>
      <c r="J2" s="3" t="s">
        <v>143</v>
      </c>
      <c r="K2" s="3" t="s">
        <v>142</v>
      </c>
      <c r="L2" s="3" t="s">
        <v>141</v>
      </c>
      <c r="M2" s="3" t="s">
        <v>140</v>
      </c>
    </row>
    <row r="3" spans="1:16" x14ac:dyDescent="0.15">
      <c r="A3">
        <v>159866</v>
      </c>
      <c r="B3" t="s">
        <v>1199</v>
      </c>
      <c r="C3">
        <f t="shared" ref="C3:C10" si="0">MATCH(IF(A3&lt;499999,"SZ"&amp;A3,"SH"&amp;A3),$F$3:$F$131,0)</f>
        <v>104</v>
      </c>
      <c r="E3" s="12">
        <v>0</v>
      </c>
      <c r="F3" t="s">
        <v>1075</v>
      </c>
      <c r="G3" t="s">
        <v>128</v>
      </c>
      <c r="H3" t="s">
        <v>18</v>
      </c>
      <c r="I3">
        <v>3.24</v>
      </c>
      <c r="J3">
        <v>-5.42</v>
      </c>
      <c r="K3">
        <v>196.15</v>
      </c>
      <c r="L3">
        <v>96.92</v>
      </c>
      <c r="M3">
        <v>99.23</v>
      </c>
    </row>
    <row r="4" spans="1:16" x14ac:dyDescent="0.15">
      <c r="A4">
        <v>159980</v>
      </c>
      <c r="B4" t="s">
        <v>1200</v>
      </c>
      <c r="C4">
        <f t="shared" si="0"/>
        <v>52</v>
      </c>
      <c r="E4" s="12">
        <v>1</v>
      </c>
      <c r="F4" t="s">
        <v>1080</v>
      </c>
      <c r="G4" t="s">
        <v>130</v>
      </c>
      <c r="H4" t="s">
        <v>18</v>
      </c>
      <c r="I4">
        <v>2.2999999999999998</v>
      </c>
      <c r="J4">
        <v>-4.26</v>
      </c>
      <c r="K4">
        <v>190.77</v>
      </c>
      <c r="L4">
        <v>94.62</v>
      </c>
      <c r="M4">
        <v>96.15</v>
      </c>
    </row>
    <row r="5" spans="1:16" x14ac:dyDescent="0.15">
      <c r="A5">
        <v>159981</v>
      </c>
      <c r="B5" t="s">
        <v>1201</v>
      </c>
      <c r="C5">
        <f t="shared" si="0"/>
        <v>95</v>
      </c>
      <c r="E5" s="12">
        <v>2</v>
      </c>
      <c r="F5" t="s">
        <v>971</v>
      </c>
      <c r="G5" t="s">
        <v>74</v>
      </c>
      <c r="H5" t="s">
        <v>18</v>
      </c>
      <c r="I5">
        <v>1.31</v>
      </c>
      <c r="J5">
        <v>-4.01</v>
      </c>
      <c r="K5">
        <v>183.07999999999998</v>
      </c>
      <c r="L5">
        <v>88.46</v>
      </c>
      <c r="M5">
        <v>94.62</v>
      </c>
      <c r="O5" s="10"/>
      <c r="P5" s="10"/>
    </row>
    <row r="6" spans="1:16" x14ac:dyDescent="0.15">
      <c r="A6">
        <v>160216</v>
      </c>
      <c r="B6" t="s">
        <v>133</v>
      </c>
      <c r="C6">
        <f t="shared" si="0"/>
        <v>97</v>
      </c>
      <c r="E6" s="12">
        <v>3</v>
      </c>
      <c r="F6" t="s">
        <v>1038</v>
      </c>
      <c r="G6" t="s">
        <v>66</v>
      </c>
      <c r="H6" t="s">
        <v>18</v>
      </c>
      <c r="I6">
        <v>0.72</v>
      </c>
      <c r="J6">
        <v>-4.9000000000000004</v>
      </c>
      <c r="K6">
        <v>180</v>
      </c>
      <c r="L6">
        <v>81.540000000000006</v>
      </c>
      <c r="M6">
        <v>98.46</v>
      </c>
      <c r="O6" s="10"/>
      <c r="P6" s="10"/>
    </row>
    <row r="7" spans="1:16" x14ac:dyDescent="0.15">
      <c r="A7">
        <v>161815</v>
      </c>
      <c r="B7" t="s">
        <v>90</v>
      </c>
      <c r="C7">
        <f t="shared" si="0"/>
        <v>85</v>
      </c>
      <c r="E7" s="12">
        <v>4</v>
      </c>
      <c r="F7" t="s">
        <v>913</v>
      </c>
      <c r="G7" t="s">
        <v>110</v>
      </c>
      <c r="H7" t="s">
        <v>18</v>
      </c>
      <c r="I7">
        <v>1.31</v>
      </c>
      <c r="J7">
        <v>-1.68</v>
      </c>
      <c r="K7">
        <v>166.14999999999998</v>
      </c>
      <c r="L7">
        <v>87.69</v>
      </c>
      <c r="M7">
        <v>78.459999999999994</v>
      </c>
      <c r="O7" s="10"/>
      <c r="P7" s="10"/>
    </row>
    <row r="8" spans="1:16" x14ac:dyDescent="0.15">
      <c r="A8">
        <v>163208</v>
      </c>
      <c r="B8" t="s">
        <v>129</v>
      </c>
      <c r="C8">
        <f t="shared" si="0"/>
        <v>94</v>
      </c>
      <c r="E8" s="12">
        <v>5</v>
      </c>
      <c r="F8" t="s">
        <v>825</v>
      </c>
      <c r="G8" t="s">
        <v>438</v>
      </c>
      <c r="H8" t="s">
        <v>18</v>
      </c>
      <c r="I8">
        <v>0.76</v>
      </c>
      <c r="J8">
        <v>-2.14</v>
      </c>
      <c r="K8">
        <v>163.07999999999998</v>
      </c>
      <c r="L8">
        <v>82.31</v>
      </c>
      <c r="M8">
        <v>80.77</v>
      </c>
      <c r="O8" s="10"/>
      <c r="P8" s="10"/>
    </row>
    <row r="9" spans="1:16" x14ac:dyDescent="0.15">
      <c r="A9">
        <v>165513</v>
      </c>
      <c r="B9" t="s">
        <v>131</v>
      </c>
      <c r="C9">
        <f t="shared" si="0"/>
        <v>90</v>
      </c>
      <c r="E9" s="12">
        <v>6</v>
      </c>
      <c r="F9" t="s">
        <v>859</v>
      </c>
      <c r="G9" t="s">
        <v>56</v>
      </c>
      <c r="H9" t="s">
        <v>18</v>
      </c>
      <c r="I9">
        <v>0.98</v>
      </c>
      <c r="J9">
        <v>-1.5</v>
      </c>
      <c r="K9">
        <v>160</v>
      </c>
      <c r="L9">
        <v>83.08</v>
      </c>
      <c r="M9">
        <v>76.92</v>
      </c>
      <c r="O9" s="10"/>
      <c r="P9" s="10"/>
    </row>
    <row r="10" spans="1:16" x14ac:dyDescent="0.15">
      <c r="A10">
        <v>513130</v>
      </c>
      <c r="B10" t="s">
        <v>1202</v>
      </c>
      <c r="C10">
        <f t="shared" si="0"/>
        <v>19</v>
      </c>
      <c r="E10" s="12">
        <v>7</v>
      </c>
      <c r="F10" t="s">
        <v>1065</v>
      </c>
      <c r="G10" t="s">
        <v>127</v>
      </c>
      <c r="H10" t="s">
        <v>18</v>
      </c>
      <c r="I10">
        <v>-2.95</v>
      </c>
      <c r="J10">
        <v>-4.51</v>
      </c>
      <c r="K10">
        <v>152.30000000000001</v>
      </c>
      <c r="L10">
        <v>55.38</v>
      </c>
      <c r="M10">
        <v>96.92</v>
      </c>
    </row>
    <row r="11" spans="1:16" x14ac:dyDescent="0.15">
      <c r="E11" s="12">
        <v>8</v>
      </c>
      <c r="F11" t="s">
        <v>902</v>
      </c>
      <c r="G11" t="s">
        <v>76</v>
      </c>
      <c r="H11" t="s">
        <v>18</v>
      </c>
      <c r="I11">
        <v>0</v>
      </c>
      <c r="J11">
        <v>-3.18</v>
      </c>
      <c r="K11">
        <v>151.54000000000002</v>
      </c>
      <c r="L11">
        <v>64.62</v>
      </c>
      <c r="M11">
        <v>86.92</v>
      </c>
    </row>
    <row r="12" spans="1:16" x14ac:dyDescent="0.15">
      <c r="E12" s="12">
        <v>9</v>
      </c>
      <c r="F12" t="s">
        <v>1087</v>
      </c>
      <c r="G12" t="s">
        <v>119</v>
      </c>
      <c r="H12" t="s">
        <v>18</v>
      </c>
      <c r="I12">
        <v>1.44</v>
      </c>
      <c r="J12">
        <v>-0.33</v>
      </c>
      <c r="K12">
        <v>151.54</v>
      </c>
      <c r="L12">
        <v>92.31</v>
      </c>
      <c r="M12">
        <v>59.23</v>
      </c>
    </row>
    <row r="13" spans="1:16" x14ac:dyDescent="0.15">
      <c r="E13" s="12">
        <v>10</v>
      </c>
      <c r="F13" t="s">
        <v>1081</v>
      </c>
      <c r="G13" t="s">
        <v>125</v>
      </c>
      <c r="H13" t="s">
        <v>18</v>
      </c>
      <c r="I13">
        <v>1.45</v>
      </c>
      <c r="J13">
        <v>-0.28000000000000003</v>
      </c>
      <c r="K13">
        <v>151.54</v>
      </c>
      <c r="L13">
        <v>93.85</v>
      </c>
      <c r="M13">
        <v>57.69</v>
      </c>
    </row>
    <row r="14" spans="1:16" x14ac:dyDescent="0.15">
      <c r="E14" s="12">
        <v>11</v>
      </c>
      <c r="F14" t="s">
        <v>889</v>
      </c>
      <c r="G14" t="s">
        <v>115</v>
      </c>
      <c r="H14" t="s">
        <v>18</v>
      </c>
      <c r="I14">
        <v>-2.99</v>
      </c>
      <c r="J14">
        <v>-4.0599999999999996</v>
      </c>
      <c r="K14">
        <v>150</v>
      </c>
      <c r="L14">
        <v>54.62</v>
      </c>
      <c r="M14">
        <v>95.38</v>
      </c>
    </row>
    <row r="15" spans="1:16" x14ac:dyDescent="0.15">
      <c r="E15" s="12">
        <v>12</v>
      </c>
      <c r="F15" t="s">
        <v>1044</v>
      </c>
      <c r="G15" t="s">
        <v>120</v>
      </c>
      <c r="H15" t="s">
        <v>18</v>
      </c>
      <c r="I15">
        <v>6.07</v>
      </c>
      <c r="J15">
        <v>-0.15</v>
      </c>
      <c r="K15">
        <v>149.22999999999999</v>
      </c>
      <c r="L15">
        <v>98.46</v>
      </c>
      <c r="M15">
        <v>50.77</v>
      </c>
    </row>
    <row r="16" spans="1:16" x14ac:dyDescent="0.15">
      <c r="E16" s="12">
        <v>13</v>
      </c>
      <c r="F16" t="s">
        <v>930</v>
      </c>
      <c r="G16" t="s">
        <v>111</v>
      </c>
      <c r="H16" t="s">
        <v>18</v>
      </c>
      <c r="I16">
        <v>-4.38</v>
      </c>
      <c r="J16">
        <v>-4.78</v>
      </c>
      <c r="K16">
        <v>146.91999999999999</v>
      </c>
      <c r="L16">
        <v>49.23</v>
      </c>
      <c r="M16">
        <v>97.69</v>
      </c>
    </row>
    <row r="17" spans="5:13" x14ac:dyDescent="0.15">
      <c r="E17" s="12">
        <v>14</v>
      </c>
      <c r="F17" t="s">
        <v>1082</v>
      </c>
      <c r="G17" t="s">
        <v>114</v>
      </c>
      <c r="H17" t="s">
        <v>18</v>
      </c>
      <c r="I17">
        <v>1.4</v>
      </c>
      <c r="J17">
        <v>-0.25</v>
      </c>
      <c r="K17">
        <v>145.38</v>
      </c>
      <c r="L17">
        <v>90</v>
      </c>
      <c r="M17">
        <v>55.38</v>
      </c>
    </row>
    <row r="18" spans="5:13" x14ac:dyDescent="0.15">
      <c r="E18" s="12">
        <v>15</v>
      </c>
      <c r="F18" t="s">
        <v>1005</v>
      </c>
      <c r="G18" t="s">
        <v>118</v>
      </c>
      <c r="H18" t="s">
        <v>18</v>
      </c>
      <c r="I18">
        <v>0.1</v>
      </c>
      <c r="J18">
        <v>-1.79</v>
      </c>
      <c r="K18">
        <v>145.38</v>
      </c>
      <c r="L18">
        <v>66.150000000000006</v>
      </c>
      <c r="M18">
        <v>79.23</v>
      </c>
    </row>
    <row r="19" spans="5:13" x14ac:dyDescent="0.15">
      <c r="E19" s="12">
        <v>16</v>
      </c>
      <c r="F19" t="s">
        <v>1086</v>
      </c>
      <c r="G19" t="s">
        <v>112</v>
      </c>
      <c r="H19" t="s">
        <v>18</v>
      </c>
      <c r="I19">
        <v>1.43</v>
      </c>
      <c r="J19">
        <v>-0.23</v>
      </c>
      <c r="K19">
        <v>144.62</v>
      </c>
      <c r="L19">
        <v>90.77</v>
      </c>
      <c r="M19">
        <v>53.85</v>
      </c>
    </row>
    <row r="20" spans="5:13" x14ac:dyDescent="0.15">
      <c r="E20" s="12">
        <v>17</v>
      </c>
      <c r="F20" t="s">
        <v>1026</v>
      </c>
      <c r="G20" t="s">
        <v>108</v>
      </c>
      <c r="H20" t="s">
        <v>18</v>
      </c>
      <c r="I20">
        <v>0.65</v>
      </c>
      <c r="J20">
        <v>-0.48</v>
      </c>
      <c r="K20">
        <v>144.62</v>
      </c>
      <c r="L20">
        <v>80.77</v>
      </c>
      <c r="M20">
        <v>63.85</v>
      </c>
    </row>
    <row r="21" spans="5:13" x14ac:dyDescent="0.15">
      <c r="E21" s="12">
        <v>18</v>
      </c>
      <c r="F21" t="s">
        <v>984</v>
      </c>
      <c r="G21" t="s">
        <v>116</v>
      </c>
      <c r="H21" t="s">
        <v>18</v>
      </c>
      <c r="I21">
        <v>0.49</v>
      </c>
      <c r="J21">
        <v>-0.55000000000000004</v>
      </c>
      <c r="K21">
        <v>144.61000000000001</v>
      </c>
      <c r="L21">
        <v>76.92</v>
      </c>
      <c r="M21">
        <v>67.69</v>
      </c>
    </row>
    <row r="22" spans="5:13" x14ac:dyDescent="0.15">
      <c r="E22" s="12">
        <v>19</v>
      </c>
      <c r="F22" t="s">
        <v>1057</v>
      </c>
      <c r="G22" t="s">
        <v>123</v>
      </c>
      <c r="H22" t="s">
        <v>18</v>
      </c>
      <c r="I22">
        <v>1.39</v>
      </c>
      <c r="J22">
        <v>-0.25</v>
      </c>
      <c r="K22">
        <v>143.85</v>
      </c>
      <c r="L22">
        <v>89.23</v>
      </c>
      <c r="M22">
        <v>54.62</v>
      </c>
    </row>
    <row r="23" spans="5:13" x14ac:dyDescent="0.15">
      <c r="E23" s="12">
        <v>20</v>
      </c>
      <c r="F23" t="s">
        <v>1070</v>
      </c>
      <c r="G23" t="s">
        <v>113</v>
      </c>
      <c r="H23" t="s">
        <v>18</v>
      </c>
      <c r="I23">
        <v>1.3</v>
      </c>
      <c r="J23">
        <v>-0.27</v>
      </c>
      <c r="K23">
        <v>143.84</v>
      </c>
      <c r="L23">
        <v>86.92</v>
      </c>
      <c r="M23">
        <v>56.92</v>
      </c>
    </row>
    <row r="24" spans="5:13" x14ac:dyDescent="0.15">
      <c r="E24" s="12">
        <v>21</v>
      </c>
      <c r="F24" t="s">
        <v>1033</v>
      </c>
      <c r="G24" t="s">
        <v>109</v>
      </c>
      <c r="H24" t="s">
        <v>18</v>
      </c>
      <c r="I24">
        <v>-4.21</v>
      </c>
      <c r="J24">
        <v>-3.9</v>
      </c>
      <c r="K24">
        <v>142.31</v>
      </c>
      <c r="L24">
        <v>50</v>
      </c>
      <c r="M24">
        <v>92.31</v>
      </c>
    </row>
    <row r="25" spans="5:13" x14ac:dyDescent="0.15">
      <c r="E25" s="12">
        <v>22</v>
      </c>
      <c r="F25" t="s">
        <v>499</v>
      </c>
      <c r="G25" t="s">
        <v>106</v>
      </c>
      <c r="H25" t="s">
        <v>37</v>
      </c>
      <c r="I25">
        <v>1.45</v>
      </c>
      <c r="J25">
        <v>-0.13</v>
      </c>
      <c r="K25">
        <v>142.31</v>
      </c>
      <c r="L25">
        <v>93.08</v>
      </c>
      <c r="M25">
        <v>49.23</v>
      </c>
    </row>
    <row r="26" spans="5:13" x14ac:dyDescent="0.15">
      <c r="E26" s="12">
        <v>23</v>
      </c>
      <c r="F26" t="s">
        <v>828</v>
      </c>
      <c r="G26" t="s">
        <v>87</v>
      </c>
      <c r="H26" t="s">
        <v>37</v>
      </c>
      <c r="I26">
        <v>-1.29</v>
      </c>
      <c r="J26">
        <v>-2.2200000000000002</v>
      </c>
      <c r="K26">
        <v>141.54</v>
      </c>
      <c r="L26">
        <v>59.23</v>
      </c>
      <c r="M26">
        <v>82.31</v>
      </c>
    </row>
    <row r="27" spans="5:13" x14ac:dyDescent="0.15">
      <c r="E27" s="12">
        <v>24</v>
      </c>
      <c r="F27" t="s">
        <v>507</v>
      </c>
      <c r="G27" t="s">
        <v>107</v>
      </c>
      <c r="H27" t="s">
        <v>37</v>
      </c>
      <c r="I27">
        <v>-4.76</v>
      </c>
      <c r="J27">
        <v>-4.01</v>
      </c>
      <c r="K27">
        <v>141.54</v>
      </c>
      <c r="L27">
        <v>47.69</v>
      </c>
      <c r="M27">
        <v>93.85</v>
      </c>
    </row>
    <row r="28" spans="5:13" x14ac:dyDescent="0.15">
      <c r="E28" s="12">
        <v>25</v>
      </c>
      <c r="F28" t="s">
        <v>447</v>
      </c>
      <c r="G28" t="s">
        <v>97</v>
      </c>
      <c r="H28" t="s">
        <v>96</v>
      </c>
      <c r="I28">
        <v>-1.08</v>
      </c>
      <c r="J28">
        <v>-2.08</v>
      </c>
      <c r="K28">
        <v>140.77000000000001</v>
      </c>
      <c r="L28">
        <v>60.77</v>
      </c>
      <c r="M28">
        <v>80</v>
      </c>
    </row>
    <row r="29" spans="5:13" x14ac:dyDescent="0.15">
      <c r="E29" s="12">
        <v>26</v>
      </c>
      <c r="F29" t="s">
        <v>484</v>
      </c>
      <c r="G29" t="s">
        <v>121</v>
      </c>
      <c r="H29" t="s">
        <v>37</v>
      </c>
      <c r="I29">
        <v>-2.67</v>
      </c>
      <c r="J29">
        <v>-2.2999999999999998</v>
      </c>
      <c r="K29">
        <v>139.22999999999999</v>
      </c>
      <c r="L29">
        <v>56.15</v>
      </c>
      <c r="M29">
        <v>83.08</v>
      </c>
    </row>
    <row r="30" spans="5:13" x14ac:dyDescent="0.15">
      <c r="E30" s="12">
        <v>27</v>
      </c>
      <c r="F30" t="s">
        <v>486</v>
      </c>
      <c r="G30" t="s">
        <v>88</v>
      </c>
      <c r="H30" t="s">
        <v>37</v>
      </c>
      <c r="I30">
        <v>0.44</v>
      </c>
      <c r="J30">
        <v>-0.5</v>
      </c>
      <c r="K30">
        <v>139.22999999999999</v>
      </c>
      <c r="L30">
        <v>73.849999999999994</v>
      </c>
      <c r="M30">
        <v>65.38</v>
      </c>
    </row>
    <row r="31" spans="5:13" x14ac:dyDescent="0.15">
      <c r="E31" s="12">
        <v>28</v>
      </c>
      <c r="F31" t="s">
        <v>1228</v>
      </c>
      <c r="G31" t="s">
        <v>1224</v>
      </c>
      <c r="H31" t="s">
        <v>96</v>
      </c>
      <c r="I31">
        <v>0.5</v>
      </c>
      <c r="J31">
        <v>-0.41</v>
      </c>
      <c r="K31">
        <v>138.46</v>
      </c>
      <c r="L31">
        <v>77.69</v>
      </c>
      <c r="M31">
        <v>60.77</v>
      </c>
    </row>
    <row r="32" spans="5:13" x14ac:dyDescent="0.15">
      <c r="E32" s="12">
        <v>29</v>
      </c>
      <c r="F32" t="s">
        <v>821</v>
      </c>
      <c r="G32" t="s">
        <v>75</v>
      </c>
      <c r="H32" t="s">
        <v>37</v>
      </c>
      <c r="I32">
        <v>5.92</v>
      </c>
      <c r="J32">
        <v>-0.01</v>
      </c>
      <c r="K32">
        <v>138.46</v>
      </c>
      <c r="L32">
        <v>97.69</v>
      </c>
      <c r="M32">
        <v>40.770000000000003</v>
      </c>
    </row>
    <row r="33" spans="5:13" x14ac:dyDescent="0.15">
      <c r="E33" s="12">
        <v>30</v>
      </c>
      <c r="F33" t="s">
        <v>502</v>
      </c>
      <c r="G33" t="s">
        <v>41</v>
      </c>
      <c r="H33" t="s">
        <v>37</v>
      </c>
      <c r="I33">
        <v>-0.74</v>
      </c>
      <c r="J33">
        <v>-1.43</v>
      </c>
      <c r="K33">
        <v>138.45999999999998</v>
      </c>
      <c r="L33">
        <v>63.08</v>
      </c>
      <c r="M33">
        <v>75.38</v>
      </c>
    </row>
    <row r="34" spans="5:13" x14ac:dyDescent="0.15">
      <c r="E34" s="12">
        <v>31</v>
      </c>
      <c r="F34" t="s">
        <v>506</v>
      </c>
      <c r="G34" t="s">
        <v>84</v>
      </c>
      <c r="H34" t="s">
        <v>15</v>
      </c>
      <c r="I34">
        <v>1.26</v>
      </c>
      <c r="J34">
        <v>-0.23</v>
      </c>
      <c r="K34">
        <v>137.69999999999999</v>
      </c>
      <c r="L34">
        <v>84.62</v>
      </c>
      <c r="M34">
        <v>53.08</v>
      </c>
    </row>
    <row r="35" spans="5:13" x14ac:dyDescent="0.15">
      <c r="E35" s="12">
        <v>32</v>
      </c>
      <c r="F35" t="s">
        <v>761</v>
      </c>
      <c r="G35" t="s">
        <v>67</v>
      </c>
      <c r="H35" t="s">
        <v>37</v>
      </c>
      <c r="I35">
        <v>1.26</v>
      </c>
      <c r="J35">
        <v>-0.2</v>
      </c>
      <c r="K35">
        <v>137.69</v>
      </c>
      <c r="L35">
        <v>85.38</v>
      </c>
      <c r="M35">
        <v>52.31</v>
      </c>
    </row>
    <row r="36" spans="5:13" x14ac:dyDescent="0.15">
      <c r="E36" s="12">
        <v>33</v>
      </c>
      <c r="F36" t="s">
        <v>616</v>
      </c>
      <c r="G36" t="s">
        <v>94</v>
      </c>
      <c r="H36" t="s">
        <v>15</v>
      </c>
      <c r="I36">
        <v>-5.33</v>
      </c>
      <c r="J36">
        <v>-3.86</v>
      </c>
      <c r="K36">
        <v>137.69</v>
      </c>
      <c r="L36">
        <v>46.15</v>
      </c>
      <c r="M36">
        <v>91.54</v>
      </c>
    </row>
    <row r="37" spans="5:13" x14ac:dyDescent="0.15">
      <c r="E37" s="12">
        <v>34</v>
      </c>
      <c r="F37" t="s">
        <v>636</v>
      </c>
      <c r="G37" t="s">
        <v>100</v>
      </c>
      <c r="H37" t="s">
        <v>96</v>
      </c>
      <c r="I37">
        <v>-5.08</v>
      </c>
      <c r="J37">
        <v>-3.75</v>
      </c>
      <c r="K37">
        <v>137.69</v>
      </c>
      <c r="L37">
        <v>46.92</v>
      </c>
      <c r="M37">
        <v>90.77</v>
      </c>
    </row>
    <row r="38" spans="5:13" x14ac:dyDescent="0.15">
      <c r="E38" s="12">
        <v>35</v>
      </c>
      <c r="F38" t="s">
        <v>1035</v>
      </c>
      <c r="G38" t="s">
        <v>122</v>
      </c>
      <c r="H38" t="s">
        <v>18</v>
      </c>
      <c r="I38">
        <v>1.28</v>
      </c>
      <c r="J38">
        <v>-0.2</v>
      </c>
      <c r="K38">
        <v>137.69</v>
      </c>
      <c r="L38">
        <v>86.15</v>
      </c>
      <c r="M38">
        <v>51.54</v>
      </c>
    </row>
    <row r="39" spans="5:13" x14ac:dyDescent="0.15">
      <c r="E39" s="12">
        <v>36</v>
      </c>
      <c r="F39" t="s">
        <v>569</v>
      </c>
      <c r="G39" t="s">
        <v>48</v>
      </c>
      <c r="H39" t="s">
        <v>37</v>
      </c>
      <c r="I39">
        <v>1.44</v>
      </c>
      <c r="J39">
        <v>-0.08</v>
      </c>
      <c r="K39">
        <v>137.69</v>
      </c>
      <c r="L39">
        <v>91.54</v>
      </c>
      <c r="M39">
        <v>46.15</v>
      </c>
    </row>
    <row r="40" spans="5:13" x14ac:dyDescent="0.15">
      <c r="E40" s="12">
        <v>37</v>
      </c>
      <c r="F40" t="s">
        <v>546</v>
      </c>
      <c r="G40" t="s">
        <v>98</v>
      </c>
      <c r="H40" t="s">
        <v>96</v>
      </c>
      <c r="I40">
        <v>0.36</v>
      </c>
      <c r="J40">
        <v>-0.49</v>
      </c>
      <c r="K40">
        <v>136.93</v>
      </c>
      <c r="L40">
        <v>72.31</v>
      </c>
      <c r="M40">
        <v>64.62</v>
      </c>
    </row>
    <row r="41" spans="5:13" x14ac:dyDescent="0.15">
      <c r="E41" s="12">
        <v>38</v>
      </c>
      <c r="F41" t="s">
        <v>557</v>
      </c>
      <c r="G41" t="s">
        <v>99</v>
      </c>
      <c r="H41" t="s">
        <v>96</v>
      </c>
      <c r="I41">
        <v>2.79</v>
      </c>
      <c r="J41">
        <v>-0.01</v>
      </c>
      <c r="K41">
        <v>136.91999999999999</v>
      </c>
      <c r="L41">
        <v>95.38</v>
      </c>
      <c r="M41">
        <v>41.54</v>
      </c>
    </row>
    <row r="42" spans="5:13" x14ac:dyDescent="0.15">
      <c r="E42" s="12">
        <v>39</v>
      </c>
      <c r="F42" t="s">
        <v>624</v>
      </c>
      <c r="G42" t="s">
        <v>102</v>
      </c>
      <c r="H42" t="s">
        <v>15</v>
      </c>
      <c r="I42">
        <v>-0.79</v>
      </c>
      <c r="J42">
        <v>-1.22</v>
      </c>
      <c r="K42">
        <v>135.38999999999999</v>
      </c>
      <c r="L42">
        <v>62.31</v>
      </c>
      <c r="M42">
        <v>73.08</v>
      </c>
    </row>
    <row r="43" spans="5:13" x14ac:dyDescent="0.15">
      <c r="E43" s="12">
        <v>40</v>
      </c>
      <c r="F43" t="s">
        <v>597</v>
      </c>
      <c r="G43" t="s">
        <v>103</v>
      </c>
      <c r="H43" t="s">
        <v>15</v>
      </c>
      <c r="I43">
        <v>-1.81</v>
      </c>
      <c r="J43">
        <v>-1.53</v>
      </c>
      <c r="K43">
        <v>135.38</v>
      </c>
      <c r="L43">
        <v>57.69</v>
      </c>
      <c r="M43">
        <v>77.69</v>
      </c>
    </row>
    <row r="44" spans="5:13" x14ac:dyDescent="0.15">
      <c r="E44" s="12">
        <v>41</v>
      </c>
      <c r="F44" t="s">
        <v>1157</v>
      </c>
      <c r="G44" t="s">
        <v>1153</v>
      </c>
      <c r="H44" t="s">
        <v>96</v>
      </c>
      <c r="I44">
        <v>-3.99</v>
      </c>
      <c r="J44">
        <v>-2.4300000000000002</v>
      </c>
      <c r="K44">
        <v>134.62</v>
      </c>
      <c r="L44">
        <v>50.77</v>
      </c>
      <c r="M44">
        <v>83.85</v>
      </c>
    </row>
    <row r="45" spans="5:13" x14ac:dyDescent="0.15">
      <c r="E45" s="12">
        <v>42</v>
      </c>
      <c r="F45" t="s">
        <v>583</v>
      </c>
      <c r="G45" t="s">
        <v>72</v>
      </c>
      <c r="H45" t="s">
        <v>37</v>
      </c>
      <c r="I45">
        <v>-0.9</v>
      </c>
      <c r="J45">
        <v>-0.81</v>
      </c>
      <c r="K45">
        <v>133.08000000000001</v>
      </c>
      <c r="L45">
        <v>61.54</v>
      </c>
      <c r="M45">
        <v>71.540000000000006</v>
      </c>
    </row>
    <row r="46" spans="5:13" x14ac:dyDescent="0.15">
      <c r="E46" s="12">
        <v>43</v>
      </c>
      <c r="F46" t="s">
        <v>632</v>
      </c>
      <c r="G46" t="s">
        <v>93</v>
      </c>
      <c r="H46" t="s">
        <v>15</v>
      </c>
      <c r="I46">
        <v>0.12</v>
      </c>
      <c r="J46">
        <v>-0.52</v>
      </c>
      <c r="K46">
        <v>133.07</v>
      </c>
      <c r="L46">
        <v>66.92</v>
      </c>
      <c r="M46">
        <v>66.150000000000006</v>
      </c>
    </row>
    <row r="47" spans="5:13" x14ac:dyDescent="0.15">
      <c r="E47" s="12">
        <v>44</v>
      </c>
      <c r="F47" t="s">
        <v>634</v>
      </c>
      <c r="G47" t="s">
        <v>95</v>
      </c>
      <c r="H47" t="s">
        <v>15</v>
      </c>
      <c r="I47">
        <v>1.2</v>
      </c>
      <c r="J47">
        <v>-0.13</v>
      </c>
      <c r="K47">
        <v>132.31</v>
      </c>
      <c r="L47">
        <v>83.85</v>
      </c>
      <c r="M47">
        <v>48.46</v>
      </c>
    </row>
    <row r="48" spans="5:13" x14ac:dyDescent="0.15">
      <c r="E48" s="12">
        <v>45</v>
      </c>
      <c r="F48" t="s">
        <v>565</v>
      </c>
      <c r="G48" t="s">
        <v>105</v>
      </c>
      <c r="H48" t="s">
        <v>96</v>
      </c>
      <c r="I48">
        <v>0.48</v>
      </c>
      <c r="J48">
        <v>-0.27</v>
      </c>
      <c r="K48">
        <v>131.53</v>
      </c>
      <c r="L48">
        <v>75.38</v>
      </c>
      <c r="M48">
        <v>56.15</v>
      </c>
    </row>
    <row r="49" spans="5:13" x14ac:dyDescent="0.15">
      <c r="E49" s="12">
        <v>46</v>
      </c>
      <c r="F49" t="s">
        <v>779</v>
      </c>
      <c r="G49" t="s">
        <v>104</v>
      </c>
      <c r="H49" t="s">
        <v>37</v>
      </c>
      <c r="I49">
        <v>-0.17</v>
      </c>
      <c r="J49">
        <v>-0.55000000000000004</v>
      </c>
      <c r="K49">
        <v>130.77000000000001</v>
      </c>
      <c r="L49">
        <v>63.85</v>
      </c>
      <c r="M49">
        <v>66.92</v>
      </c>
    </row>
    <row r="50" spans="5:13" x14ac:dyDescent="0.15">
      <c r="E50" s="12">
        <v>47</v>
      </c>
      <c r="F50" t="s">
        <v>549</v>
      </c>
      <c r="G50" t="s">
        <v>38</v>
      </c>
      <c r="H50" t="s">
        <v>37</v>
      </c>
      <c r="I50">
        <v>-1.1499999999999999</v>
      </c>
      <c r="J50">
        <v>-0.77</v>
      </c>
      <c r="K50">
        <v>130.76999999999998</v>
      </c>
      <c r="L50">
        <v>60</v>
      </c>
      <c r="M50">
        <v>70.77</v>
      </c>
    </row>
    <row r="51" spans="5:13" x14ac:dyDescent="0.15">
      <c r="E51" s="12">
        <v>48</v>
      </c>
      <c r="F51" t="s">
        <v>492</v>
      </c>
      <c r="G51" t="s">
        <v>79</v>
      </c>
      <c r="H51" t="s">
        <v>37</v>
      </c>
      <c r="I51">
        <v>-2.34</v>
      </c>
      <c r="J51">
        <v>-0.97</v>
      </c>
      <c r="K51">
        <v>129.23000000000002</v>
      </c>
      <c r="L51">
        <v>56.92</v>
      </c>
      <c r="M51">
        <v>72.31</v>
      </c>
    </row>
    <row r="52" spans="5:13" x14ac:dyDescent="0.15">
      <c r="E52" s="12">
        <v>49</v>
      </c>
      <c r="F52" t="s">
        <v>1229</v>
      </c>
      <c r="G52" t="s">
        <v>1225</v>
      </c>
      <c r="H52" t="s">
        <v>96</v>
      </c>
      <c r="I52">
        <v>-7.25</v>
      </c>
      <c r="J52">
        <v>-3.94</v>
      </c>
      <c r="K52">
        <v>129.22999999999999</v>
      </c>
      <c r="L52">
        <v>36.15</v>
      </c>
      <c r="M52">
        <v>93.08</v>
      </c>
    </row>
    <row r="53" spans="5:13" x14ac:dyDescent="0.15">
      <c r="E53" s="12">
        <v>50</v>
      </c>
      <c r="F53" t="s">
        <v>494</v>
      </c>
      <c r="G53" t="s">
        <v>92</v>
      </c>
      <c r="H53" t="s">
        <v>37</v>
      </c>
      <c r="I53">
        <v>0.05</v>
      </c>
      <c r="J53">
        <v>-0.42</v>
      </c>
      <c r="K53">
        <v>127.69</v>
      </c>
      <c r="L53">
        <v>65.38</v>
      </c>
      <c r="M53">
        <v>62.31</v>
      </c>
    </row>
    <row r="54" spans="5:13" x14ac:dyDescent="0.15">
      <c r="E54" s="12">
        <v>51</v>
      </c>
      <c r="F54" t="s">
        <v>466</v>
      </c>
      <c r="G54" t="s">
        <v>134</v>
      </c>
      <c r="H54" t="s">
        <v>96</v>
      </c>
      <c r="I54">
        <v>8.93</v>
      </c>
      <c r="J54">
        <v>0</v>
      </c>
      <c r="K54">
        <v>126.92</v>
      </c>
      <c r="L54">
        <v>100</v>
      </c>
      <c r="M54">
        <v>26.92</v>
      </c>
    </row>
    <row r="55" spans="5:13" x14ac:dyDescent="0.15">
      <c r="E55" s="12">
        <v>52</v>
      </c>
      <c r="F55" t="s">
        <v>1050</v>
      </c>
      <c r="G55" t="s">
        <v>39</v>
      </c>
      <c r="H55" t="s">
        <v>37</v>
      </c>
      <c r="I55">
        <v>0.49</v>
      </c>
      <c r="J55">
        <v>-0.14000000000000001</v>
      </c>
      <c r="K55">
        <v>126.15</v>
      </c>
      <c r="L55">
        <v>76.150000000000006</v>
      </c>
      <c r="M55">
        <v>50</v>
      </c>
    </row>
    <row r="56" spans="5:13" x14ac:dyDescent="0.15">
      <c r="E56" s="12">
        <v>53</v>
      </c>
      <c r="F56" t="s">
        <v>577</v>
      </c>
      <c r="G56" t="s">
        <v>101</v>
      </c>
      <c r="H56" t="s">
        <v>15</v>
      </c>
      <c r="I56">
        <v>0.64</v>
      </c>
      <c r="J56">
        <v>-7.0000000000000007E-2</v>
      </c>
      <c r="K56">
        <v>125.38</v>
      </c>
      <c r="L56">
        <v>80</v>
      </c>
      <c r="M56">
        <v>45.38</v>
      </c>
    </row>
    <row r="57" spans="5:13" x14ac:dyDescent="0.15">
      <c r="E57" s="12">
        <v>54</v>
      </c>
      <c r="F57" t="s">
        <v>630</v>
      </c>
      <c r="G57" t="s">
        <v>52</v>
      </c>
      <c r="H57" t="s">
        <v>37</v>
      </c>
      <c r="I57">
        <v>-6.3</v>
      </c>
      <c r="J57">
        <v>-2.5299999999999998</v>
      </c>
      <c r="K57">
        <v>123.85</v>
      </c>
      <c r="L57">
        <v>39.229999999999997</v>
      </c>
      <c r="M57">
        <v>84.62</v>
      </c>
    </row>
    <row r="58" spans="5:13" x14ac:dyDescent="0.15">
      <c r="E58" s="12">
        <v>55</v>
      </c>
      <c r="F58" t="s">
        <v>517</v>
      </c>
      <c r="G58" t="s">
        <v>91</v>
      </c>
      <c r="H58" t="s">
        <v>37</v>
      </c>
      <c r="I58">
        <v>-12.37</v>
      </c>
      <c r="J58">
        <v>-5.77</v>
      </c>
      <c r="K58">
        <v>122.31</v>
      </c>
      <c r="L58">
        <v>22.31</v>
      </c>
      <c r="M58">
        <v>100</v>
      </c>
    </row>
    <row r="59" spans="5:13" x14ac:dyDescent="0.15">
      <c r="E59" s="12">
        <v>56</v>
      </c>
      <c r="F59" t="s">
        <v>516</v>
      </c>
      <c r="G59" t="s">
        <v>63</v>
      </c>
      <c r="H59" t="s">
        <v>37</v>
      </c>
      <c r="I59">
        <v>0.46</v>
      </c>
      <c r="J59">
        <v>-0.09</v>
      </c>
      <c r="K59">
        <v>121.54</v>
      </c>
      <c r="L59">
        <v>74.62</v>
      </c>
      <c r="M59">
        <v>46.92</v>
      </c>
    </row>
    <row r="60" spans="5:13" x14ac:dyDescent="0.15">
      <c r="E60" s="12">
        <v>57</v>
      </c>
      <c r="F60" t="s">
        <v>725</v>
      </c>
      <c r="G60" t="s">
        <v>64</v>
      </c>
      <c r="H60" t="s">
        <v>37</v>
      </c>
      <c r="I60">
        <v>-5.74</v>
      </c>
      <c r="J60">
        <v>-1.46</v>
      </c>
      <c r="K60">
        <v>120.77000000000001</v>
      </c>
      <c r="L60">
        <v>44.62</v>
      </c>
      <c r="M60">
        <v>76.150000000000006</v>
      </c>
    </row>
    <row r="61" spans="5:13" x14ac:dyDescent="0.15">
      <c r="E61" s="12">
        <v>58</v>
      </c>
      <c r="F61" t="s">
        <v>667</v>
      </c>
      <c r="G61" t="s">
        <v>73</v>
      </c>
      <c r="H61" t="s">
        <v>40</v>
      </c>
      <c r="I61">
        <v>-8.6</v>
      </c>
      <c r="J61">
        <v>-3.63</v>
      </c>
      <c r="K61">
        <v>120.77</v>
      </c>
      <c r="L61">
        <v>30.77</v>
      </c>
      <c r="M61">
        <v>90</v>
      </c>
    </row>
    <row r="62" spans="5:13" x14ac:dyDescent="0.15">
      <c r="E62" s="12">
        <v>59</v>
      </c>
      <c r="F62" t="s">
        <v>498</v>
      </c>
      <c r="G62" t="s">
        <v>71</v>
      </c>
      <c r="H62" t="s">
        <v>37</v>
      </c>
      <c r="I62">
        <v>0.35</v>
      </c>
      <c r="J62">
        <v>-0.1</v>
      </c>
      <c r="K62">
        <v>119.23</v>
      </c>
      <c r="L62">
        <v>71.540000000000006</v>
      </c>
      <c r="M62">
        <v>47.69</v>
      </c>
    </row>
    <row r="63" spans="5:13" x14ac:dyDescent="0.15">
      <c r="E63" s="12">
        <v>60</v>
      </c>
      <c r="F63" t="s">
        <v>671</v>
      </c>
      <c r="G63" t="s">
        <v>49</v>
      </c>
      <c r="H63" t="s">
        <v>40</v>
      </c>
      <c r="I63">
        <v>-5.72</v>
      </c>
      <c r="J63">
        <v>-1.27</v>
      </c>
      <c r="K63">
        <v>119.22999999999999</v>
      </c>
      <c r="L63">
        <v>45.38</v>
      </c>
      <c r="M63">
        <v>73.849999999999994</v>
      </c>
    </row>
    <row r="64" spans="5:13" x14ac:dyDescent="0.15">
      <c r="E64" s="12">
        <v>61</v>
      </c>
      <c r="F64" t="s">
        <v>656</v>
      </c>
      <c r="G64" t="s">
        <v>59</v>
      </c>
      <c r="H64" t="s">
        <v>40</v>
      </c>
      <c r="I64">
        <v>-6.12</v>
      </c>
      <c r="J64">
        <v>-1.36</v>
      </c>
      <c r="K64">
        <v>118.47</v>
      </c>
      <c r="L64">
        <v>43.85</v>
      </c>
      <c r="M64">
        <v>74.62</v>
      </c>
    </row>
    <row r="65" spans="5:13" x14ac:dyDescent="0.15">
      <c r="E65" s="12">
        <v>62</v>
      </c>
      <c r="F65" t="s">
        <v>663</v>
      </c>
      <c r="G65" t="s">
        <v>50</v>
      </c>
      <c r="H65" t="s">
        <v>40</v>
      </c>
      <c r="I65">
        <v>-3.29</v>
      </c>
      <c r="J65">
        <v>-0.42</v>
      </c>
      <c r="K65">
        <v>116.93</v>
      </c>
      <c r="L65">
        <v>53.85</v>
      </c>
      <c r="M65">
        <v>63.08</v>
      </c>
    </row>
    <row r="66" spans="5:13" x14ac:dyDescent="0.15">
      <c r="E66" s="12">
        <v>63</v>
      </c>
      <c r="F66" t="s">
        <v>649</v>
      </c>
      <c r="G66" t="s">
        <v>68</v>
      </c>
      <c r="H66" t="s">
        <v>40</v>
      </c>
      <c r="I66">
        <v>0.43</v>
      </c>
      <c r="J66">
        <v>-0.05</v>
      </c>
      <c r="K66">
        <v>116.93</v>
      </c>
      <c r="L66">
        <v>73.08</v>
      </c>
      <c r="M66">
        <v>43.85</v>
      </c>
    </row>
    <row r="67" spans="5:13" x14ac:dyDescent="0.15">
      <c r="E67" s="12">
        <v>64</v>
      </c>
      <c r="F67" t="s">
        <v>672</v>
      </c>
      <c r="G67" t="s">
        <v>54</v>
      </c>
      <c r="H67" t="s">
        <v>40</v>
      </c>
      <c r="I67">
        <v>-9.25</v>
      </c>
      <c r="J67">
        <v>-3.26</v>
      </c>
      <c r="K67">
        <v>116.14999999999999</v>
      </c>
      <c r="L67">
        <v>27.69</v>
      </c>
      <c r="M67">
        <v>88.46</v>
      </c>
    </row>
    <row r="68" spans="5:13" x14ac:dyDescent="0.15">
      <c r="E68" s="12">
        <v>65</v>
      </c>
      <c r="F68" t="s">
        <v>680</v>
      </c>
      <c r="G68" t="s">
        <v>42</v>
      </c>
      <c r="H68" t="s">
        <v>40</v>
      </c>
      <c r="I68">
        <v>-7.74</v>
      </c>
      <c r="J68">
        <v>-2.17</v>
      </c>
      <c r="K68">
        <v>115.39000000000001</v>
      </c>
      <c r="L68">
        <v>33.85</v>
      </c>
      <c r="M68">
        <v>81.540000000000006</v>
      </c>
    </row>
    <row r="69" spans="5:13" x14ac:dyDescent="0.15">
      <c r="E69" s="12">
        <v>66</v>
      </c>
      <c r="F69" t="s">
        <v>694</v>
      </c>
      <c r="G69" t="s">
        <v>51</v>
      </c>
      <c r="H69" t="s">
        <v>40</v>
      </c>
      <c r="I69">
        <v>-10.68</v>
      </c>
      <c r="J69">
        <v>-3.17</v>
      </c>
      <c r="K69">
        <v>111.53</v>
      </c>
      <c r="L69">
        <v>25.38</v>
      </c>
      <c r="M69">
        <v>86.15</v>
      </c>
    </row>
    <row r="70" spans="5:13" x14ac:dyDescent="0.15">
      <c r="E70" s="12">
        <v>67</v>
      </c>
      <c r="F70" t="s">
        <v>678</v>
      </c>
      <c r="G70" t="s">
        <v>46</v>
      </c>
      <c r="H70" t="s">
        <v>40</v>
      </c>
      <c r="I70">
        <v>2.86</v>
      </c>
      <c r="J70">
        <v>0.33</v>
      </c>
      <c r="K70">
        <v>111.53</v>
      </c>
      <c r="L70">
        <v>96.15</v>
      </c>
      <c r="M70">
        <v>15.38</v>
      </c>
    </row>
    <row r="71" spans="5:13" x14ac:dyDescent="0.15">
      <c r="E71" s="12">
        <v>68</v>
      </c>
      <c r="F71" t="s">
        <v>697</v>
      </c>
      <c r="G71" t="s">
        <v>45</v>
      </c>
      <c r="H71" t="s">
        <v>40</v>
      </c>
      <c r="I71">
        <v>0.13</v>
      </c>
      <c r="J71">
        <v>-0.01</v>
      </c>
      <c r="K71">
        <v>107.69</v>
      </c>
      <c r="L71">
        <v>68.459999999999994</v>
      </c>
      <c r="M71">
        <v>39.229999999999997</v>
      </c>
    </row>
    <row r="72" spans="5:13" x14ac:dyDescent="0.15">
      <c r="E72" s="12">
        <v>69</v>
      </c>
      <c r="F72" t="s">
        <v>661</v>
      </c>
      <c r="G72" t="s">
        <v>58</v>
      </c>
      <c r="H72" t="s">
        <v>40</v>
      </c>
      <c r="I72">
        <v>-6.84</v>
      </c>
      <c r="J72">
        <v>-0.64</v>
      </c>
      <c r="K72">
        <v>106.14999999999999</v>
      </c>
      <c r="L72">
        <v>37.69</v>
      </c>
      <c r="M72">
        <v>68.459999999999994</v>
      </c>
    </row>
    <row r="73" spans="5:13" x14ac:dyDescent="0.15">
      <c r="E73" s="12">
        <v>70</v>
      </c>
      <c r="F73" t="s">
        <v>673</v>
      </c>
      <c r="G73" t="s">
        <v>57</v>
      </c>
      <c r="H73" t="s">
        <v>40</v>
      </c>
      <c r="I73">
        <v>-8.4600000000000009</v>
      </c>
      <c r="J73">
        <v>-0.77</v>
      </c>
      <c r="K73">
        <v>101.53999999999999</v>
      </c>
      <c r="L73">
        <v>31.54</v>
      </c>
      <c r="M73">
        <v>70</v>
      </c>
    </row>
    <row r="74" spans="5:13" x14ac:dyDescent="0.15">
      <c r="E74" s="12">
        <v>71</v>
      </c>
      <c r="F74" t="s">
        <v>659</v>
      </c>
      <c r="G74" t="s">
        <v>43</v>
      </c>
      <c r="H74" t="s">
        <v>40</v>
      </c>
      <c r="I74">
        <v>6.07</v>
      </c>
      <c r="J74">
        <v>13.61</v>
      </c>
      <c r="K74">
        <v>100</v>
      </c>
      <c r="L74">
        <v>99.23</v>
      </c>
      <c r="M74">
        <v>0.77</v>
      </c>
    </row>
    <row r="75" spans="5:13" x14ac:dyDescent="0.15">
      <c r="E75" s="12">
        <v>72</v>
      </c>
      <c r="F75" t="s">
        <v>666</v>
      </c>
      <c r="G75" t="s">
        <v>62</v>
      </c>
      <c r="H75" t="s">
        <v>40</v>
      </c>
      <c r="I75">
        <v>0.61</v>
      </c>
      <c r="J75">
        <v>0.13</v>
      </c>
      <c r="K75">
        <v>99.23</v>
      </c>
      <c r="L75">
        <v>79.23</v>
      </c>
      <c r="M75">
        <v>20</v>
      </c>
    </row>
    <row r="76" spans="5:13" x14ac:dyDescent="0.15">
      <c r="E76" s="12">
        <v>73</v>
      </c>
      <c r="F76" t="s">
        <v>1158</v>
      </c>
      <c r="G76" t="s">
        <v>1154</v>
      </c>
      <c r="H76" t="s">
        <v>40</v>
      </c>
      <c r="I76">
        <v>0.5</v>
      </c>
      <c r="J76">
        <v>0.06</v>
      </c>
      <c r="K76">
        <v>99.22999999999999</v>
      </c>
      <c r="L76">
        <v>78.459999999999994</v>
      </c>
      <c r="M76">
        <v>20.77</v>
      </c>
    </row>
    <row r="77" spans="5:13" x14ac:dyDescent="0.15">
      <c r="E77" s="12">
        <v>74</v>
      </c>
      <c r="F77" t="s">
        <v>715</v>
      </c>
      <c r="G77" t="s">
        <v>44</v>
      </c>
      <c r="H77" t="s">
        <v>40</v>
      </c>
      <c r="I77">
        <v>-9.17</v>
      </c>
      <c r="J77">
        <v>-0.73</v>
      </c>
      <c r="K77">
        <v>98.460000000000008</v>
      </c>
      <c r="L77">
        <v>29.23</v>
      </c>
      <c r="M77">
        <v>69.23</v>
      </c>
    </row>
    <row r="78" spans="5:13" x14ac:dyDescent="0.15">
      <c r="E78" s="12">
        <v>75</v>
      </c>
      <c r="F78" t="s">
        <v>662</v>
      </c>
      <c r="G78" t="s">
        <v>60</v>
      </c>
      <c r="H78" t="s">
        <v>40</v>
      </c>
      <c r="I78">
        <v>-17.29</v>
      </c>
      <c r="J78">
        <v>-3.38</v>
      </c>
      <c r="K78">
        <v>96.92</v>
      </c>
      <c r="L78">
        <v>7.69</v>
      </c>
      <c r="M78">
        <v>89.23</v>
      </c>
    </row>
    <row r="79" spans="5:13" x14ac:dyDescent="0.15">
      <c r="E79" s="12">
        <v>76</v>
      </c>
      <c r="F79" t="s">
        <v>684</v>
      </c>
      <c r="G79" t="s">
        <v>61</v>
      </c>
      <c r="H79" t="s">
        <v>40</v>
      </c>
      <c r="I79">
        <v>-17.28</v>
      </c>
      <c r="J79">
        <v>-3.19</v>
      </c>
      <c r="K79">
        <v>96.15</v>
      </c>
      <c r="L79">
        <v>8.4600000000000009</v>
      </c>
      <c r="M79">
        <v>87.69</v>
      </c>
    </row>
    <row r="80" spans="5:13" x14ac:dyDescent="0.15">
      <c r="E80" s="12">
        <v>77</v>
      </c>
      <c r="F80" t="s">
        <v>674</v>
      </c>
      <c r="G80" t="s">
        <v>47</v>
      </c>
      <c r="H80" t="s">
        <v>40</v>
      </c>
      <c r="I80">
        <v>-16.38</v>
      </c>
      <c r="J80">
        <v>-2.5499999999999998</v>
      </c>
      <c r="K80">
        <v>96.149999999999991</v>
      </c>
      <c r="L80">
        <v>10.77</v>
      </c>
      <c r="M80">
        <v>85.38</v>
      </c>
    </row>
    <row r="81" spans="5:13" x14ac:dyDescent="0.15">
      <c r="E81" s="12">
        <v>78</v>
      </c>
      <c r="F81" t="s">
        <v>657</v>
      </c>
      <c r="G81" t="s">
        <v>69</v>
      </c>
      <c r="H81" t="s">
        <v>37</v>
      </c>
      <c r="I81">
        <v>-7.38</v>
      </c>
      <c r="J81">
        <v>-0.39</v>
      </c>
      <c r="K81">
        <v>95.38</v>
      </c>
      <c r="L81">
        <v>35.380000000000003</v>
      </c>
      <c r="M81">
        <v>60</v>
      </c>
    </row>
    <row r="82" spans="5:13" x14ac:dyDescent="0.15">
      <c r="E82" s="12">
        <v>79</v>
      </c>
      <c r="F82" t="s">
        <v>589</v>
      </c>
      <c r="G82" t="s">
        <v>89</v>
      </c>
      <c r="H82" t="s">
        <v>37</v>
      </c>
      <c r="I82">
        <v>0.23</v>
      </c>
      <c r="J82">
        <v>0.01</v>
      </c>
      <c r="K82">
        <v>94.62</v>
      </c>
      <c r="L82">
        <v>70</v>
      </c>
      <c r="M82">
        <v>24.62</v>
      </c>
    </row>
    <row r="83" spans="5:13" x14ac:dyDescent="0.15">
      <c r="E83" s="12">
        <v>80</v>
      </c>
      <c r="F83" t="s">
        <v>688</v>
      </c>
      <c r="G83" t="s">
        <v>439</v>
      </c>
      <c r="H83" t="s">
        <v>40</v>
      </c>
      <c r="I83">
        <v>0.32</v>
      </c>
      <c r="J83">
        <v>0.01</v>
      </c>
      <c r="K83">
        <v>94.62</v>
      </c>
      <c r="L83">
        <v>70.77</v>
      </c>
      <c r="M83">
        <v>23.85</v>
      </c>
    </row>
    <row r="84" spans="5:13" x14ac:dyDescent="0.15">
      <c r="E84" s="12">
        <v>81</v>
      </c>
      <c r="F84" t="s">
        <v>552</v>
      </c>
      <c r="G84" t="s">
        <v>437</v>
      </c>
      <c r="H84" t="s">
        <v>18</v>
      </c>
      <c r="I84">
        <v>-7.55</v>
      </c>
      <c r="J84">
        <v>-0.28999999999999998</v>
      </c>
      <c r="K84">
        <v>93.08</v>
      </c>
      <c r="L84">
        <v>34.619999999999997</v>
      </c>
      <c r="M84">
        <v>58.46</v>
      </c>
    </row>
    <row r="85" spans="5:13" x14ac:dyDescent="0.15">
      <c r="E85" s="12">
        <v>82</v>
      </c>
      <c r="F85" t="s">
        <v>596</v>
      </c>
      <c r="G85" t="s">
        <v>70</v>
      </c>
      <c r="H85" t="s">
        <v>37</v>
      </c>
      <c r="I85">
        <v>0.13</v>
      </c>
      <c r="J85">
        <v>0.01</v>
      </c>
      <c r="K85">
        <v>90.77</v>
      </c>
      <c r="L85">
        <v>67.69</v>
      </c>
      <c r="M85">
        <v>23.08</v>
      </c>
    </row>
    <row r="86" spans="5:13" x14ac:dyDescent="0.15">
      <c r="E86" s="12">
        <v>83</v>
      </c>
      <c r="F86" t="s">
        <v>925</v>
      </c>
      <c r="G86" t="s">
        <v>80</v>
      </c>
      <c r="H86" t="s">
        <v>18</v>
      </c>
      <c r="I86">
        <v>-3.59</v>
      </c>
      <c r="J86">
        <v>-0.01</v>
      </c>
      <c r="K86">
        <v>90</v>
      </c>
      <c r="L86">
        <v>52.31</v>
      </c>
      <c r="M86">
        <v>37.69</v>
      </c>
    </row>
    <row r="87" spans="5:13" x14ac:dyDescent="0.15">
      <c r="E87" s="12">
        <v>84</v>
      </c>
      <c r="F87" t="s">
        <v>442</v>
      </c>
      <c r="G87" t="s">
        <v>90</v>
      </c>
      <c r="H87" t="s">
        <v>18</v>
      </c>
      <c r="I87">
        <v>0.14000000000000001</v>
      </c>
      <c r="J87">
        <v>0.26</v>
      </c>
      <c r="K87">
        <v>86.15</v>
      </c>
      <c r="L87">
        <v>69.23</v>
      </c>
      <c r="M87">
        <v>16.920000000000002</v>
      </c>
    </row>
    <row r="88" spans="5:13" x14ac:dyDescent="0.15">
      <c r="E88" s="12">
        <v>85</v>
      </c>
      <c r="F88" t="s">
        <v>689</v>
      </c>
      <c r="G88" t="s">
        <v>53</v>
      </c>
      <c r="H88" t="s">
        <v>40</v>
      </c>
      <c r="I88">
        <v>-4.7300000000000004</v>
      </c>
      <c r="J88">
        <v>0</v>
      </c>
      <c r="K88">
        <v>82.31</v>
      </c>
      <c r="L88">
        <v>48.46</v>
      </c>
      <c r="M88">
        <v>33.85</v>
      </c>
    </row>
    <row r="89" spans="5:13" x14ac:dyDescent="0.15">
      <c r="E89" s="12">
        <v>86</v>
      </c>
      <c r="F89" t="s">
        <v>1230</v>
      </c>
      <c r="G89" t="s">
        <v>1226</v>
      </c>
      <c r="H89" t="s">
        <v>37</v>
      </c>
      <c r="I89">
        <v>-1.67</v>
      </c>
      <c r="J89">
        <v>0.02</v>
      </c>
      <c r="K89">
        <v>80.77</v>
      </c>
      <c r="L89">
        <v>58.46</v>
      </c>
      <c r="M89">
        <v>22.31</v>
      </c>
    </row>
    <row r="90" spans="5:13" x14ac:dyDescent="0.15">
      <c r="E90" s="12">
        <v>87</v>
      </c>
      <c r="F90" t="s">
        <v>1231</v>
      </c>
      <c r="G90" t="s">
        <v>1227</v>
      </c>
      <c r="H90" t="s">
        <v>40</v>
      </c>
      <c r="I90">
        <v>-3.59</v>
      </c>
      <c r="J90">
        <v>0</v>
      </c>
      <c r="K90">
        <v>78.459999999999994</v>
      </c>
      <c r="L90">
        <v>53.08</v>
      </c>
      <c r="M90">
        <v>25.38</v>
      </c>
    </row>
    <row r="91" spans="5:13" x14ac:dyDescent="0.15">
      <c r="E91" s="12">
        <v>88</v>
      </c>
      <c r="F91" t="s">
        <v>1022</v>
      </c>
      <c r="G91" t="s">
        <v>77</v>
      </c>
      <c r="H91" t="s">
        <v>18</v>
      </c>
      <c r="I91">
        <v>-6.17</v>
      </c>
      <c r="J91">
        <v>0</v>
      </c>
      <c r="K91">
        <v>74.62</v>
      </c>
      <c r="L91">
        <v>42.31</v>
      </c>
      <c r="M91">
        <v>32.31</v>
      </c>
    </row>
    <row r="92" spans="5:13" x14ac:dyDescent="0.15">
      <c r="E92" s="12">
        <v>89</v>
      </c>
      <c r="F92" t="s">
        <v>441</v>
      </c>
      <c r="G92" t="s">
        <v>131</v>
      </c>
      <c r="H92" t="s">
        <v>18</v>
      </c>
      <c r="I92">
        <v>-16.07</v>
      </c>
      <c r="J92">
        <v>-0.42</v>
      </c>
      <c r="K92">
        <v>73.849999999999994</v>
      </c>
      <c r="L92">
        <v>12.31</v>
      </c>
      <c r="M92">
        <v>61.54</v>
      </c>
    </row>
    <row r="93" spans="5:13" x14ac:dyDescent="0.15">
      <c r="E93" s="12">
        <v>90</v>
      </c>
      <c r="F93" t="s">
        <v>444</v>
      </c>
      <c r="G93" t="s">
        <v>132</v>
      </c>
      <c r="H93" t="s">
        <v>18</v>
      </c>
      <c r="I93">
        <v>-6.91</v>
      </c>
      <c r="J93">
        <v>0</v>
      </c>
      <c r="K93">
        <v>73.069999999999993</v>
      </c>
      <c r="L93">
        <v>36.92</v>
      </c>
      <c r="M93">
        <v>36.15</v>
      </c>
    </row>
    <row r="94" spans="5:13" x14ac:dyDescent="0.15">
      <c r="E94" s="12">
        <v>91</v>
      </c>
      <c r="F94" t="s">
        <v>625</v>
      </c>
      <c r="G94" t="s">
        <v>136</v>
      </c>
      <c r="H94" t="s">
        <v>96</v>
      </c>
      <c r="I94">
        <v>-6.16</v>
      </c>
      <c r="J94">
        <v>0</v>
      </c>
      <c r="K94">
        <v>71.539999999999992</v>
      </c>
      <c r="L94">
        <v>43.08</v>
      </c>
      <c r="M94">
        <v>28.46</v>
      </c>
    </row>
    <row r="95" spans="5:13" x14ac:dyDescent="0.15">
      <c r="E95" s="12">
        <v>92</v>
      </c>
      <c r="F95" t="s">
        <v>766</v>
      </c>
      <c r="G95" t="s">
        <v>78</v>
      </c>
      <c r="H95" t="s">
        <v>18</v>
      </c>
      <c r="I95">
        <v>-13.45</v>
      </c>
      <c r="J95">
        <v>-0.06</v>
      </c>
      <c r="K95">
        <v>65.39</v>
      </c>
      <c r="L95">
        <v>20.77</v>
      </c>
      <c r="M95">
        <v>44.62</v>
      </c>
    </row>
    <row r="96" spans="5:13" x14ac:dyDescent="0.15">
      <c r="E96" s="12">
        <v>93</v>
      </c>
      <c r="F96" t="s">
        <v>443</v>
      </c>
      <c r="G96" t="s">
        <v>129</v>
      </c>
      <c r="H96" t="s">
        <v>18</v>
      </c>
      <c r="I96">
        <v>-8.9</v>
      </c>
      <c r="J96">
        <v>0</v>
      </c>
      <c r="K96">
        <v>64.62</v>
      </c>
      <c r="L96">
        <v>30</v>
      </c>
      <c r="M96">
        <v>34.619999999999997</v>
      </c>
    </row>
    <row r="97" spans="5:13" x14ac:dyDescent="0.15">
      <c r="E97" s="12">
        <v>94</v>
      </c>
      <c r="F97" t="s">
        <v>456</v>
      </c>
      <c r="G97" t="s">
        <v>139</v>
      </c>
      <c r="H97" t="s">
        <v>96</v>
      </c>
      <c r="I97">
        <v>-13.93</v>
      </c>
      <c r="J97">
        <v>-0.04</v>
      </c>
      <c r="K97">
        <v>62.31</v>
      </c>
      <c r="L97">
        <v>19.23</v>
      </c>
      <c r="M97">
        <v>43.08</v>
      </c>
    </row>
    <row r="98" spans="5:13" x14ac:dyDescent="0.15">
      <c r="E98" s="12">
        <v>95</v>
      </c>
      <c r="F98" t="s">
        <v>968</v>
      </c>
      <c r="G98" t="s">
        <v>82</v>
      </c>
      <c r="H98" t="s">
        <v>18</v>
      </c>
      <c r="I98">
        <v>-6.24</v>
      </c>
      <c r="J98">
        <v>0.18</v>
      </c>
      <c r="K98">
        <v>60</v>
      </c>
      <c r="L98">
        <v>40.770000000000003</v>
      </c>
      <c r="M98">
        <v>19.23</v>
      </c>
    </row>
    <row r="99" spans="5:13" x14ac:dyDescent="0.15">
      <c r="E99" s="12">
        <v>96</v>
      </c>
      <c r="F99" t="s">
        <v>773</v>
      </c>
      <c r="G99" t="s">
        <v>133</v>
      </c>
      <c r="H99" t="s">
        <v>18</v>
      </c>
      <c r="I99">
        <v>-12.6</v>
      </c>
      <c r="J99">
        <v>-0.01</v>
      </c>
      <c r="K99">
        <v>60</v>
      </c>
      <c r="L99">
        <v>21.54</v>
      </c>
      <c r="M99">
        <v>38.46</v>
      </c>
    </row>
    <row r="100" spans="5:13" x14ac:dyDescent="0.15">
      <c r="E100" s="12">
        <v>97</v>
      </c>
      <c r="F100" t="s">
        <v>660</v>
      </c>
      <c r="G100" t="s">
        <v>65</v>
      </c>
      <c r="H100" t="s">
        <v>40</v>
      </c>
      <c r="I100">
        <v>-13.78</v>
      </c>
      <c r="J100">
        <v>-0.01</v>
      </c>
      <c r="K100">
        <v>56.92</v>
      </c>
      <c r="L100">
        <v>20</v>
      </c>
      <c r="M100">
        <v>36.92</v>
      </c>
    </row>
    <row r="101" spans="5:13" x14ac:dyDescent="0.15">
      <c r="E101" s="12">
        <v>98</v>
      </c>
      <c r="F101" t="s">
        <v>1159</v>
      </c>
      <c r="G101" t="s">
        <v>1155</v>
      </c>
      <c r="H101" t="s">
        <v>40</v>
      </c>
      <c r="I101">
        <v>-9.8000000000000007</v>
      </c>
      <c r="J101">
        <v>0</v>
      </c>
      <c r="K101">
        <v>56.92</v>
      </c>
      <c r="L101">
        <v>26.15</v>
      </c>
      <c r="M101">
        <v>30.77</v>
      </c>
    </row>
    <row r="102" spans="5:13" x14ac:dyDescent="0.15">
      <c r="E102" s="12">
        <v>99</v>
      </c>
      <c r="F102" t="s">
        <v>1071</v>
      </c>
      <c r="G102" t="s">
        <v>83</v>
      </c>
      <c r="H102" t="s">
        <v>18</v>
      </c>
      <c r="I102">
        <v>-11.8</v>
      </c>
      <c r="J102">
        <v>0</v>
      </c>
      <c r="K102">
        <v>56.16</v>
      </c>
      <c r="L102">
        <v>24.62</v>
      </c>
      <c r="M102">
        <v>31.54</v>
      </c>
    </row>
    <row r="103" spans="5:13" x14ac:dyDescent="0.15">
      <c r="E103" s="12">
        <v>100</v>
      </c>
      <c r="F103" t="s">
        <v>803</v>
      </c>
      <c r="G103" t="s">
        <v>124</v>
      </c>
      <c r="H103" t="s">
        <v>18</v>
      </c>
      <c r="I103">
        <v>-3.95</v>
      </c>
      <c r="J103">
        <v>1.24</v>
      </c>
      <c r="K103">
        <v>55.39</v>
      </c>
      <c r="L103">
        <v>51.54</v>
      </c>
      <c r="M103">
        <v>3.85</v>
      </c>
    </row>
    <row r="104" spans="5:13" x14ac:dyDescent="0.15">
      <c r="E104" s="12">
        <v>101</v>
      </c>
      <c r="F104" t="s">
        <v>1083</v>
      </c>
      <c r="G104" t="s">
        <v>86</v>
      </c>
      <c r="H104" t="s">
        <v>18</v>
      </c>
      <c r="I104">
        <v>-12.21</v>
      </c>
      <c r="J104">
        <v>0</v>
      </c>
      <c r="K104">
        <v>52.31</v>
      </c>
      <c r="L104">
        <v>23.08</v>
      </c>
      <c r="M104">
        <v>29.23</v>
      </c>
    </row>
    <row r="105" spans="5:13" x14ac:dyDescent="0.15">
      <c r="E105" s="12">
        <v>102</v>
      </c>
      <c r="F105" t="s">
        <v>915</v>
      </c>
      <c r="G105" t="s">
        <v>81</v>
      </c>
      <c r="H105" t="s">
        <v>18</v>
      </c>
      <c r="I105">
        <v>-6.3</v>
      </c>
      <c r="J105">
        <v>0.55000000000000004</v>
      </c>
      <c r="K105">
        <v>48.46</v>
      </c>
      <c r="L105">
        <v>38.46</v>
      </c>
      <c r="M105">
        <v>10</v>
      </c>
    </row>
    <row r="106" spans="5:13" x14ac:dyDescent="0.15">
      <c r="E106" s="12">
        <v>103</v>
      </c>
      <c r="F106" t="s">
        <v>900</v>
      </c>
      <c r="G106" t="s">
        <v>85</v>
      </c>
      <c r="H106" t="s">
        <v>18</v>
      </c>
      <c r="I106">
        <v>-6.25</v>
      </c>
      <c r="J106">
        <v>0.68</v>
      </c>
      <c r="K106">
        <v>47.69</v>
      </c>
      <c r="L106">
        <v>40</v>
      </c>
      <c r="M106">
        <v>7.69</v>
      </c>
    </row>
    <row r="107" spans="5:13" x14ac:dyDescent="0.15">
      <c r="E107" s="12">
        <v>104</v>
      </c>
      <c r="F107" t="s">
        <v>1047</v>
      </c>
      <c r="G107" t="s">
        <v>55</v>
      </c>
      <c r="H107" t="s">
        <v>18</v>
      </c>
      <c r="I107">
        <v>-25.15</v>
      </c>
      <c r="J107">
        <v>-0.03</v>
      </c>
      <c r="K107">
        <v>44.620000000000005</v>
      </c>
      <c r="L107">
        <v>2.31</v>
      </c>
      <c r="M107">
        <v>42.31</v>
      </c>
    </row>
    <row r="108" spans="5:13" x14ac:dyDescent="0.15">
      <c r="E108" s="12">
        <v>105</v>
      </c>
      <c r="F108" t="s">
        <v>460</v>
      </c>
      <c r="G108" t="s">
        <v>126</v>
      </c>
      <c r="H108" t="s">
        <v>96</v>
      </c>
      <c r="I108">
        <v>-9.1999999999999993</v>
      </c>
      <c r="J108">
        <v>0.27</v>
      </c>
      <c r="K108">
        <v>44.61</v>
      </c>
      <c r="L108">
        <v>28.46</v>
      </c>
      <c r="M108">
        <v>16.149999999999999</v>
      </c>
    </row>
    <row r="109" spans="5:13" x14ac:dyDescent="0.15">
      <c r="E109" s="12">
        <v>106</v>
      </c>
      <c r="F109" t="s">
        <v>1027</v>
      </c>
      <c r="G109" t="s">
        <v>137</v>
      </c>
      <c r="H109" t="s">
        <v>18</v>
      </c>
      <c r="I109">
        <v>-6.24</v>
      </c>
      <c r="J109">
        <v>1.92</v>
      </c>
      <c r="K109">
        <v>43.85</v>
      </c>
      <c r="L109">
        <v>41.54</v>
      </c>
      <c r="M109">
        <v>2.31</v>
      </c>
    </row>
    <row r="110" spans="5:13" x14ac:dyDescent="0.15">
      <c r="E110" s="12">
        <v>107</v>
      </c>
      <c r="F110" t="s">
        <v>1088</v>
      </c>
      <c r="G110" t="s">
        <v>117</v>
      </c>
      <c r="H110" t="s">
        <v>18</v>
      </c>
      <c r="I110">
        <v>-22.76</v>
      </c>
      <c r="J110">
        <v>-0.01</v>
      </c>
      <c r="K110">
        <v>43.08</v>
      </c>
      <c r="L110">
        <v>3.08</v>
      </c>
      <c r="M110">
        <v>40</v>
      </c>
    </row>
    <row r="111" spans="5:13" x14ac:dyDescent="0.15">
      <c r="E111" s="12">
        <v>108</v>
      </c>
      <c r="F111" t="s">
        <v>1089</v>
      </c>
      <c r="G111" t="s">
        <v>36</v>
      </c>
      <c r="H111" t="s">
        <v>18</v>
      </c>
      <c r="I111">
        <v>-12.19</v>
      </c>
      <c r="J111">
        <v>0.18</v>
      </c>
      <c r="K111">
        <v>42.31</v>
      </c>
      <c r="L111">
        <v>23.85</v>
      </c>
      <c r="M111">
        <v>18.46</v>
      </c>
    </row>
    <row r="112" spans="5:13" x14ac:dyDescent="0.15">
      <c r="E112" s="12">
        <v>109</v>
      </c>
      <c r="F112" t="s">
        <v>1090</v>
      </c>
      <c r="G112" t="s">
        <v>35</v>
      </c>
      <c r="H112" t="s">
        <v>18</v>
      </c>
      <c r="I112">
        <v>-16.04</v>
      </c>
      <c r="J112">
        <v>0</v>
      </c>
      <c r="K112">
        <v>40.770000000000003</v>
      </c>
      <c r="L112">
        <v>13.08</v>
      </c>
      <c r="M112">
        <v>27.69</v>
      </c>
    </row>
    <row r="113" spans="5:13" x14ac:dyDescent="0.15">
      <c r="E113" s="12">
        <v>110</v>
      </c>
      <c r="F113" t="s">
        <v>1091</v>
      </c>
      <c r="G113" t="s">
        <v>34</v>
      </c>
      <c r="H113" t="s">
        <v>18</v>
      </c>
      <c r="I113">
        <v>-14.29</v>
      </c>
      <c r="J113">
        <v>0.03</v>
      </c>
      <c r="K113">
        <v>40</v>
      </c>
      <c r="L113">
        <v>18.46</v>
      </c>
      <c r="M113">
        <v>21.54</v>
      </c>
    </row>
    <row r="114" spans="5:13" x14ac:dyDescent="0.15">
      <c r="E114" s="12">
        <v>111</v>
      </c>
      <c r="F114" t="s">
        <v>1092</v>
      </c>
      <c r="G114" t="s">
        <v>33</v>
      </c>
      <c r="H114" t="s">
        <v>18</v>
      </c>
      <c r="I114">
        <v>-8.25</v>
      </c>
      <c r="J114">
        <v>0.79</v>
      </c>
      <c r="K114">
        <v>39.230000000000004</v>
      </c>
      <c r="L114">
        <v>32.31</v>
      </c>
      <c r="M114">
        <v>6.92</v>
      </c>
    </row>
    <row r="115" spans="5:13" x14ac:dyDescent="0.15">
      <c r="E115" s="12">
        <v>112</v>
      </c>
      <c r="F115" t="s">
        <v>1093</v>
      </c>
      <c r="G115" t="s">
        <v>32</v>
      </c>
      <c r="H115" t="s">
        <v>18</v>
      </c>
      <c r="I115">
        <v>-9.7799999999999994</v>
      </c>
      <c r="J115">
        <v>0.47</v>
      </c>
      <c r="K115">
        <v>38.46</v>
      </c>
      <c r="L115">
        <v>26.92</v>
      </c>
      <c r="M115">
        <v>11.54</v>
      </c>
    </row>
    <row r="116" spans="5:13" x14ac:dyDescent="0.15">
      <c r="E116" s="12">
        <v>113</v>
      </c>
      <c r="F116" t="s">
        <v>1094</v>
      </c>
      <c r="G116" t="s">
        <v>31</v>
      </c>
      <c r="H116" t="s">
        <v>18</v>
      </c>
      <c r="I116">
        <v>-8.1999999999999993</v>
      </c>
      <c r="J116">
        <v>0.92</v>
      </c>
      <c r="K116">
        <v>37.699999999999996</v>
      </c>
      <c r="L116">
        <v>33.08</v>
      </c>
      <c r="M116">
        <v>4.62</v>
      </c>
    </row>
    <row r="117" spans="5:13" x14ac:dyDescent="0.15">
      <c r="E117" s="12">
        <v>114</v>
      </c>
      <c r="F117" t="s">
        <v>1095</v>
      </c>
      <c r="G117" t="s">
        <v>30</v>
      </c>
      <c r="H117" t="s">
        <v>18</v>
      </c>
      <c r="I117">
        <v>-19.510000000000002</v>
      </c>
      <c r="J117">
        <v>0</v>
      </c>
      <c r="K117">
        <v>36.93</v>
      </c>
      <c r="L117">
        <v>3.85</v>
      </c>
      <c r="M117">
        <v>33.08</v>
      </c>
    </row>
    <row r="118" spans="5:13" x14ac:dyDescent="0.15">
      <c r="E118" s="12">
        <v>115</v>
      </c>
      <c r="F118" t="s">
        <v>1096</v>
      </c>
      <c r="G118" t="s">
        <v>29</v>
      </c>
      <c r="H118" t="s">
        <v>18</v>
      </c>
      <c r="I118">
        <v>-27.87</v>
      </c>
      <c r="J118">
        <v>0</v>
      </c>
      <c r="K118">
        <v>36.150000000000006</v>
      </c>
      <c r="L118">
        <v>0.77</v>
      </c>
      <c r="M118">
        <v>35.380000000000003</v>
      </c>
    </row>
    <row r="119" spans="5:13" x14ac:dyDescent="0.15">
      <c r="E119" s="12">
        <v>116</v>
      </c>
      <c r="F119" t="s">
        <v>1097</v>
      </c>
      <c r="G119" t="s">
        <v>28</v>
      </c>
      <c r="H119" t="s">
        <v>18</v>
      </c>
      <c r="I119">
        <v>-26.75</v>
      </c>
      <c r="J119">
        <v>0</v>
      </c>
      <c r="K119">
        <v>31.54</v>
      </c>
      <c r="L119">
        <v>1.54</v>
      </c>
      <c r="M119">
        <v>30</v>
      </c>
    </row>
    <row r="120" spans="5:13" x14ac:dyDescent="0.15">
      <c r="E120" s="12">
        <v>117</v>
      </c>
      <c r="F120" t="s">
        <v>1098</v>
      </c>
      <c r="G120" t="s">
        <v>27</v>
      </c>
      <c r="H120" t="s">
        <v>18</v>
      </c>
      <c r="I120">
        <v>-18.93</v>
      </c>
      <c r="J120">
        <v>0</v>
      </c>
      <c r="K120">
        <v>30.77</v>
      </c>
      <c r="L120">
        <v>4.62</v>
      </c>
      <c r="M120">
        <v>26.15</v>
      </c>
    </row>
    <row r="121" spans="5:13" x14ac:dyDescent="0.15">
      <c r="E121" s="12">
        <v>118</v>
      </c>
      <c r="F121" t="s">
        <v>1099</v>
      </c>
      <c r="G121" t="s">
        <v>26</v>
      </c>
      <c r="H121" t="s">
        <v>18</v>
      </c>
      <c r="I121">
        <v>-15.91</v>
      </c>
      <c r="J121">
        <v>0.42</v>
      </c>
      <c r="K121">
        <v>28.46</v>
      </c>
      <c r="L121">
        <v>15.38</v>
      </c>
      <c r="M121">
        <v>13.08</v>
      </c>
    </row>
    <row r="122" spans="5:13" x14ac:dyDescent="0.15">
      <c r="E122" s="12">
        <v>119</v>
      </c>
      <c r="F122" t="s">
        <v>1100</v>
      </c>
      <c r="G122" t="s">
        <v>25</v>
      </c>
      <c r="H122" t="s">
        <v>18</v>
      </c>
      <c r="I122">
        <v>-15.99</v>
      </c>
      <c r="J122">
        <v>0.42</v>
      </c>
      <c r="K122">
        <v>26.93</v>
      </c>
      <c r="L122">
        <v>14.62</v>
      </c>
      <c r="M122">
        <v>12.31</v>
      </c>
    </row>
    <row r="123" spans="5:13" x14ac:dyDescent="0.15">
      <c r="E123" s="12">
        <v>120</v>
      </c>
      <c r="F123" t="s">
        <v>1101</v>
      </c>
      <c r="G123" t="s">
        <v>24</v>
      </c>
      <c r="H123" t="s">
        <v>18</v>
      </c>
      <c r="I123">
        <v>-15.08</v>
      </c>
      <c r="J123">
        <v>0.57999999999999996</v>
      </c>
      <c r="K123">
        <v>26.92</v>
      </c>
      <c r="L123">
        <v>17.690000000000001</v>
      </c>
      <c r="M123">
        <v>9.23</v>
      </c>
    </row>
    <row r="124" spans="5:13" x14ac:dyDescent="0.15">
      <c r="E124" s="12">
        <v>121</v>
      </c>
      <c r="F124" t="s">
        <v>1102</v>
      </c>
      <c r="G124" t="s">
        <v>23</v>
      </c>
      <c r="H124" t="s">
        <v>18</v>
      </c>
      <c r="I124">
        <v>-16.12</v>
      </c>
      <c r="J124">
        <v>0.42</v>
      </c>
      <c r="K124">
        <v>25.39</v>
      </c>
      <c r="L124">
        <v>11.54</v>
      </c>
      <c r="M124">
        <v>13.85</v>
      </c>
    </row>
    <row r="125" spans="5:13" x14ac:dyDescent="0.15">
      <c r="E125" s="12">
        <v>122</v>
      </c>
      <c r="F125" t="s">
        <v>1103</v>
      </c>
      <c r="G125" t="s">
        <v>22</v>
      </c>
      <c r="H125" t="s">
        <v>18</v>
      </c>
      <c r="I125">
        <v>-17.329999999999998</v>
      </c>
      <c r="J125">
        <v>0.22</v>
      </c>
      <c r="K125">
        <v>24.61</v>
      </c>
      <c r="L125">
        <v>6.92</v>
      </c>
      <c r="M125">
        <v>17.690000000000001</v>
      </c>
    </row>
    <row r="126" spans="5:13" x14ac:dyDescent="0.15">
      <c r="E126" s="12">
        <v>123</v>
      </c>
      <c r="F126" t="s">
        <v>1104</v>
      </c>
      <c r="G126" t="s">
        <v>21</v>
      </c>
      <c r="H126" t="s">
        <v>18</v>
      </c>
      <c r="I126">
        <v>-16.03</v>
      </c>
      <c r="J126">
        <v>0.63</v>
      </c>
      <c r="K126">
        <v>22.310000000000002</v>
      </c>
      <c r="L126">
        <v>13.85</v>
      </c>
      <c r="M126">
        <v>8.4600000000000009</v>
      </c>
    </row>
    <row r="127" spans="5:13" x14ac:dyDescent="0.15">
      <c r="E127" s="12">
        <v>124</v>
      </c>
      <c r="F127" t="s">
        <v>1160</v>
      </c>
      <c r="G127" t="s">
        <v>1156</v>
      </c>
      <c r="H127" t="s">
        <v>18</v>
      </c>
      <c r="I127">
        <v>-15.69</v>
      </c>
      <c r="J127">
        <v>0.85</v>
      </c>
      <c r="K127">
        <v>22.3</v>
      </c>
      <c r="L127">
        <v>16.920000000000002</v>
      </c>
      <c r="M127">
        <v>5.38</v>
      </c>
    </row>
    <row r="128" spans="5:13" x14ac:dyDescent="0.15">
      <c r="E128" s="12">
        <v>125</v>
      </c>
      <c r="F128" t="s">
        <v>1105</v>
      </c>
      <c r="G128" t="s">
        <v>20</v>
      </c>
      <c r="H128" t="s">
        <v>18</v>
      </c>
      <c r="I128">
        <v>-18.14</v>
      </c>
      <c r="J128">
        <v>0.37</v>
      </c>
      <c r="K128">
        <v>20</v>
      </c>
      <c r="L128">
        <v>5.38</v>
      </c>
      <c r="M128">
        <v>14.62</v>
      </c>
    </row>
    <row r="129" spans="5:13" x14ac:dyDescent="0.15">
      <c r="E129" s="12">
        <v>126</v>
      </c>
      <c r="F129" t="s">
        <v>1106</v>
      </c>
      <c r="G129" t="s">
        <v>19</v>
      </c>
      <c r="H129" t="s">
        <v>18</v>
      </c>
      <c r="I129">
        <v>-15.9</v>
      </c>
      <c r="J129">
        <v>1.28</v>
      </c>
      <c r="K129">
        <v>19.229999999999997</v>
      </c>
      <c r="L129">
        <v>16.149999999999999</v>
      </c>
      <c r="M129">
        <v>3.08</v>
      </c>
    </row>
    <row r="130" spans="5:13" x14ac:dyDescent="0.15">
      <c r="E130" s="12">
        <v>127</v>
      </c>
      <c r="F130" t="s">
        <v>1107</v>
      </c>
      <c r="G130" t="s">
        <v>17</v>
      </c>
      <c r="H130" t="s">
        <v>15</v>
      </c>
      <c r="I130">
        <v>-17.34</v>
      </c>
      <c r="J130">
        <v>0.5</v>
      </c>
      <c r="K130">
        <v>16.920000000000002</v>
      </c>
      <c r="L130">
        <v>6.15</v>
      </c>
      <c r="M130">
        <v>10.77</v>
      </c>
    </row>
    <row r="131" spans="5:13" x14ac:dyDescent="0.15">
      <c r="E131" s="12">
        <v>128</v>
      </c>
      <c r="F131" t="s">
        <v>1108</v>
      </c>
      <c r="G131" t="s">
        <v>16</v>
      </c>
      <c r="H131" t="s">
        <v>15</v>
      </c>
      <c r="I131">
        <v>-16.59</v>
      </c>
      <c r="J131">
        <v>0.84</v>
      </c>
      <c r="K131">
        <v>16.149999999999999</v>
      </c>
      <c r="L131">
        <v>10</v>
      </c>
      <c r="M131">
        <v>6.15</v>
      </c>
    </row>
  </sheetData>
  <autoFilter ref="A2:M131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模块1.rotate_abroad_fund">
                <anchor moveWithCells="1" sizeWithCells="1">
                  <from>
                    <xdr:col>14</xdr:col>
                    <xdr:colOff>238125</xdr:colOff>
                    <xdr:row>4</xdr:row>
                    <xdr:rowOff>152400</xdr:rowOff>
                  </from>
                  <to>
                    <xdr:col>15</xdr:col>
                    <xdr:colOff>400050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25" x14ac:dyDescent="0.15"/>
  <sheetData/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7"/>
  <sheetViews>
    <sheetView workbookViewId="0"/>
  </sheetViews>
  <sheetFormatPr defaultColWidth="8.875" defaultRowHeight="14.25" x14ac:dyDescent="0.15"/>
  <cols>
    <col min="1" max="1" width="14.75" style="1" customWidth="1"/>
    <col min="2" max="2" width="9.25" style="1" customWidth="1"/>
    <col min="3" max="16384" width="8.875" style="1"/>
  </cols>
  <sheetData>
    <row r="1" spans="1:2" x14ac:dyDescent="0.15">
      <c r="A1" s="1" t="s">
        <v>8</v>
      </c>
      <c r="B1" s="1" t="s">
        <v>13</v>
      </c>
    </row>
    <row r="2" spans="1:2" x14ac:dyDescent="0.15">
      <c r="A2" s="1" t="s">
        <v>9</v>
      </c>
    </row>
    <row r="3" spans="1:2" x14ac:dyDescent="0.15">
      <c r="A3" s="1" t="s">
        <v>0</v>
      </c>
    </row>
    <row r="4" spans="1:2" x14ac:dyDescent="0.15">
      <c r="A4" s="1" t="s">
        <v>7</v>
      </c>
    </row>
    <row r="5" spans="1:2" x14ac:dyDescent="0.15">
      <c r="A5" s="1" t="s">
        <v>5</v>
      </c>
    </row>
    <row r="6" spans="1:2" x14ac:dyDescent="0.15">
      <c r="A6" s="1" t="s">
        <v>1</v>
      </c>
    </row>
    <row r="7" spans="1:2" x14ac:dyDescent="0.15">
      <c r="A7" s="1" t="s">
        <v>2</v>
      </c>
      <c r="B7" s="1" t="b">
        <v>0</v>
      </c>
    </row>
    <row r="8" spans="1:2" x14ac:dyDescent="0.15">
      <c r="A8" s="1" t="s">
        <v>3</v>
      </c>
      <c r="B8" s="1" t="b">
        <v>0</v>
      </c>
    </row>
    <row r="9" spans="1:2" x14ac:dyDescent="0.15">
      <c r="A9" s="1" t="s">
        <v>14</v>
      </c>
      <c r="B9" s="1" t="b">
        <v>0</v>
      </c>
    </row>
    <row r="13" spans="1:2" x14ac:dyDescent="0.15">
      <c r="A13" s="2" t="s">
        <v>4</v>
      </c>
    </row>
    <row r="14" spans="1:2" x14ac:dyDescent="0.15">
      <c r="A14" s="1" t="s">
        <v>10</v>
      </c>
    </row>
    <row r="15" spans="1:2" x14ac:dyDescent="0.15">
      <c r="A15" s="1" t="s">
        <v>11</v>
      </c>
    </row>
    <row r="16" spans="1:2" x14ac:dyDescent="0.15">
      <c r="A16" s="1" t="s">
        <v>6</v>
      </c>
    </row>
    <row r="17" spans="1:1" x14ac:dyDescent="0.15">
      <c r="A17" s="1" t="s">
        <v>12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低溢价可转债轮动</vt:lpstr>
      <vt:lpstr>双低可转债轮动</vt:lpstr>
      <vt:lpstr>20天净值增长率和溢价率轮动LOF、ETF和封基</vt:lpstr>
      <vt:lpstr>20天净值增长率和溢价率轮动债券和境外基金</vt:lpstr>
      <vt:lpstr>temp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Windows User</cp:lastModifiedBy>
  <dcterms:created xsi:type="dcterms:W3CDTF">2015-01-25T11:31:25Z</dcterms:created>
  <dcterms:modified xsi:type="dcterms:W3CDTF">2022-05-05T23:47:41Z</dcterms:modified>
</cp:coreProperties>
</file>